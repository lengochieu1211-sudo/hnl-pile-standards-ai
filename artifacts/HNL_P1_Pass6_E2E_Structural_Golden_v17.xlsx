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fbbf98af6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9b10508dba0450b"/>
    <x:sheet xmlns:r="http://schemas.openxmlformats.org/officeDocument/2006/relationships" name="01_SUMMARY" sheetId="2" r:id="Rd270bdff30544388"/>
    <x:sheet xmlns:r="http://schemas.openxmlformats.org/officeDocument/2006/relationships" name="02_CAPACITY" sheetId="3" r:id="Rc03032b1ada44e1e"/>
    <x:sheet xmlns:r="http://schemas.openxmlformats.org/officeDocument/2006/relationships" name="03_IMPORTED" sheetId="4" r:id="R0a38de2203534e3f"/>
    <x:sheet xmlns:r="http://schemas.openxmlformats.org/officeDocument/2006/relationships" name="04_PILE_CHECK" sheetId="5" r:id="R2190e258f8454714"/>
    <x:sheet xmlns:r="http://schemas.openxmlformats.org/officeDocument/2006/relationships" name="05_PROVENANCE" sheetId="6" r:id="Rbf1f42b152644afe"/>
    <x:sheet xmlns:r="http://schemas.openxmlformats.org/officeDocument/2006/relationships" name="06_GOLDEN_GATE" sheetId="7" r:id="R3a641a7e373c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"/>
    <x:numFmt numFmtId="202" formatCode="0.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3" fillId="5" borderId="0" xfId="0" applyNumberFormat="1" applyFont="1" applyFill="1" applyBorder="1"/>
    <x:xf numFmtId="202" fontId="0" fillId="6" borderId="0" xfId="0" applyNumberFormat="1" applyFont="1" applyFill="1" applyBorder="1"/>
    <x:xf numFmtId="202" fontId="3" fillId="5" borderId="1" xfId="0" applyNumberFormat="1" applyFont="1" applyFill="1" applyBorder="1"/>
    <x:xf numFmtId="202" fontId="0" fillId="6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202" fontId="3" fillId="5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2" fontId="3" fillId="5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a23ce0e0d4655" /><Relationship Type="http://schemas.openxmlformats.org/officeDocument/2006/relationships/theme" Target="/xl/theme/theme1.xml" Id="R0d7bf18f0f6d476a" /><Relationship Type="http://schemas.openxmlformats.org/officeDocument/2006/relationships/sharedStrings" Target="/xl/sharedStrings.xml" Id="Re6e738a34d0b49a2" /><Relationship Type="http://schemas.openxmlformats.org/officeDocument/2006/relationships/worksheet" Target="/xl/worksheets/sheet1.xml" Id="R99b10508dba0450b" /><Relationship Type="http://schemas.openxmlformats.org/officeDocument/2006/relationships/worksheet" Target="/xl/worksheets/sheet2.xml" Id="Rd270bdff30544388" /><Relationship Type="http://schemas.openxmlformats.org/officeDocument/2006/relationships/worksheet" Target="/xl/worksheets/sheet3.xml" Id="Rc03032b1ada44e1e" /><Relationship Type="http://schemas.openxmlformats.org/officeDocument/2006/relationships/worksheet" Target="/xl/worksheets/sheet4.xml" Id="R0a38de2203534e3f" /><Relationship Type="http://schemas.openxmlformats.org/officeDocument/2006/relationships/worksheet" Target="/xl/worksheets/sheet5.xml" Id="R2190e258f8454714" /><Relationship Type="http://schemas.openxmlformats.org/officeDocument/2006/relationships/worksheet" Target="/xl/worksheets/sheet6.xml" Id="Rbf1f42b152644afe" /><Relationship Type="http://schemas.openxmlformats.org/officeDocument/2006/relationships/worksheet" Target="/xl/worksheets/sheet7.xml" Id="R3a641a7e373c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18" hidden="0" customHeight="1">
      <x:c r="A1" s="20" t="str">
        <x:v>HNL P1 Pass 6 — End-to-End Structural Workflow Integration</x:v>
      </x:c>
      <x:c r="B1" s="20"/>
      <x:c r="C1" s="20"/>
      <x:c r="D1" s="20"/>
      <x:c r="E1" s="20"/>
      <x:c r="F1" s="20"/>
      <x:c r="G1" s="20"/>
      <x:c r="H1" s="20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14" t="str">
        <x:v>Mục</x:v>
      </x:c>
      <x:c r="B3" s="14" t="str">
        <x:v>Nội dung</x:v>
      </x:c>
      <x:c r="C3" s="21"/>
      <x:c r="D3" s="21"/>
      <x:c r="E3" s="21"/>
      <x:c r="F3" s="21"/>
      <x:c r="G3" s="21"/>
      <x:c r="H3" s="21"/>
    </x:row>
    <x:row r="4" ht="26.399999618530273" hidden="0" customHeight="1">
      <x:c r="A4" s="21" t="str">
        <x:v>Workflow</x:v>
      </x:c>
      <x:c r="B4" s="21" t="str">
        <x:v>CSV/DCE Import → Pass 5 canonical → Pass 4 imported nodal reaction → Rpile/γn LOCKED → governing pile → Excel/report</x:v>
      </x:c>
      <x:c r="C4" s="21"/>
      <x:c r="D4" s="21"/>
      <x:c r="E4" s="21"/>
      <x:c r="F4" s="21"/>
      <x:c r="G4" s="21"/>
      <x:c r="H4" s="21"/>
    </x:row>
    <x:row r="5" ht="15" hidden="0" customHeight="1">
      <x:c r="A5" s="21" t="str">
        <x:v>Nguyên tắc</x:v>
      </x:c>
      <x:c r="B5" s="21" t="str">
        <x:v>Pass 6 chỉ orchestration. Không tự phân phối phản lực cọc, không tự tính Rpile, không tự chọn số cọc sơ bộ.</x:v>
      </x:c>
      <x:c r="C5" s="21"/>
      <x:c r="D5" s="21"/>
      <x:c r="E5" s="21"/>
      <x:c r="F5" s="21"/>
      <x:c r="G5" s="21"/>
      <x:c r="H5" s="21"/>
    </x:row>
    <x:row r="6" ht="15" hidden="0" customHeight="1">
      <x:c r="A6" s="21" t="str">
        <x:v>Nguồn kết cấu Golden</x:v>
      </x:c>
      <x:c r="B6" s="21" t="str">
        <x:v>10.1 DCE_SctCoc_10304 2025.xlsm / các raw tables đã reverse-engineer và khóa ở Pass 5.</x:v>
      </x:c>
      <x:c r="C6" s="21"/>
      <x:c r="D6" s="21"/>
      <x:c r="E6" s="21"/>
      <x:c r="F6" s="21"/>
      <x:c r="G6" s="21"/>
      <x:c r="H6" s="21"/>
    </x:row>
    <x:row r="7" ht="15" hidden="0" customHeight="1">
      <x:c r="A7" s="21" t="str">
        <x:v>Nguồn capacity</x:v>
      </x:c>
      <x:c r="B7" s="21" t="str">
        <x:v>PileCapacityEngine / MultiBoreholePileEngine</x:v>
      </x:c>
      <x:c r="C7" s="21"/>
      <x:c r="D7" s="21"/>
      <x:c r="E7" s="21"/>
      <x:c r="F7" s="21"/>
      <x:c r="G7" s="21"/>
      <x:c r="H7" s="21"/>
    </x:row>
    <x:row r="8" ht="15" hidden="0" customHeight="1">
      <x:c r="A8" s="21" t="str">
        <x:v>Capacity artifact</x:v>
      </x:c>
      <x:c r="B8" s="21" t="str">
        <x:v>pile-quantity-golden-v1.25.7.json / LOCKED-RPILE-MIN</x:v>
      </x:c>
      <x:c r="C8" s="21"/>
      <x:c r="D8" s="21"/>
      <x:c r="E8" s="21"/>
      <x:c r="F8" s="21"/>
      <x:c r="G8" s="21"/>
      <x:c r="H8" s="21"/>
    </x:row>
    <x:row r="9" ht="15" hidden="0" customHeight="1">
      <x:c r="A9" s="21" t="str">
        <x:v>Đơn vị</x:v>
      </x:c>
      <x:c r="B9" s="21" t="str">
        <x:v>kN, m; nodal reactions của fixture dùng compression-positive.</x:v>
      </x:c>
      <x:c r="C9" s="21"/>
      <x:c r="D9" s="21"/>
      <x:c r="E9" s="21"/>
      <x:c r="F9" s="21"/>
      <x:c r="G9" s="21"/>
      <x:c r="H9" s="21"/>
    </x:row>
    <x:row r="10" ht="15" hidden="0" customHeight="1">
      <x:c r="A10" s="21" t="str">
        <x:v>Golden fixture</x:v>
      </x:c>
      <x:c r="B10" s="21" t="str">
        <x:v>19 cọc × EULS; DCE ↔ CSV parity 19/19.</x:v>
      </x:c>
      <x:c r="C10" s="21"/>
      <x:c r="D10" s="21"/>
      <x:c r="E10" s="21"/>
      <x:c r="F10" s="21"/>
      <x:c r="G10" s="21"/>
      <x:c r="H10" s="21"/>
    </x:row>
    <x:row r="11" ht="15" hidden="0" customHeight="1">
      <x:c r="A11" s="21" t="str">
        <x:v>Governing</x:v>
      </x:c>
      <x:c r="B11" s="21" t="str">
        <x:v>Point/Pile 168, EULS.</x:v>
      </x:c>
      <x:c r="C11" s="21"/>
      <x:c r="D11" s="21"/>
      <x:c r="E11" s="21"/>
      <x:c r="F11" s="21"/>
      <x:c r="G11" s="21"/>
      <x:c r="H11" s="21"/>
    </x:row>
    <x:row r="12" ht="15" hidden="0" customHeight="1">
      <x:c r="A12" s="21" t="str">
        <x:v>Giới hạn</x:v>
      </x:c>
      <x:c r="B12" s="21" t="str">
        <x:v>Live ETABS/SAP certification và full-source integration là gate riêng; không được suy ra là đã chạy live.</x:v>
      </x:c>
      <x:c r="C12" s="21"/>
      <x:c r="D12" s="21"/>
      <x:c r="E12" s="21"/>
      <x:c r="F12" s="21"/>
      <x:c r="G12" s="21"/>
      <x:c r="H12" s="21"/>
    </x:row>
    <x:row r="13" ht="15" hidden="0" customHeight="1">
      <x:c r="A13" s="21"/>
      <x:c r="B13" s="21"/>
      <x:c r="C13" s="21"/>
      <x:c r="D13" s="21"/>
      <x:c r="E13" s="21"/>
      <x:c r="F13" s="21"/>
      <x:c r="G13" s="21"/>
      <x:c r="H13" s="21"/>
    </x:row>
    <x:row r="14" ht="15" hidden="0" customHeight="1">
      <x:c r="A14" s="21"/>
      <x:c r="B14" s="21"/>
      <x:c r="C14" s="21"/>
      <x:c r="D14" s="21"/>
      <x:c r="E14" s="21"/>
      <x:c r="F14" s="21"/>
      <x:c r="G14" s="21"/>
      <x:c r="H14" s="21"/>
    </x:row>
    <x:row r="15" ht="15" hidden="0" customHeight="1">
      <x:c r="A15" s="21"/>
      <x:c r="B15" s="21"/>
      <x:c r="C15" s="21"/>
      <x:c r="D15" s="21"/>
      <x:c r="E15" s="21"/>
      <x:c r="F15" s="21"/>
      <x:c r="G15" s="21"/>
      <x:c r="H15" s="21"/>
    </x:row>
    <x:row r="16" ht="15" hidden="0" customHeight="1">
      <x:c r="A16" s="21"/>
      <x:c r="B16" s="21"/>
      <x:c r="C16" s="21"/>
      <x:c r="D16" s="21"/>
      <x:c r="E16" s="21"/>
      <x:c r="F16" s="21"/>
      <x:c r="G16" s="21"/>
      <x:c r="H16" s="21"/>
    </x:row>
    <x:row r="17" ht="15" hidden="0" customHeight="1">
      <x:c r="A17" s="21"/>
      <x:c r="B17" s="21"/>
      <x:c r="C17" s="21"/>
      <x:c r="D17" s="21"/>
      <x:c r="E17" s="21"/>
      <x:c r="F17" s="21"/>
      <x:c r="G17" s="21"/>
      <x:c r="H17" s="21"/>
    </x:row>
    <x:row r="18" ht="15" hidden="0" customHeight="1">
      <x:c r="A18" s="21"/>
      <x:c r="B18" s="21"/>
      <x:c r="C18" s="21"/>
      <x:c r="D18" s="21"/>
      <x:c r="E18" s="21"/>
      <x:c r="F18" s="21"/>
      <x:c r="G18" s="21"/>
      <x:c r="H18" s="21"/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4" max="4" width="22" hidden="0" customWidth="1"/>
    <x:col min="5" max="5" width="28" hidden="0" customWidth="1"/>
  </x:cols>
  <x:sheetData>
    <x:row r="1">
      <x:c r="A1" s="4" t="str">
        <x:v>PASS 6 E2E — KẾT QUẢ TỔNG HỢP</x:v>
      </x:c>
      <x:c r="B1" s="4"/>
      <x:c r="C1" s="4"/>
      <x:c r="D1" s="4"/>
      <x:c r="E1" s="4"/>
      <x:c r="F1" s="4"/>
    </x:row>
    <x:row r="3">
      <x:c r="A3" s="14" t="str">
        <x:v>KPI</x:v>
      </x:c>
      <x:c r="B3" s="14" t="str">
        <x:v>Kết quả</x:v>
      </x:c>
      <x:c r="D3" s="14" t="str">
        <x:v>Governing</x:v>
      </x:c>
      <x:c r="E3" s="14" t="str">
        <x:v>Giá trị</x:v>
      </x:c>
    </x:row>
    <x:row r="4">
      <x:c r="A4" t="str">
        <x:v>Nguồn</x:v>
      </x:c>
      <x:c r="B4" t="str">
        <x:v>DCE_EXACT_PASS6_GOLDEN</x:v>
      </x:c>
      <x:c r="D4" t="str">
        <x:v>Pile/Point</x:v>
      </x:c>
      <x:c r="E4" s="25" t="n">
        <x:f>INDEX('04_PILE_CHECK'!A2:A20,MATCH(B10,'04_PILE_CHECK'!H2:H20,0))</x:f>
        <x:v>168</x:v>
      </x:c>
    </x:row>
    <x:row r="5">
      <x:c r="A5" t="str">
        <x:v>Số cọc</x:v>
      </x:c>
      <x:c r="B5" s="25" t="n">
        <x:f>COUNTA('04_PILE_CHECK'!A2:A20)</x:f>
        <x:v>19</x:v>
      </x:c>
      <x:c r="D5" t="str">
        <x:v>Combination</x:v>
      </x:c>
      <x:c r="E5" s="25" t="str">
        <x:f>INDEX('04_PILE_CHECK'!B2:B20,MATCH(B10,'04_PILE_CHECK'!H2:H20,0))</x:f>
        <x:v>EULS</x:v>
      </x:c>
    </x:row>
    <x:row r="6">
      <x:c r="A6" t="str">
        <x:v>Số tổ hợp</x:v>
      </x:c>
      <x:c r="B6" s="25" t="n">
        <x:v>1</x:v>
      </x:c>
      <x:c r="D6" t="str">
        <x:v>Demand (kN)</x:v>
      </x:c>
      <x:c r="E6" s="30" t="n">
        <x:f>INDEX('04_PILE_CHECK'!F2:F20,MATCH(B10,'04_PILE_CHECK'!H2:H20,0))</x:f>
        <x:v>365.2920507005818</x:v>
      </x:c>
    </x:row>
    <x:row r="7">
      <x:c r="A7" t="str">
        <x:v>Số dòng kiểm</x:v>
      </x:c>
      <x:c r="B7" s="25" t="n">
        <x:f>COUNTA('04_PILE_CHECK'!A2:A20)</x:f>
        <x:v>19</x:v>
      </x:c>
      <x:c r="D7" t="str">
        <x:v>Capacity (kN)</x:v>
      </x:c>
      <x:c r="E7" s="30" t="n">
        <x:f>INDEX('04_PILE_CHECK'!G2:G20,MATCH(B10,'04_PILE_CHECK'!H2:H20,0))</x:f>
        <x:v>733.4161490683232</x:v>
      </x:c>
    </x:row>
    <x:row r="8">
      <x:c r="A8" t="str">
        <x:v>PASS</x:v>
      </x:c>
      <x:c r="B8" s="25" t="n">
        <x:f>COUNTIF('04_PILE_CHECK'!I2:I20,"PASS")</x:f>
        <x:v>19</x:v>
      </x:c>
      <x:c r="D8" t="str">
        <x:v>Utilization</x:v>
      </x:c>
      <x:c r="E8" s="28" t="n">
        <x:f>B10</x:f>
        <x:v>0.4980692764464232</x:v>
      </x:c>
    </x:row>
    <x:row r="9">
      <x:c r="A9" t="str">
        <x:v>FAIL/BLOCK</x:v>
      </x:c>
      <x:c r="B9" s="25" t="n">
        <x:f>COUNTIF('04_PILE_CHECK'!I2:I20,"FAIL")+COUNTIF('04_PILE_CHECK'!I2:I20,"BLOCK")</x:f>
        <x:v>0</x:v>
      </x:c>
    </x:row>
    <x:row r="10">
      <x:c r="A10" t="str">
        <x:v>Max Utilization</x:v>
      </x:c>
      <x:c r="B10" s="28" t="n">
        <x:f>MAX('04_PILE_CHECK'!H2:H20)</x:f>
        <x:v>0.4980692764464232</x:v>
      </x:c>
    </x:row>
    <x:row r="11">
      <x:c r="A11" t="str">
        <x:v>Overall</x:v>
      </x:c>
      <x:c r="B11" s="25" t="str">
        <x:f>IF(B9=0,"PASS","FAIL/BLOCK")</x:f>
        <x:v>PASS</x:v>
      </x:c>
    </x:row>
  </x:sheetData>
  <x:mergeCells>
    <x:mergeCell ref="A1:F1"/>
  </x:mergeCells>
  <x:conditionalFormatting sqref="B11:B11">
    <x:cfRule type="expression" dxfId="0" priority="1">
      <x:formula>B11="PASS"</x:formula>
    </x:cfRule>
    <x:cfRule type="expression" dxfId="1" priority="2">
      <x:formula>B11&lt;&gt;"PASS"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2" hidden="0" customWidth="1"/>
    <x:col min="4" max="4" width="42" hidden="0" customWidth="1"/>
  </x:cols>
  <x:sheetData>
    <x:row r="1" ht="16.799999237060547" hidden="0" customHeight="1">
      <x:c r="A1" s="46" t="str">
        <x:v>LOCKED CAPACITY HANDOFF</x:v>
      </x:c>
      <x:c r="B1" s="46"/>
      <x:c r="C1" s="46"/>
      <x:c r="D1" s="46"/>
    </x:row>
    <x:row r="2" ht="15" hidden="0" customHeight="1">
      <x:c r="A2" s="21"/>
      <x:c r="B2" s="21"/>
      <x:c r="C2" s="21"/>
      <x:c r="D2" s="21"/>
    </x:row>
    <x:row r="3" ht="15" hidden="0" customHeight="1">
      <x:c r="A3" s="14" t="str">
        <x:v>Trường</x:v>
      </x:c>
      <x:c r="B3" s="14" t="str">
        <x:v>Giá trị</x:v>
      </x:c>
      <x:c r="C3" s="14" t="str">
        <x:v>Đơn vị</x:v>
      </x:c>
      <x:c r="D3" s="14" t="str">
        <x:v>Vai trò</x:v>
      </x:c>
    </x:row>
    <x:row r="4" ht="15" hidden="0" customHeight="1">
      <x:c r="A4" s="21" t="str">
        <x:v>Status</x:v>
      </x:c>
      <x:c r="B4" s="21" t="str">
        <x:v>LOCKED_MULTI_BOREHOLE_INTEGRATED</x:v>
      </x:c>
      <x:c r="C4" s="21" t="str">
        <x:v>-</x:v>
      </x:c>
      <x:c r="D4" s="21" t="str">
        <x:v>Phải LOCKED</x:v>
      </x:c>
    </x:row>
    <x:row r="5" ht="15" hidden="0" customHeight="1">
      <x:c r="A5" s="21" t="str">
        <x:v>Rpile</x:v>
      </x:c>
      <x:c r="B5" s="47" t="n">
        <x:v>843.4285714285716</x:v>
      </x:c>
      <x:c r="C5" s="21" t="str">
        <x:v>kN</x:v>
      </x:c>
      <x:c r="D5" s="21" t="str">
        <x:v>INPUT từ engine upstream LOCKED</x:v>
      </x:c>
    </x:row>
    <x:row r="6" ht="15" hidden="0" customHeight="1">
      <x:c r="A6" s="21" t="str">
        <x:v>γn</x:v>
      </x:c>
      <x:c r="B6" s="47" t="n">
        <x:v>1.15</x:v>
      </x:c>
      <x:c r="C6" s="21" t="str">
        <x:v>-</x:v>
      </x:c>
      <x:c r="D6" s="21" t="str">
        <x:v>INPUT từ engine upstream LOCKED</x:v>
      </x:c>
    </x:row>
    <x:row r="7" ht="15" hidden="0" customHeight="1">
      <x:c r="A7" s="21" t="str">
        <x:v>Nd,max / pile</x:v>
      </x:c>
      <x:c r="B7" s="48" t="n">
        <x:f>B5/B6</x:f>
        <x:v>733.4161490683232</x:v>
      </x:c>
      <x:c r="C7" s="21" t="str">
        <x:v>kN</x:v>
      </x:c>
      <x:c r="D7" s="21" t="str">
        <x:v>FORMULA = Rpile/γn</x:v>
      </x:c>
    </x:row>
    <x:row r="8" ht="15" hidden="0" customHeight="1">
      <x:c r="A8" s="21" t="str">
        <x:v>Source Module</x:v>
      </x:c>
      <x:c r="B8" s="21" t="str">
        <x:v>PileCapacityEngine / MultiBoreholePileEngine</x:v>
      </x:c>
      <x:c r="C8" s="21" t="str">
        <x:v>-</x:v>
      </x:c>
      <x:c r="D8" s="21" t="str">
        <x:v>Provenance</x:v>
      </x:c>
    </x:row>
    <x:row r="9" ht="15" hidden="0" customHeight="1">
      <x:c r="A9" s="21" t="str">
        <x:v>Source Artifact</x:v>
      </x:c>
      <x:c r="B9" s="21" t="str">
        <x:v>pile-quantity-golden-v1.25.7.json / LOCKED-RPILE-MIN</x:v>
      </x:c>
      <x:c r="C9" s="21" t="str">
        <x:v>-</x:v>
      </x:c>
      <x:c r="D9" s="21" t="str">
        <x:v>Provenance</x:v>
      </x:c>
    </x:row>
    <x:row r="10" ht="15" hidden="0" customHeight="1">
      <x:c r="A10" s="21"/>
      <x:c r="B10" s="21"/>
      <x:c r="C10" s="21"/>
      <x:c r="D10" s="21"/>
    </x:row>
    <x:row r="11" ht="15" hidden="0" customHeight="1">
      <x:c r="A11" s="21"/>
      <x:c r="B11" s="21"/>
      <x:c r="C11" s="21"/>
      <x:c r="D11" s="21"/>
    </x:row>
    <x:row r="12" ht="15" hidden="0" customHeight="1">
      <x:c r="A12" s="21"/>
      <x:c r="B12" s="21"/>
      <x:c r="C12" s="21"/>
      <x:c r="D12" s="21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>
      <x:c r="A1" s="14" t="str">
        <x:v>Pile/Point</x:v>
      </x:c>
      <x:c r="B1" s="14" t="str">
        <x:v>Combo</x:v>
      </x:c>
      <x:c r="C1" s="14" t="str">
        <x:v>X (m)</x:v>
      </x:c>
      <x:c r="D1" s="14" t="str">
        <x:v>Y (m)</x:v>
      </x:c>
      <x:c r="E1" s="14" t="str">
        <x:v>Z (m)</x:v>
      </x:c>
      <x:c r="F1" s="14" t="str">
        <x:v>Raw Fz (kN)</x:v>
      </x:c>
      <x:c r="G1" s="14" t="str">
        <x:v>Demand (kN)</x:v>
      </x:c>
      <x:c r="H1" s="14" t="str">
        <x:v>Fx (kN)</x:v>
      </x:c>
      <x:c r="I1" s="14" t="str">
        <x:v>Fy (kN)</x:v>
      </x:c>
      <x:c r="J1" s="14" t="str">
        <x:v>Mx (kNm)</x:v>
      </x:c>
      <x:c r="K1" s="14" t="str">
        <x:v>My (kNm)</x:v>
      </x:c>
      <x:c r="L1" s="14" t="str">
        <x:v>Mz (kNm)</x:v>
      </x:c>
      <x:c r="M1" s="14" t="str">
        <x:v>Check Type</x:v>
      </x:c>
    </x:row>
    <x:row r="2">
      <x:c r="A2" t="str">
        <x:v>136</x:v>
      </x:c>
      <x:c r="B2" t="str">
        <x:v>EULS</x:v>
      </x:c>
      <x:c r="C2" s="52" t="n">
        <x:v>1.8499999999999999</x:v>
      </x:c>
      <x:c r="D2" s="52" t="n">
        <x:v>4.96</x:v>
      </x:c>
      <x:c r="E2" s="52" t="n">
        <x:v>0</x:v>
      </x:c>
      <x:c r="F2" s="52" t="n">
        <x:v>286.91991774862805</x:v>
      </x:c>
      <x:c r="G2" s="52" t="n">
        <x:v>286.91991774862805</x:v>
      </x:c>
      <x:c r="H2" s="52" t="n">
        <x:v>6.114587136873498</x:v>
      </x:c>
      <x:c r="I2" s="52" t="n">
        <x:v>7.60160881133767</x:v>
      </x:c>
      <x:c r="J2" s="52" t="n">
        <x:v>0</x:v>
      </x:c>
      <x:c r="K2" s="52" t="n">
        <x:v>0</x:v>
      </x:c>
      <x:c r="L2" s="52" t="n">
        <x:v>0</x:v>
      </x:c>
      <x:c r="M2" t="str">
        <x:v>COMPRESSION</x:v>
      </x:c>
    </x:row>
    <x:row r="3">
      <x:c r="A3" t="str">
        <x:v>137</x:v>
      </x:c>
      <x:c r="B3" t="str">
        <x:v>EULS</x:v>
      </x:c>
      <x:c r="C3" s="52" t="n">
        <x:v>1.68</x:v>
      </x:c>
      <x:c r="D3" s="52" t="n">
        <x:v>4.03</x:v>
      </x:c>
      <x:c r="E3" s="52" t="n">
        <x:v>0</x:v>
      </x:c>
      <x:c r="F3" s="52" t="n">
        <x:v>260.9278268061119</x:v>
      </x:c>
      <x:c r="G3" s="52" t="n">
        <x:v>260.9278268061119</x:v>
      </x:c>
      <x:c r="H3" s="52" t="n">
        <x:v>6.024313228742632</x:v>
      </x:c>
      <x:c r="I3" s="52" t="n">
        <x:v>7.565465189987405</x:v>
      </x:c>
      <x:c r="J3" s="52" t="n">
        <x:v>0</x:v>
      </x:c>
      <x:c r="K3" s="52" t="n">
        <x:v>0</x:v>
      </x:c>
      <x:c r="L3" s="52" t="n">
        <x:v>0</x:v>
      </x:c>
      <x:c r="M3" t="str">
        <x:v>COMPRESSION</x:v>
      </x:c>
    </x:row>
    <x:row r="4">
      <x:c r="A4" t="str">
        <x:v>144</x:v>
      </x:c>
      <x:c r="B4" t="str">
        <x:v>EULS</x:v>
      </x:c>
      <x:c r="C4" s="52" t="n">
        <x:v>0.75</x:v>
      </x:c>
      <x:c r="D4" s="52" t="n">
        <x:v>4.03</x:v>
      </x:c>
      <x:c r="E4" s="52" t="n">
        <x:v>0</x:v>
      </x:c>
      <x:c r="F4" s="52" t="n">
        <x:v>270.8934985824897</x:v>
      </x:c>
      <x:c r="G4" s="52" t="n">
        <x:v>270.8934985824897</x:v>
      </x:c>
      <x:c r="H4" s="52" t="n">
        <x:v>6.023922627709259</x:v>
      </x:c>
      <x:c r="I4" s="52" t="n">
        <x:v>7.367116593119833</x:v>
      </x:c>
      <x:c r="J4" s="52" t="n">
        <x:v>0</x:v>
      </x:c>
      <x:c r="K4" s="52" t="n">
        <x:v>0</x:v>
      </x:c>
      <x:c r="L4" s="52" t="n">
        <x:v>0</x:v>
      </x:c>
      <x:c r="M4" t="str">
        <x:v>COMPRESSION</x:v>
      </x:c>
    </x:row>
    <x:row r="5">
      <x:c r="A5" t="str">
        <x:v>145</x:v>
      </x:c>
      <x:c r="B5" t="str">
        <x:v>EULS</x:v>
      </x:c>
      <x:c r="C5" s="52" t="n">
        <x:v>0.75</x:v>
      </x:c>
      <x:c r="D5" s="52" t="n">
        <x:v>4.96</x:v>
      </x:c>
      <x:c r="E5" s="52" t="n">
        <x:v>0</x:v>
      </x:c>
      <x:c r="F5" s="52" t="n">
        <x:v>285.1184277095996</x:v>
      </x:c>
      <x:c r="G5" s="52" t="n">
        <x:v>285.1184277095996</x:v>
      </x:c>
      <x:c r="H5" s="52" t="n">
        <x:v>6.115032894584146</x:v>
      </x:c>
      <x:c r="I5" s="52" t="n">
        <x:v>7.367175449779903</x:v>
      </x:c>
      <x:c r="J5" s="52" t="n">
        <x:v>0</x:v>
      </x:c>
      <x:c r="K5" s="52" t="n">
        <x:v>0</x:v>
      </x:c>
      <x:c r="L5" s="52" t="n">
        <x:v>0</x:v>
      </x:c>
      <x:c r="M5" t="str">
        <x:v>COMPRESSION</x:v>
      </x:c>
    </x:row>
    <x:row r="6">
      <x:c r="A6" t="str">
        <x:v>146</x:v>
      </x:c>
      <x:c r="B6" t="str">
        <x:v>EULS</x:v>
      </x:c>
      <x:c r="C6" s="52" t="n">
        <x:v>3.33</x:v>
      </x:c>
      <x:c r="D6" s="52" t="n">
        <x:v>5.39</x:v>
      </x:c>
      <x:c r="E6" s="52" t="n">
        <x:v>0</x:v>
      </x:c>
      <x:c r="F6" s="52" t="n">
        <x:v>297.4859063516979</x:v>
      </x:c>
      <x:c r="G6" s="52" t="n">
        <x:v>297.4859063516979</x:v>
      </x:c>
      <x:c r="H6" s="52" t="n">
        <x:v>6.151526405771362</x:v>
      </x:c>
      <x:c r="I6" s="52" t="n">
        <x:v>7.920268130304808</x:v>
      </x:c>
      <x:c r="J6" s="52" t="n">
        <x:v>0</x:v>
      </x:c>
      <x:c r="K6" s="52" t="n">
        <x:v>0</x:v>
      </x:c>
      <x:c r="L6" s="52" t="n">
        <x:v>0</x:v>
      </x:c>
      <x:c r="M6" t="str">
        <x:v>COMPRESSION</x:v>
      </x:c>
    </x:row>
    <x:row r="7">
      <x:c r="A7" t="str">
        <x:v>147</x:v>
      </x:c>
      <x:c r="B7" t="str">
        <x:v>EULS</x:v>
      </x:c>
      <x:c r="C7" s="52" t="n">
        <x:v>4.07</x:v>
      </x:c>
      <x:c r="D7" s="52" t="n">
        <x:v>5.48</x:v>
      </x:c>
      <x:c r="E7" s="52" t="n">
        <x:v>0</x:v>
      </x:c>
      <x:c r="F7" s="52" t="n">
        <x:v>300.3376508670345</x:v>
      </x:c>
      <x:c r="G7" s="52" t="n">
        <x:v>300.3376508670345</x:v>
      </x:c>
      <x:c r="H7" s="52" t="n">
        <x:v>6.161931381625057</x:v>
      </x:c>
      <x:c r="I7" s="52" t="n">
        <x:v>8.087346492023325</x:v>
      </x:c>
      <x:c r="J7" s="52" t="n">
        <x:v>0</x:v>
      </x:c>
      <x:c r="K7" s="52" t="n">
        <x:v>0</x:v>
      </x:c>
      <x:c r="L7" s="52" t="n">
        <x:v>0</x:v>
      </x:c>
      <x:c r="M7" t="str">
        <x:v>COMPRESSION</x:v>
      </x:c>
    </x:row>
    <x:row r="8">
      <x:c r="A8" t="str">
        <x:v>148</x:v>
      </x:c>
      <x:c r="B8" t="str">
        <x:v>EULS</x:v>
      </x:c>
      <x:c r="C8" s="52" t="n">
        <x:v>4.81</x:v>
      </x:c>
      <x:c r="D8" s="52" t="n">
        <x:v>5.57</x:v>
      </x:c>
      <x:c r="E8" s="52" t="n">
        <x:v>0</x:v>
      </x:c>
      <x:c r="F8" s="52" t="n">
        <x:v>300.04555821930734</x:v>
      </x:c>
      <x:c r="G8" s="52" t="n">
        <x:v>300.04555821930734</x:v>
      </x:c>
      <x:c r="H8" s="52" t="n">
        <x:v>6.1732453085127945</x:v>
      </x:c>
      <x:c r="I8" s="52" t="n">
        <x:v>8.252345699073759</x:v>
      </x:c>
      <x:c r="J8" s="52" t="n">
        <x:v>0</x:v>
      </x:c>
      <x:c r="K8" s="52" t="n">
        <x:v>0</x:v>
      </x:c>
      <x:c r="L8" s="52" t="n">
        <x:v>0</x:v>
      </x:c>
      <x:c r="M8" t="str">
        <x:v>COMPRESSION</x:v>
      </x:c>
    </x:row>
    <x:row r="9">
      <x:c r="A9" t="str">
        <x:v>159</x:v>
      </x:c>
      <x:c r="B9" t="str">
        <x:v>EULS</x:v>
      </x:c>
      <x:c r="C9" s="52" t="n">
        <x:v>7.19</x:v>
      </x:c>
      <x:c r="D9" s="52" t="n">
        <x:v>5.72</x:v>
      </x:c>
      <x:c r="E9" s="52" t="n">
        <x:v>0</x:v>
      </x:c>
      <x:c r="F9" s="52" t="n">
        <x:v>303.4136821443748</x:v>
      </x:c>
      <x:c r="G9" s="52" t="n">
        <x:v>303.4136821443748</x:v>
      </x:c>
      <x:c r="H9" s="52" t="n">
        <x:v>6.142195768650366</x:v>
      </x:c>
      <x:c r="I9" s="52" t="n">
        <x:v>8.859360969705284</x:v>
      </x:c>
      <x:c r="J9" s="52" t="n">
        <x:v>0</x:v>
      </x:c>
      <x:c r="K9" s="52" t="n">
        <x:v>0</x:v>
      </x:c>
      <x:c r="L9" s="52" t="n">
        <x:v>0</x:v>
      </x:c>
      <x:c r="M9" t="str">
        <x:v>COMPRESSION</x:v>
      </x:c>
    </x:row>
    <x:row r="10">
      <x:c r="A10" t="str">
        <x:v>160</x:v>
      </x:c>
      <x:c r="B10" t="str">
        <x:v>EULS</x:v>
      </x:c>
      <x:c r="C10" s="52" t="n">
        <x:v>7.93</x:v>
      </x:c>
      <x:c r="D10" s="52" t="n">
        <x:v>5.81</x:v>
      </x:c>
      <x:c r="E10" s="52" t="n">
        <x:v>0</x:v>
      </x:c>
      <x:c r="F10" s="52" t="n">
        <x:v>343.63918974684805</x:v>
      </x:c>
      <x:c r="G10" s="52" t="n">
        <x:v>343.63918974684805</x:v>
      </x:c>
      <x:c r="H10" s="52" t="n">
        <x:v>6.1583195951613225</x:v>
      </x:c>
      <x:c r="I10" s="52" t="n">
        <x:v>9.061839847568978</x:v>
      </x:c>
      <x:c r="J10" s="52" t="n">
        <x:v>0</x:v>
      </x:c>
      <x:c r="K10" s="52" t="n">
        <x:v>0</x:v>
      </x:c>
      <x:c r="L10" s="52" t="n">
        <x:v>0</x:v>
      </x:c>
      <x:c r="M10" t="str">
        <x:v>COMPRESSION</x:v>
      </x:c>
    </x:row>
    <x:row r="11">
      <x:c r="A11" t="str">
        <x:v>161</x:v>
      </x:c>
      <x:c r="B11" t="str">
        <x:v>EULS</x:v>
      </x:c>
      <x:c r="C11" s="52" t="n">
        <x:v>8.2</x:v>
      </x:c>
      <x:c r="D11" s="52" t="n">
        <x:v>5.11</x:v>
      </x:c>
      <x:c r="E11" s="52" t="n">
        <x:v>0</x:v>
      </x:c>
      <x:c r="F11" s="52" t="n">
        <x:v>280.22771574243876</x:v>
      </x:c>
      <x:c r="G11" s="52" t="n">
        <x:v>280.22771574243876</x:v>
      </x:c>
      <x:c r="H11" s="52" t="n">
        <x:v>6.031814131395742</x:v>
      </x:c>
      <x:c r="I11" s="52" t="n">
        <x:v>9.13403868642082</x:v>
      </x:c>
      <x:c r="J11" s="52" t="n">
        <x:v>0</x:v>
      </x:c>
      <x:c r="K11" s="52" t="n">
        <x:v>0</x:v>
      </x:c>
      <x:c r="L11" s="52" t="n">
        <x:v>0</x:v>
      </x:c>
      <x:c r="M11" t="str">
        <x:v>COMPRESSION</x:v>
      </x:c>
    </x:row>
    <x:row r="12">
      <x:c r="A12" t="str">
        <x:v>167</x:v>
      </x:c>
      <x:c r="B12" t="str">
        <x:v>EULS</x:v>
      </x:c>
      <x:c r="C12" s="52" t="n">
        <x:v>6.9</x:v>
      </x:c>
      <x:c r="D12" s="52" t="n">
        <x:v>0.46</x:v>
      </x:c>
      <x:c r="E12" s="52" t="n">
        <x:v>0</x:v>
      </x:c>
      <x:c r="F12" s="52" t="n">
        <x:v>310.9017790337088</x:v>
      </x:c>
      <x:c r="G12" s="52" t="n">
        <x:v>310.9017790337088</x:v>
      </x:c>
      <x:c r="H12" s="52" t="n">
        <x:v>5.786179924709186</x:v>
      </x:c>
      <x:c r="I12" s="52" t="n">
        <x:v>8.706874064178617</x:v>
      </x:c>
      <x:c r="J12" s="52" t="n">
        <x:v>0</x:v>
      </x:c>
      <x:c r="K12" s="52" t="n">
        <x:v>0</x:v>
      </x:c>
      <x:c r="L12" s="52" t="n">
        <x:v>0</x:v>
      </x:c>
      <x:c r="M12" t="str">
        <x:v>COMPRESSION</x:v>
      </x:c>
    </x:row>
    <x:row r="13">
      <x:c r="A13" t="str">
        <x:v>168</x:v>
      </x:c>
      <x:c r="B13" t="str">
        <x:v>EULS</x:v>
      </x:c>
      <x:c r="C13" s="52" t="n">
        <x:v>7.65</x:v>
      </x:c>
      <x:c r="D13" s="52" t="n">
        <x:v>0.46</x:v>
      </x:c>
      <x:c r="E13" s="52" t="n">
        <x:v>0</x:v>
      </x:c>
      <x:c r="F13" s="52" t="n">
        <x:v>365.2920507005818</x:v>
      </x:c>
      <x:c r="G13" s="52" t="n">
        <x:v>365.2920507005818</x:v>
      </x:c>
      <x:c r="H13" s="52" t="n">
        <x:v>5.785111990798642</x:v>
      </x:c>
      <x:c r="I13" s="52" t="n">
        <x:v>8.93949061197766</x:v>
      </x:c>
      <x:c r="J13" s="52" t="n">
        <x:v>0</x:v>
      </x:c>
      <x:c r="K13" s="52" t="n">
        <x:v>0</x:v>
      </x:c>
      <x:c r="L13" s="52" t="n">
        <x:v>0</x:v>
      </x:c>
      <x:c r="M13" t="str">
        <x:v>COMPRESSION</x:v>
      </x:c>
    </x:row>
    <x:row r="14">
      <x:c r="A14" t="str">
        <x:v>169</x:v>
      </x:c>
      <x:c r="B14" t="str">
        <x:v>EULS</x:v>
      </x:c>
      <x:c r="C14" s="52" t="n">
        <x:v>7.65</x:v>
      </x:c>
      <x:c r="D14" s="52" t="n">
        <x:v>1.1</x:v>
      </x:c>
      <x:c r="E14" s="52" t="n">
        <x:v>0</x:v>
      </x:c>
      <x:c r="F14" s="52" t="n">
        <x:v>290.52138193625683</x:v>
      </x:c>
      <x:c r="G14" s="52" t="n">
        <x:v>290.52138193625683</x:v>
      </x:c>
      <x:c r="H14" s="52" t="n">
        <x:v>5.821947418471196</x:v>
      </x:c>
      <x:c r="I14" s="52" t="n">
        <x:v>8.940186832427152</x:v>
      </x:c>
      <x:c r="J14" s="52" t="n">
        <x:v>0</x:v>
      </x:c>
      <x:c r="K14" s="52" t="n">
        <x:v>0</x:v>
      </x:c>
      <x:c r="L14" s="52" t="n">
        <x:v>0</x:v>
      </x:c>
      <x:c r="M14" t="str">
        <x:v>COMPRESSION</x:v>
      </x:c>
    </x:row>
    <x:row r="15">
      <x:c r="A15" t="str">
        <x:v>170</x:v>
      </x:c>
      <x:c r="B15" t="str">
        <x:v>EULS</x:v>
      </x:c>
      <x:c r="C15" s="52" t="n">
        <x:v>4.82</x:v>
      </x:c>
      <x:c r="D15" s="52" t="n">
        <x:v>0.49</x:v>
      </x:c>
      <x:c r="E15" s="52" t="n">
        <x:v>0</x:v>
      </x:c>
      <x:c r="F15" s="52" t="n">
        <x:v>285.949573636969</x:v>
      </x:c>
      <x:c r="G15" s="52" t="n">
        <x:v>285.949573636969</x:v>
      </x:c>
      <x:c r="H15" s="52" t="n">
        <x:v>5.8191715581666035</x:v>
      </x:c>
      <x:c r="I15" s="52" t="n">
        <x:v>8.237220549414246</x:v>
      </x:c>
      <x:c r="J15" s="52" t="n">
        <x:v>0</x:v>
      </x:c>
      <x:c r="K15" s="52" t="n">
        <x:v>0</x:v>
      </x:c>
      <x:c r="L15" s="52" t="n">
        <x:v>0</x:v>
      </x:c>
      <x:c r="M15" t="str">
        <x:v>COMPRESSION</x:v>
      </x:c>
    </x:row>
    <x:row r="16">
      <x:c r="A16" t="str">
        <x:v>171</x:v>
      </x:c>
      <x:c r="B16" t="str">
        <x:v>EULS</x:v>
      </x:c>
      <x:c r="C16" s="52" t="n">
        <x:v>4.07</x:v>
      </x:c>
      <x:c r="D16" s="52" t="n">
        <x:v>0.49</x:v>
      </x:c>
      <x:c r="E16" s="52" t="n">
        <x:v>0</x:v>
      </x:c>
      <x:c r="F16" s="52" t="n">
        <x:v>285.78082587948563</x:v>
      </x:c>
      <x:c r="G16" s="52" t="n">
        <x:v>285.78082587948563</x:v>
      </x:c>
      <x:c r="H16" s="52" t="n">
        <x:v>5.819147985537895</x:v>
      </x:c>
      <x:c r="I16" s="52" t="n">
        <x:v>8.075804450906592</x:v>
      </x:c>
      <x:c r="J16" s="52" t="n">
        <x:v>0</x:v>
      </x:c>
      <x:c r="K16" s="52" t="n">
        <x:v>0</x:v>
      </x:c>
      <x:c r="L16" s="52" t="n">
        <x:v>0</x:v>
      </x:c>
      <x:c r="M16" t="str">
        <x:v>COMPRESSION</x:v>
      </x:c>
    </x:row>
    <x:row r="17">
      <x:c r="A17" t="str">
        <x:v>172</x:v>
      </x:c>
      <x:c r="B17" t="str">
        <x:v>EULS</x:v>
      </x:c>
      <x:c r="C17" s="52" t="n">
        <x:v>3.32</x:v>
      </x:c>
      <x:c r="D17" s="52" t="n">
        <x:v>0.49</x:v>
      </x:c>
      <x:c r="E17" s="52" t="n">
        <x:v>0</x:v>
      </x:c>
      <x:c r="F17" s="52" t="n">
        <x:v>282.45435302362756</x:v>
      </x:c>
      <x:c r="G17" s="52" t="n">
        <x:v>282.45435302362756</x:v>
      </x:c>
      <x:c r="H17" s="52" t="n">
        <x:v>5.817643430921133</x:v>
      </x:c>
      <x:c r="I17" s="52" t="n">
        <x:v>7.914175544381543</x:v>
      </x:c>
      <x:c r="J17" s="52" t="n">
        <x:v>0</x:v>
      </x:c>
      <x:c r="K17" s="52" t="n">
        <x:v>0</x:v>
      </x:c>
      <x:c r="L17" s="52" t="n">
        <x:v>0</x:v>
      </x:c>
      <x:c r="M17" t="str">
        <x:v>COMPRESSION</x:v>
      </x:c>
    </x:row>
    <x:row r="18">
      <x:c r="A18" t="str">
        <x:v>177</x:v>
      </x:c>
      <x:c r="B18" t="str">
        <x:v>EULS</x:v>
      </x:c>
      <x:c r="C18" s="52" t="n">
        <x:v>1.98</x:v>
      </x:c>
      <x:c r="D18" s="52" t="n">
        <x:v>0.46</x:v>
      </x:c>
      <x:c r="E18" s="52" t="n">
        <x:v>0</x:v>
      </x:c>
      <x:c r="F18" s="52" t="n">
        <x:v>284.1586952648752</x:v>
      </x:c>
      <x:c r="G18" s="52" t="n">
        <x:v>284.1586952648752</x:v>
      </x:c>
      <x:c r="H18" s="52" t="n">
        <x:v>5.784678789736269</x:v>
      </x:c>
      <x:c r="I18" s="52" t="n">
        <x:v>7.630793336483799</x:v>
      </x:c>
      <x:c r="J18" s="52" t="n">
        <x:v>0</x:v>
      </x:c>
      <x:c r="K18" s="52" t="n">
        <x:v>0</x:v>
      </x:c>
      <x:c r="L18" s="52" t="n">
        <x:v>0</x:v>
      </x:c>
      <x:c r="M18" t="str">
        <x:v>COMPRESSION</x:v>
      </x:c>
    </x:row>
    <x:row r="19">
      <x:c r="A19" t="str">
        <x:v>178</x:v>
      </x:c>
      <x:c r="B19" t="str">
        <x:v>EULS</x:v>
      </x:c>
      <x:c r="C19" s="52" t="n">
        <x:v>1.23</x:v>
      </x:c>
      <x:c r="D19" s="52" t="n">
        <x:v>0.46</x:v>
      </x:c>
      <x:c r="E19" s="52" t="n">
        <x:v>0</x:v>
      </x:c>
      <x:c r="F19" s="52" t="n">
        <x:v>275.85595425892734</x:v>
      </x:c>
      <x:c r="G19" s="52" t="n">
        <x:v>275.85595425892734</x:v>
      </x:c>
      <x:c r="H19" s="52" t="n">
        <x:v>5.783701766742128</x:v>
      </x:c>
      <x:c r="I19" s="52" t="n">
        <x:v>7.4669307380468535</x:v>
      </x:c>
      <x:c r="J19" s="52" t="n">
        <x:v>0</x:v>
      </x:c>
      <x:c r="K19" s="52" t="n">
        <x:v>0</x:v>
      </x:c>
      <x:c r="L19" s="52" t="n">
        <x:v>0</x:v>
      </x:c>
      <x:c r="M19" t="str">
        <x:v>COMPRESSION</x:v>
      </x:c>
    </x:row>
    <x:row r="20">
      <x:c r="A20" t="str">
        <x:v>179</x:v>
      </x:c>
      <x:c r="B20" t="str">
        <x:v>EULS</x:v>
      </x:c>
      <x:c r="C20" s="52" t="n">
        <x:v>0.48</x:v>
      </x:c>
      <x:c r="D20" s="52" t="n">
        <x:v>0.46</x:v>
      </x:c>
      <x:c r="E20" s="52" t="n">
        <x:v>0</x:v>
      </x:c>
      <x:c r="F20" s="52" t="n">
        <x:v>273.6354927832871</x:v>
      </x:c>
      <x:c r="G20" s="52" t="n">
        <x:v>273.6354927832871</x:v>
      </x:c>
      <x:c r="H20" s="52" t="n">
        <x:v>5.78352852822504</x:v>
      </x:c>
      <x:c r="I20" s="52" t="n">
        <x:v>7.307158132585056</x:v>
      </x:c>
      <x:c r="J20" s="52" t="n">
        <x:v>0</x:v>
      </x:c>
      <x:c r="K20" s="52" t="n">
        <x:v>0</x:v>
      </x:c>
      <x:c r="L20" s="52" t="n">
        <x:v>0</x:v>
      </x:c>
      <x:c r="M20" t="str">
        <x:v>COMPRESSION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20" hidden="0" customWidth="1"/>
    <x:col min="8" max="8" width="14" hidden="0" customWidth="1"/>
    <x:col min="9" max="9" width="12" hidden="0" customWidth="1"/>
    <x:col min="10" max="10" width="16" hidden="0" customWidth="1"/>
    <x:col min="11" max="11" width="24" hidden="0" customWidth="1"/>
    <x:col min="12" max="12" width="38" hidden="0" customWidth="1"/>
  </x:cols>
  <x:sheetData>
    <x:row r="1">
      <x:c r="A1" s="14" t="str">
        <x:v>Pile/Point</x:v>
      </x:c>
      <x:c r="B1" s="14" t="str">
        <x:v>Combo</x:v>
      </x:c>
      <x:c r="C1" s="14" t="str">
        <x:v>X (m)</x:v>
      </x:c>
      <x:c r="D1" s="14" t="str">
        <x:v>Y (m)</x:v>
      </x:c>
      <x:c r="E1" s="14" t="str">
        <x:v>Check Type</x:v>
      </x:c>
      <x:c r="F1" s="14" t="str">
        <x:v>Demand (kN)</x:v>
      </x:c>
      <x:c r="G1" s="14" t="str">
        <x:v>Capacity Nd,max (kN)</x:v>
      </x:c>
      <x:c r="H1" s="14" t="str">
        <x:v>Utilization</x:v>
      </x:c>
      <x:c r="I1" s="14" t="str">
        <x:v>Status</x:v>
      </x:c>
      <x:c r="J1" s="14" t="str">
        <x:v>Governing</x:v>
      </x:c>
      <x:c r="K1" s="14" t="str">
        <x:v>Block Reason</x:v>
      </x:c>
      <x:c r="L1" s="14" t="str">
        <x:v>Capacity Source</x:v>
      </x:c>
    </x:row>
    <x:row r="2">
      <x:c r="A2" t="str">
        <x:f>'03_IMPORTED'!A2</x:f>
        <x:v>136</x:v>
      </x:c>
      <x:c r="B2" t="str">
        <x:f>'03_IMPORTED'!B2</x:f>
        <x:v>EULS</x:v>
      </x:c>
      <x:c r="C2" t="n">
        <x:f>'03_IMPORTED'!C2</x:f>
        <x:v>1.8499999999999999</x:v>
      </x:c>
      <x:c r="D2" t="n">
        <x:f>'03_IMPORTED'!D2</x:f>
        <x:v>4.96</x:v>
      </x:c>
      <x:c r="E2" t="str">
        <x:f>'03_IMPORTED'!M2</x:f>
        <x:v>COMPRESSION</x:v>
      </x:c>
      <x:c r="F2" s="52" t="n">
        <x:f>'03_IMPORTED'!G2</x:f>
        <x:v>286.91991774862805</x:v>
      </x:c>
      <x:c r="G2" s="43" t="n">
        <x:f>'02_CAPACITY'!$B$7</x:f>
        <x:v>733.4161490683232</x:v>
      </x:c>
      <x:c r="H2" s="43" t="n">
        <x:f>IF(G2&gt;0,F2/G2,1/0)</x:f>
        <x:v>0.39121025370536167</x:v>
      </x:c>
      <x:c r="I2" s="40" t="str">
        <x:f>IF(K2&lt;&gt;"","BLOCK",IF(H2&lt;=1,"PASS","FAIL"))</x:f>
        <x:v>PASS</x:v>
      </x:c>
      <x:c r="J2" s="40" t="str">
        <x:f>IF(H2=MAX($H$2:$H$20),"GOVERNING","")</x:f>
      </x:c>
      <x:c r="K2" t="str"/>
      <x:c r="L2" t="str">
        <x:f>'02_CAPACITY'!$B$8</x:f>
        <x:v>PileCapacityEngine / MultiBoreholePileEngine</x:v>
      </x:c>
    </x:row>
    <x:row r="3">
      <x:c r="A3" t="str">
        <x:f>'03_IMPORTED'!A3</x:f>
        <x:v>137</x:v>
      </x:c>
      <x:c r="B3" t="str">
        <x:f>'03_IMPORTED'!B3</x:f>
        <x:v>EULS</x:v>
      </x:c>
      <x:c r="C3" t="n">
        <x:f>'03_IMPORTED'!C3</x:f>
        <x:v>1.68</x:v>
      </x:c>
      <x:c r="D3" t="n">
        <x:f>'03_IMPORTED'!D3</x:f>
        <x:v>4.03</x:v>
      </x:c>
      <x:c r="E3" t="str">
        <x:f>'03_IMPORTED'!M3</x:f>
        <x:v>COMPRESSION</x:v>
      </x:c>
      <x:c r="F3" s="52" t="n">
        <x:f>'03_IMPORTED'!G3</x:f>
        <x:v>260.9278268061119</x:v>
      </x:c>
      <x:c r="G3" s="43" t="n">
        <x:f>'02_CAPACITY'!$B$7</x:f>
        <x:v>733.4161490683232</x:v>
      </x:c>
      <x:c r="H3" s="43" t="n">
        <x:f>IF(G3&gt;0,F3/G3,1/0)</x:f>
        <x:v>0.3557704955605014</x:v>
      </x:c>
      <x:c r="I3" s="40" t="str">
        <x:f>IF(K3&lt;&gt;"","BLOCK",IF(H3&lt;=1,"PASS","FAIL"))</x:f>
        <x:v>PASS</x:v>
      </x:c>
      <x:c r="J3" s="40" t="str">
        <x:f>IF(H3=MAX($H$2:$H$20),"GOVERNING","")</x:f>
      </x:c>
      <x:c r="K3" t="str"/>
      <x:c r="L3" t="str">
        <x:f>'02_CAPACITY'!$B$8</x:f>
        <x:v>PileCapacityEngine / MultiBoreholePileEngine</x:v>
      </x:c>
    </x:row>
    <x:row r="4">
      <x:c r="A4" t="str">
        <x:f>'03_IMPORTED'!A4</x:f>
        <x:v>144</x:v>
      </x:c>
      <x:c r="B4" t="str">
        <x:f>'03_IMPORTED'!B4</x:f>
        <x:v>EULS</x:v>
      </x:c>
      <x:c r="C4" t="n">
        <x:f>'03_IMPORTED'!C4</x:f>
        <x:v>0.75</x:v>
      </x:c>
      <x:c r="D4" t="n">
        <x:f>'03_IMPORTED'!D4</x:f>
        <x:v>4.03</x:v>
      </x:c>
      <x:c r="E4" t="str">
        <x:f>'03_IMPORTED'!M4</x:f>
        <x:v>COMPRESSION</x:v>
      </x:c>
      <x:c r="F4" s="52" t="n">
        <x:f>'03_IMPORTED'!G4</x:f>
        <x:v>270.8934985824897</x:v>
      </x:c>
      <x:c r="G4" s="43" t="n">
        <x:f>'02_CAPACITY'!$B$7</x:f>
        <x:v>733.4161490683232</x:v>
      </x:c>
      <x:c r="H4" s="43" t="n">
        <x:f>IF(G4&gt;0,F4/G4,1/0)</x:f>
        <x:v>0.3693585134805287</x:v>
      </x:c>
      <x:c r="I4" s="40" t="str">
        <x:f>IF(K4&lt;&gt;"","BLOCK",IF(H4&lt;=1,"PASS","FAIL"))</x:f>
        <x:v>PASS</x:v>
      </x:c>
      <x:c r="J4" s="40" t="str">
        <x:f>IF(H4=MAX($H$2:$H$20),"GOVERNING","")</x:f>
      </x:c>
      <x:c r="K4" t="str"/>
      <x:c r="L4" t="str">
        <x:f>'02_CAPACITY'!$B$8</x:f>
        <x:v>PileCapacityEngine / MultiBoreholePileEngine</x:v>
      </x:c>
    </x:row>
    <x:row r="5">
      <x:c r="A5" t="str">
        <x:f>'03_IMPORTED'!A5</x:f>
        <x:v>145</x:v>
      </x:c>
      <x:c r="B5" t="str">
        <x:f>'03_IMPORTED'!B5</x:f>
        <x:v>EULS</x:v>
      </x:c>
      <x:c r="C5" t="n">
        <x:f>'03_IMPORTED'!C5</x:f>
        <x:v>0.75</x:v>
      </x:c>
      <x:c r="D5" t="n">
        <x:f>'03_IMPORTED'!D5</x:f>
        <x:v>4.96</x:v>
      </x:c>
      <x:c r="E5" t="str">
        <x:f>'03_IMPORTED'!M5</x:f>
        <x:v>COMPRESSION</x:v>
      </x:c>
      <x:c r="F5" s="52" t="n">
        <x:f>'03_IMPORTED'!G5</x:f>
        <x:v>285.1184277095996</x:v>
      </x:c>
      <x:c r="G5" s="43" t="n">
        <x:f>'02_CAPACITY'!$B$7</x:f>
        <x:v>733.4161490683232</x:v>
      </x:c>
      <x:c r="H5" s="43" t="n">
        <x:f>IF(G5&gt;0,F5/G5,1/0)</x:f>
        <x:v>0.3887539537707107</x:v>
      </x:c>
      <x:c r="I5" s="40" t="str">
        <x:f>IF(K5&lt;&gt;"","BLOCK",IF(H5&lt;=1,"PASS","FAIL"))</x:f>
        <x:v>PASS</x:v>
      </x:c>
      <x:c r="J5" s="40" t="str">
        <x:f>IF(H5=MAX($H$2:$H$20),"GOVERNING","")</x:f>
      </x:c>
      <x:c r="K5" t="str"/>
      <x:c r="L5" t="str">
        <x:f>'02_CAPACITY'!$B$8</x:f>
        <x:v>PileCapacityEngine / MultiBoreholePileEngine</x:v>
      </x:c>
    </x:row>
    <x:row r="6">
      <x:c r="A6" t="str">
        <x:f>'03_IMPORTED'!A6</x:f>
        <x:v>146</x:v>
      </x:c>
      <x:c r="B6" t="str">
        <x:f>'03_IMPORTED'!B6</x:f>
        <x:v>EULS</x:v>
      </x:c>
      <x:c r="C6" t="n">
        <x:f>'03_IMPORTED'!C6</x:f>
        <x:v>3.33</x:v>
      </x:c>
      <x:c r="D6" t="n">
        <x:f>'03_IMPORTED'!D6</x:f>
        <x:v>5.39</x:v>
      </x:c>
      <x:c r="E6" t="str">
        <x:f>'03_IMPORTED'!M6</x:f>
        <x:v>COMPRESSION</x:v>
      </x:c>
      <x:c r="F6" s="52" t="n">
        <x:f>'03_IMPORTED'!G6</x:f>
        <x:v>297.4859063516979</x:v>
      </x:c>
      <x:c r="G6" s="43" t="n">
        <x:f>'02_CAPACITY'!$B$7</x:f>
        <x:v>733.4161490683232</x:v>
      </x:c>
      <x:c r="H6" s="43" t="n">
        <x:f>IF(G6&gt;0,F6/G6,1/0)</x:f>
        <x:v>0.4056167930438969</x:v>
      </x:c>
      <x:c r="I6" s="40" t="str">
        <x:f>IF(K6&lt;&gt;"","BLOCK",IF(H6&lt;=1,"PASS","FAIL"))</x:f>
        <x:v>PASS</x:v>
      </x:c>
      <x:c r="J6" s="40" t="str">
        <x:f>IF(H6=MAX($H$2:$H$20),"GOVERNING","")</x:f>
      </x:c>
      <x:c r="K6" t="str"/>
      <x:c r="L6" t="str">
        <x:f>'02_CAPACITY'!$B$8</x:f>
        <x:v>PileCapacityEngine / MultiBoreholePileEngine</x:v>
      </x:c>
    </x:row>
    <x:row r="7">
      <x:c r="A7" t="str">
        <x:f>'03_IMPORTED'!A7</x:f>
        <x:v>147</x:v>
      </x:c>
      <x:c r="B7" t="str">
        <x:f>'03_IMPORTED'!B7</x:f>
        <x:v>EULS</x:v>
      </x:c>
      <x:c r="C7" t="n">
        <x:f>'03_IMPORTED'!C7</x:f>
        <x:v>4.07</x:v>
      </x:c>
      <x:c r="D7" t="n">
        <x:f>'03_IMPORTED'!D7</x:f>
        <x:v>5.48</x:v>
      </x:c>
      <x:c r="E7" t="str">
        <x:f>'03_IMPORTED'!M7</x:f>
        <x:v>COMPRESSION</x:v>
      </x:c>
      <x:c r="F7" s="52" t="n">
        <x:f>'03_IMPORTED'!G7</x:f>
        <x:v>300.3376508670345</x:v>
      </x:c>
      <x:c r="G7" s="43" t="n">
        <x:f>'02_CAPACITY'!$B$7</x:f>
        <x:v>733.4161490683232</x:v>
      </x:c>
      <x:c r="H7" s="43" t="n">
        <x:f>IF(G7&gt;0,F7/G7,1/0)</x:f>
        <x:v>0.40950509645657635</x:v>
      </x:c>
      <x:c r="I7" s="40" t="str">
        <x:f>IF(K7&lt;&gt;"","BLOCK",IF(H7&lt;=1,"PASS","FAIL"))</x:f>
        <x:v>PASS</x:v>
      </x:c>
      <x:c r="J7" s="40" t="str">
        <x:f>IF(H7=MAX($H$2:$H$20),"GOVERNING","")</x:f>
      </x:c>
      <x:c r="K7" t="str"/>
      <x:c r="L7" t="str">
        <x:f>'02_CAPACITY'!$B$8</x:f>
        <x:v>PileCapacityEngine / MultiBoreholePileEngine</x:v>
      </x:c>
    </x:row>
    <x:row r="8">
      <x:c r="A8" t="str">
        <x:f>'03_IMPORTED'!A8</x:f>
        <x:v>148</x:v>
      </x:c>
      <x:c r="B8" t="str">
        <x:f>'03_IMPORTED'!B8</x:f>
        <x:v>EULS</x:v>
      </x:c>
      <x:c r="C8" t="n">
        <x:f>'03_IMPORTED'!C8</x:f>
        <x:v>4.81</x:v>
      </x:c>
      <x:c r="D8" t="n">
        <x:f>'03_IMPORTED'!D8</x:f>
        <x:v>5.57</x:v>
      </x:c>
      <x:c r="E8" t="str">
        <x:f>'03_IMPORTED'!M8</x:f>
        <x:v>COMPRESSION</x:v>
      </x:c>
      <x:c r="F8" s="52" t="n">
        <x:f>'03_IMPORTED'!G8</x:f>
        <x:v>300.04555821930734</x:v>
      </x:c>
      <x:c r="G8" s="43" t="n">
        <x:f>'02_CAPACITY'!$B$7</x:f>
        <x:v>733.4161490683232</x:v>
      </x:c>
      <x:c r="H8" s="43" t="n">
        <x:f>IF(G8&gt;0,F8/G8,1/0)</x:f>
        <x:v>0.40910683327666386</x:v>
      </x:c>
      <x:c r="I8" s="40" t="str">
        <x:f>IF(K8&lt;&gt;"","BLOCK",IF(H8&lt;=1,"PASS","FAIL"))</x:f>
        <x:v>PASS</x:v>
      </x:c>
      <x:c r="J8" s="40" t="str">
        <x:f>IF(H8=MAX($H$2:$H$20),"GOVERNING","")</x:f>
      </x:c>
      <x:c r="K8" t="str"/>
      <x:c r="L8" t="str">
        <x:f>'02_CAPACITY'!$B$8</x:f>
        <x:v>PileCapacityEngine / MultiBoreholePileEngine</x:v>
      </x:c>
    </x:row>
    <x:row r="9">
      <x:c r="A9" t="str">
        <x:f>'03_IMPORTED'!A9</x:f>
        <x:v>159</x:v>
      </x:c>
      <x:c r="B9" t="str">
        <x:f>'03_IMPORTED'!B9</x:f>
        <x:v>EULS</x:v>
      </x:c>
      <x:c r="C9" t="n">
        <x:f>'03_IMPORTED'!C9</x:f>
        <x:v>7.19</x:v>
      </x:c>
      <x:c r="D9" t="n">
        <x:f>'03_IMPORTED'!D9</x:f>
        <x:v>5.72</x:v>
      </x:c>
      <x:c r="E9" t="str">
        <x:f>'03_IMPORTED'!M9</x:f>
        <x:v>COMPRESSION</x:v>
      </x:c>
      <x:c r="F9" s="52" t="n">
        <x:f>'03_IMPORTED'!G9</x:f>
        <x:v>303.4136821443748</x:v>
      </x:c>
      <x:c r="G9" s="43" t="n">
        <x:f>'02_CAPACITY'!$B$7</x:f>
        <x:v>733.4161490683232</x:v>
      </x:c>
      <x:c r="H9" s="43" t="n">
        <x:f>IF(G9&gt;0,F9/G9,1/0)</x:f>
        <x:v>0.41369921091839706</x:v>
      </x:c>
      <x:c r="I9" s="40" t="str">
        <x:f>IF(K9&lt;&gt;"","BLOCK",IF(H9&lt;=1,"PASS","FAIL"))</x:f>
        <x:v>PASS</x:v>
      </x:c>
      <x:c r="J9" s="40" t="str">
        <x:f>IF(H9=MAX($H$2:$H$20),"GOVERNING","")</x:f>
      </x:c>
      <x:c r="K9" t="str"/>
      <x:c r="L9" t="str">
        <x:f>'02_CAPACITY'!$B$8</x:f>
        <x:v>PileCapacityEngine / MultiBoreholePileEngine</x:v>
      </x:c>
    </x:row>
    <x:row r="10">
      <x:c r="A10" t="str">
        <x:f>'03_IMPORTED'!A10</x:f>
        <x:v>160</x:v>
      </x:c>
      <x:c r="B10" t="str">
        <x:f>'03_IMPORTED'!B10</x:f>
        <x:v>EULS</x:v>
      </x:c>
      <x:c r="C10" t="n">
        <x:f>'03_IMPORTED'!C10</x:f>
        <x:v>7.93</x:v>
      </x:c>
      <x:c r="D10" t="n">
        <x:f>'03_IMPORTED'!D10</x:f>
        <x:v>5.81</x:v>
      </x:c>
      <x:c r="E10" t="str">
        <x:f>'03_IMPORTED'!M10</x:f>
        <x:v>COMPRESSION</x:v>
      </x:c>
      <x:c r="F10" s="52" t="n">
        <x:f>'03_IMPORTED'!G10</x:f>
        <x:v>343.63918974684805</x:v>
      </x:c>
      <x:c r="G10" s="43" t="n">
        <x:f>'02_CAPACITY'!$B$7</x:f>
        <x:v>733.4161490683232</x:v>
      </x:c>
      <x:c r="H10" s="43" t="n">
        <x:f>IF(G10&gt;0,F10/G10,1/0)</x:f>
        <x:v>0.46854598195496716</x:v>
      </x:c>
      <x:c r="I10" s="40" t="str">
        <x:f>IF(K10&lt;&gt;"","BLOCK",IF(H10&lt;=1,"PASS","FAIL"))</x:f>
        <x:v>PASS</x:v>
      </x:c>
      <x:c r="J10" s="40" t="str">
        <x:f>IF(H10=MAX($H$2:$H$20),"GOVERNING","")</x:f>
      </x:c>
      <x:c r="K10" t="str"/>
      <x:c r="L10" t="str">
        <x:f>'02_CAPACITY'!$B$8</x:f>
        <x:v>PileCapacityEngine / MultiBoreholePileEngine</x:v>
      </x:c>
    </x:row>
    <x:row r="11">
      <x:c r="A11" t="str">
        <x:f>'03_IMPORTED'!A11</x:f>
        <x:v>161</x:v>
      </x:c>
      <x:c r="B11" t="str">
        <x:f>'03_IMPORTED'!B11</x:f>
        <x:v>EULS</x:v>
      </x:c>
      <x:c r="C11" t="n">
        <x:f>'03_IMPORTED'!C11</x:f>
        <x:v>8.2</x:v>
      </x:c>
      <x:c r="D11" t="n">
        <x:f>'03_IMPORTED'!D11</x:f>
        <x:v>5.11</x:v>
      </x:c>
      <x:c r="E11" t="str">
        <x:f>'03_IMPORTED'!M11</x:f>
        <x:v>COMPRESSION</x:v>
      </x:c>
      <x:c r="F11" s="52" t="n">
        <x:f>'03_IMPORTED'!G11</x:f>
        <x:v>280.22771574243876</x:v>
      </x:c>
      <x:c r="G11" s="43" t="n">
        <x:f>'02_CAPACITY'!$B$7</x:f>
        <x:v>733.4161490683232</x:v>
      </x:c>
      <x:c r="H11" s="43" t="n">
        <x:f>IF(G11&gt;0,F11/G11,1/0)</x:f>
        <x:v>0.3820855541542397</x:v>
      </x:c>
      <x:c r="I11" s="40" t="str">
        <x:f>IF(K11&lt;&gt;"","BLOCK",IF(H11&lt;=1,"PASS","FAIL"))</x:f>
        <x:v>PASS</x:v>
      </x:c>
      <x:c r="J11" s="40" t="str">
        <x:f>IF(H11=MAX($H$2:$H$20),"GOVERNING","")</x:f>
      </x:c>
      <x:c r="K11" t="str"/>
      <x:c r="L11" t="str">
        <x:f>'02_CAPACITY'!$B$8</x:f>
        <x:v>PileCapacityEngine / MultiBoreholePileEngine</x:v>
      </x:c>
    </x:row>
    <x:row r="12">
      <x:c r="A12" t="str">
        <x:f>'03_IMPORTED'!A12</x:f>
        <x:v>167</x:v>
      </x:c>
      <x:c r="B12" t="str">
        <x:f>'03_IMPORTED'!B12</x:f>
        <x:v>EULS</x:v>
      </x:c>
      <x:c r="C12" t="n">
        <x:f>'03_IMPORTED'!C12</x:f>
        <x:v>6.9</x:v>
      </x:c>
      <x:c r="D12" t="n">
        <x:f>'03_IMPORTED'!D12</x:f>
        <x:v>0.46</x:v>
      </x:c>
      <x:c r="E12" t="str">
        <x:f>'03_IMPORTED'!M12</x:f>
        <x:v>COMPRESSION</x:v>
      </x:c>
      <x:c r="F12" s="52" t="n">
        <x:f>'03_IMPORTED'!G12</x:f>
        <x:v>310.9017790337088</x:v>
      </x:c>
      <x:c r="G12" s="43" t="n">
        <x:f>'02_CAPACITY'!$B$7</x:f>
        <x:v>733.4161490683232</x:v>
      </x:c>
      <x:c r="H12" s="43" t="n">
        <x:f>IF(G12&gt;0,F12/G12,1/0)</x:f>
        <x:v>0.42390909912285824</x:v>
      </x:c>
      <x:c r="I12" s="40" t="str">
        <x:f>IF(K12&lt;&gt;"","BLOCK",IF(H12&lt;=1,"PASS","FAIL"))</x:f>
        <x:v>PASS</x:v>
      </x:c>
      <x:c r="J12" s="40" t="str">
        <x:f>IF(H12=MAX($H$2:$H$20),"GOVERNING","")</x:f>
      </x:c>
      <x:c r="K12" t="str"/>
      <x:c r="L12" t="str">
        <x:f>'02_CAPACITY'!$B$8</x:f>
        <x:v>PileCapacityEngine / MultiBoreholePileEngine</x:v>
      </x:c>
    </x:row>
    <x:row r="13">
      <x:c r="A13" t="str">
        <x:f>'03_IMPORTED'!A13</x:f>
        <x:v>168</x:v>
      </x:c>
      <x:c r="B13" t="str">
        <x:f>'03_IMPORTED'!B13</x:f>
        <x:v>EULS</x:v>
      </x:c>
      <x:c r="C13" t="n">
        <x:f>'03_IMPORTED'!C13</x:f>
        <x:v>7.65</x:v>
      </x:c>
      <x:c r="D13" t="n">
        <x:f>'03_IMPORTED'!D13</x:f>
        <x:v>0.46</x:v>
      </x:c>
      <x:c r="E13" t="str">
        <x:f>'03_IMPORTED'!M13</x:f>
        <x:v>COMPRESSION</x:v>
      </x:c>
      <x:c r="F13" s="52" t="n">
        <x:f>'03_IMPORTED'!G13</x:f>
        <x:v>365.2920507005818</x:v>
      </x:c>
      <x:c r="G13" s="43" t="n">
        <x:f>'02_CAPACITY'!$B$7</x:f>
        <x:v>733.4161490683232</x:v>
      </x:c>
      <x:c r="H13" s="43" t="n">
        <x:f>IF(G13&gt;0,F13/G13,1/0)</x:f>
        <x:v>0.4980692764464232</x:v>
      </x:c>
      <x:c r="I13" s="40" t="str">
        <x:f>IF(K13&lt;&gt;"","BLOCK",IF(H13&lt;=1,"PASS","FAIL"))</x:f>
        <x:v>PASS</x:v>
      </x:c>
      <x:c r="J13" s="40" t="str">
        <x:f>IF(H13=MAX($H$2:$H$20),"GOVERNING","")</x:f>
        <x:v>GOVERNING</x:v>
      </x:c>
      <x:c r="K13" t="str"/>
      <x:c r="L13" t="str">
        <x:f>'02_CAPACITY'!$B$8</x:f>
        <x:v>PileCapacityEngine / MultiBoreholePileEngine</x:v>
      </x:c>
    </x:row>
    <x:row r="14">
      <x:c r="A14" t="str">
        <x:f>'03_IMPORTED'!A14</x:f>
        <x:v>169</x:v>
      </x:c>
      <x:c r="B14" t="str">
        <x:f>'03_IMPORTED'!B14</x:f>
        <x:v>EULS</x:v>
      </x:c>
      <x:c r="C14" t="n">
        <x:f>'03_IMPORTED'!C14</x:f>
        <x:v>7.65</x:v>
      </x:c>
      <x:c r="D14" t="n">
        <x:f>'03_IMPORTED'!D14</x:f>
        <x:v>1.1</x:v>
      </x:c>
      <x:c r="E14" t="str">
        <x:f>'03_IMPORTED'!M14</x:f>
        <x:v>COMPRESSION</x:v>
      </x:c>
      <x:c r="F14" s="52" t="n">
        <x:f>'03_IMPORTED'!G14</x:f>
        <x:v>290.52138193625683</x:v>
      </x:c>
      <x:c r="G14" s="43" t="n">
        <x:f>'02_CAPACITY'!$B$7</x:f>
        <x:v>733.4161490683232</x:v>
      </x:c>
      <x:c r="H14" s="43" t="n">
        <x:f>IF(G14&gt;0,F14/G14,1/0)</x:f>
        <x:v>0.3961207866847674</x:v>
      </x:c>
      <x:c r="I14" s="40" t="str">
        <x:f>IF(K14&lt;&gt;"","BLOCK",IF(H14&lt;=1,"PASS","FAIL"))</x:f>
        <x:v>PASS</x:v>
      </x:c>
      <x:c r="J14" s="40" t="str">
        <x:f>IF(H14=MAX($H$2:$H$20),"GOVERNING","")</x:f>
      </x:c>
      <x:c r="K14" t="str"/>
      <x:c r="L14" t="str">
        <x:f>'02_CAPACITY'!$B$8</x:f>
        <x:v>PileCapacityEngine / MultiBoreholePileEngine</x:v>
      </x:c>
    </x:row>
    <x:row r="15">
      <x:c r="A15" t="str">
        <x:f>'03_IMPORTED'!A15</x:f>
        <x:v>170</x:v>
      </x:c>
      <x:c r="B15" t="str">
        <x:f>'03_IMPORTED'!B15</x:f>
        <x:v>EULS</x:v>
      </x:c>
      <x:c r="C15" t="n">
        <x:f>'03_IMPORTED'!C15</x:f>
        <x:v>4.82</x:v>
      </x:c>
      <x:c r="D15" t="n">
        <x:f>'03_IMPORTED'!D15</x:f>
        <x:v>0.49</x:v>
      </x:c>
      <x:c r="E15" t="str">
        <x:f>'03_IMPORTED'!M15</x:f>
        <x:v>COMPRESSION</x:v>
      </x:c>
      <x:c r="F15" s="52" t="n">
        <x:f>'03_IMPORTED'!G15</x:f>
        <x:v>285.949573636969</x:v>
      </x:c>
      <x:c r="G15" s="43" t="n">
        <x:f>'02_CAPACITY'!$B$7</x:f>
        <x:v>733.4161490683232</x:v>
      </x:c>
      <x:c r="H15" s="43" t="n">
        <x:f>IF(G15&gt;0,F15/G15,1/0)</x:f>
        <x:v>0.38988720660189696</x:v>
      </x:c>
      <x:c r="I15" s="40" t="str">
        <x:f>IF(K15&lt;&gt;"","BLOCK",IF(H15&lt;=1,"PASS","FAIL"))</x:f>
        <x:v>PASS</x:v>
      </x:c>
      <x:c r="J15" s="40" t="str">
        <x:f>IF(H15=MAX($H$2:$H$20),"GOVERNING","")</x:f>
      </x:c>
      <x:c r="K15" t="str"/>
      <x:c r="L15" t="str">
        <x:f>'02_CAPACITY'!$B$8</x:f>
        <x:v>PileCapacityEngine / MultiBoreholePileEngine</x:v>
      </x:c>
    </x:row>
    <x:row r="16">
      <x:c r="A16" t="str">
        <x:f>'03_IMPORTED'!A16</x:f>
        <x:v>171</x:v>
      </x:c>
      <x:c r="B16" t="str">
        <x:f>'03_IMPORTED'!B16</x:f>
        <x:v>EULS</x:v>
      </x:c>
      <x:c r="C16" t="n">
        <x:f>'03_IMPORTED'!C16</x:f>
        <x:v>4.07</x:v>
      </x:c>
      <x:c r="D16" t="n">
        <x:f>'03_IMPORTED'!D16</x:f>
        <x:v>0.49</x:v>
      </x:c>
      <x:c r="E16" t="str">
        <x:f>'03_IMPORTED'!M16</x:f>
        <x:v>COMPRESSION</x:v>
      </x:c>
      <x:c r="F16" s="52" t="n">
        <x:f>'03_IMPORTED'!G16</x:f>
        <x:v>285.78082587948563</x:v>
      </x:c>
      <x:c r="G16" s="43" t="n">
        <x:f>'02_CAPACITY'!$B$7</x:f>
        <x:v>733.4161490683232</x:v>
      </x:c>
      <x:c r="H16" s="43" t="n">
        <x:f>IF(G16&gt;0,F16/G16,1/0)</x:f>
        <x:v>0.3896571220070899</x:v>
      </x:c>
      <x:c r="I16" s="40" t="str">
        <x:f>IF(K16&lt;&gt;"","BLOCK",IF(H16&lt;=1,"PASS","FAIL"))</x:f>
        <x:v>PASS</x:v>
      </x:c>
      <x:c r="J16" s="40" t="str">
        <x:f>IF(H16=MAX($H$2:$H$20),"GOVERNING","")</x:f>
      </x:c>
      <x:c r="K16" t="str"/>
      <x:c r="L16" t="str">
        <x:f>'02_CAPACITY'!$B$8</x:f>
        <x:v>PileCapacityEngine / MultiBoreholePileEngine</x:v>
      </x:c>
    </x:row>
    <x:row r="17">
      <x:c r="A17" t="str">
        <x:f>'03_IMPORTED'!A17</x:f>
        <x:v>172</x:v>
      </x:c>
      <x:c r="B17" t="str">
        <x:f>'03_IMPORTED'!B17</x:f>
        <x:v>EULS</x:v>
      </x:c>
      <x:c r="C17" t="n">
        <x:f>'03_IMPORTED'!C17</x:f>
        <x:v>3.32</x:v>
      </x:c>
      <x:c r="D17" t="n">
        <x:f>'03_IMPORTED'!D17</x:f>
        <x:v>0.49</x:v>
      </x:c>
      <x:c r="E17" t="str">
        <x:f>'03_IMPORTED'!M17</x:f>
        <x:v>COMPRESSION</x:v>
      </x:c>
      <x:c r="F17" s="52" t="n">
        <x:f>'03_IMPORTED'!G17</x:f>
        <x:v>282.45435302362756</x:v>
      </x:c>
      <x:c r="G17" s="43" t="n">
        <x:f>'02_CAPACITY'!$B$7</x:f>
        <x:v>733.4161490683232</x:v>
      </x:c>
      <x:c r="H17" s="43" t="n">
        <x:f>IF(G17&gt;0,F17/G17,1/0)</x:f>
        <x:v>0.3851215348645327</x:v>
      </x:c>
      <x:c r="I17" s="40" t="str">
        <x:f>IF(K17&lt;&gt;"","BLOCK",IF(H17&lt;=1,"PASS","FAIL"))</x:f>
        <x:v>PASS</x:v>
      </x:c>
      <x:c r="J17" s="40" t="str">
        <x:f>IF(H17=MAX($H$2:$H$20),"GOVERNING","")</x:f>
      </x:c>
      <x:c r="K17" t="str"/>
      <x:c r="L17" t="str">
        <x:f>'02_CAPACITY'!$B$8</x:f>
        <x:v>PileCapacityEngine / MultiBoreholePileEngine</x:v>
      </x:c>
    </x:row>
    <x:row r="18">
      <x:c r="A18" t="str">
        <x:f>'03_IMPORTED'!A18</x:f>
        <x:v>177</x:v>
      </x:c>
      <x:c r="B18" t="str">
        <x:f>'03_IMPORTED'!B18</x:f>
        <x:v>EULS</x:v>
      </x:c>
      <x:c r="C18" t="n">
        <x:f>'03_IMPORTED'!C18</x:f>
        <x:v>1.98</x:v>
      </x:c>
      <x:c r="D18" t="n">
        <x:f>'03_IMPORTED'!D18</x:f>
        <x:v>0.46</x:v>
      </x:c>
      <x:c r="E18" t="str">
        <x:f>'03_IMPORTED'!M18</x:f>
        <x:v>COMPRESSION</x:v>
      </x:c>
      <x:c r="F18" s="52" t="n">
        <x:f>'03_IMPORTED'!G18</x:f>
        <x:v>284.1586952648752</x:v>
      </x:c>
      <x:c r="G18" s="43" t="n">
        <x:f>'02_CAPACITY'!$B$7</x:f>
        <x:v>733.4161490683232</x:v>
      </x:c>
      <x:c r="H18" s="43" t="n">
        <x:f>IF(G18&gt;0,F18/G18,1/0)</x:f>
        <x:v>0.38744537548818503</x:v>
      </x:c>
      <x:c r="I18" s="40" t="str">
        <x:f>IF(K18&lt;&gt;"","BLOCK",IF(H18&lt;=1,"PASS","FAIL"))</x:f>
        <x:v>PASS</x:v>
      </x:c>
      <x:c r="J18" s="40" t="str">
        <x:f>IF(H18=MAX($H$2:$H$20),"GOVERNING","")</x:f>
      </x:c>
      <x:c r="K18" t="str"/>
      <x:c r="L18" t="str">
        <x:f>'02_CAPACITY'!$B$8</x:f>
        <x:v>PileCapacityEngine / MultiBoreholePileEngine</x:v>
      </x:c>
    </x:row>
    <x:row r="19">
      <x:c r="A19" t="str">
        <x:f>'03_IMPORTED'!A19</x:f>
        <x:v>178</x:v>
      </x:c>
      <x:c r="B19" t="str">
        <x:f>'03_IMPORTED'!B19</x:f>
        <x:v>EULS</x:v>
      </x:c>
      <x:c r="C19" t="n">
        <x:f>'03_IMPORTED'!C19</x:f>
        <x:v>1.23</x:v>
      </x:c>
      <x:c r="D19" t="n">
        <x:f>'03_IMPORTED'!D19</x:f>
        <x:v>0.46</x:v>
      </x:c>
      <x:c r="E19" t="str">
        <x:f>'03_IMPORTED'!M19</x:f>
        <x:v>COMPRESSION</x:v>
      </x:c>
      <x:c r="F19" s="52" t="n">
        <x:f>'03_IMPORTED'!G19</x:f>
        <x:v>275.85595425892734</x:v>
      </x:c>
      <x:c r="G19" s="43" t="n">
        <x:f>'02_CAPACITY'!$B$7</x:f>
        <x:v>733.4161490683232</x:v>
      </x:c>
      <x:c r="H19" s="43" t="n">
        <x:f>IF(G19&gt;0,F19/G19,1/0)</x:f>
        <x:v>0.37612473438082056</x:v>
      </x:c>
      <x:c r="I19" s="40" t="str">
        <x:f>IF(K19&lt;&gt;"","BLOCK",IF(H19&lt;=1,"PASS","FAIL"))</x:f>
        <x:v>PASS</x:v>
      </x:c>
      <x:c r="J19" s="40" t="str">
        <x:f>IF(H19=MAX($H$2:$H$20),"GOVERNING","")</x:f>
      </x:c>
      <x:c r="K19" t="str"/>
      <x:c r="L19" t="str">
        <x:f>'02_CAPACITY'!$B$8</x:f>
        <x:v>PileCapacityEngine / MultiBoreholePileEngine</x:v>
      </x:c>
    </x:row>
    <x:row r="20">
      <x:c r="A20" t="str">
        <x:f>'03_IMPORTED'!A20</x:f>
        <x:v>179</x:v>
      </x:c>
      <x:c r="B20" t="str">
        <x:f>'03_IMPORTED'!B20</x:f>
        <x:v>EULS</x:v>
      </x:c>
      <x:c r="C20" t="n">
        <x:f>'03_IMPORTED'!C20</x:f>
        <x:v>0.48</x:v>
      </x:c>
      <x:c r="D20" t="n">
        <x:f>'03_IMPORTED'!D20</x:f>
        <x:v>0.46</x:v>
      </x:c>
      <x:c r="E20" t="str">
        <x:f>'03_IMPORTED'!M20</x:f>
        <x:v>COMPRESSION</x:v>
      </x:c>
      <x:c r="F20" s="52" t="n">
        <x:f>'03_IMPORTED'!G20</x:f>
        <x:v>273.6354927832871</x:v>
      </x:c>
      <x:c r="G20" s="43" t="n">
        <x:f>'02_CAPACITY'!$B$7</x:f>
        <x:v>733.4161490683232</x:v>
      </x:c>
      <x:c r="H20" s="43" t="n">
        <x:f>IF(G20&gt;0,F20/G20,1/0)</x:f>
        <x:v>0.3730971742726051</x:v>
      </x:c>
      <x:c r="I20" s="40" t="str">
        <x:f>IF(K20&lt;&gt;"","BLOCK",IF(H20&lt;=1,"PASS","FAIL"))</x:f>
        <x:v>PASS</x:v>
      </x:c>
      <x:c r="J20" s="40" t="str">
        <x:f>IF(H20=MAX($H$2:$H$20),"GOVERNING","")</x:f>
      </x:c>
      <x:c r="K20" t="str"/>
      <x:c r="L20" t="str">
        <x:f>'02_CAPACITY'!$B$8</x:f>
        <x:v>PileCapacityEngine / MultiBoreholePileEngine</x:v>
      </x:c>
    </x:row>
  </x:sheetData>
  <x:conditionalFormatting sqref="I2:I20">
    <x:cfRule type="expression" dxfId="2" priority="1">
      <x:formula>I2="PASS"</x:formula>
    </x:cfRule>
    <x:cfRule type="expression" dxfId="3" priority="2">
      <x:formula>I2="FAIL"</x:formula>
    </x:cfRule>
    <x:cfRule type="expression" dxfId="4" priority="3">
      <x:formula>I2="BLOCK"</x:formula>
    </x:cfRule>
  </x:conditionalFormatting>
  <x:conditionalFormatting sqref="J2:J20">
    <x:cfRule type="expression" dxfId="5" priority="4">
      <x:formula>J2="GOVERNING"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55" hidden="0" customWidth="1"/>
  </x:cols>
  <x:sheetData>
    <x:row r="1" ht="15" hidden="0" customHeight="1">
      <x:c r="A1" s="14" t="str">
        <x:v>Hạng mục</x:v>
      </x:c>
      <x:c r="B1" s="14" t="str">
        <x:v>Nguồn / trạng thái</x:v>
      </x:c>
      <x:c r="C1" s="14" t="str">
        <x:v>Ghi chú</x:v>
      </x:c>
    </x:row>
    <x:row r="2" ht="15" hidden="0" customHeight="1">
      <x:c r="A2" s="21" t="str">
        <x:v>Structural source</x:v>
      </x:c>
      <x:c r="B2" s="21" t="str">
        <x:v>10.1 DCE_SctCoc_10304 2025.xlsm</x:v>
      </x:c>
      <x:c r="C2" s="21" t="str">
        <x:v>Behavioral/reference data source</x:v>
      </x:c>
    </x:row>
    <x:row r="3" ht="15" hidden="0" customHeight="1">
      <x:c r="A3" s="21" t="str">
        <x:v>Workbook SHA-256</x:v>
      </x:c>
      <x:c r="B3" s="21" t="str">
        <x:v>ec38b68f753b08e50d9d1f9df988be5084cab1aedf391ba1aaecf112e9d88bd1</x:v>
      </x:c>
      <x:c r="C3" s="21" t="str">
        <x:v>Exact audited workbook</x:v>
      </x:c>
    </x:row>
    <x:row r="4" ht="15" hidden="0" customHeight="1">
      <x:c r="A4" s="21" t="str">
        <x:v>Pass 5 Core</x:v>
      </x:c>
      <x:c r="B4" s="21" t="str">
        <x:v>LOCKED v16</x:v>
      </x:c>
      <x:c r="C4" s="21" t="str">
        <x:v>Parse-normalize-map-validate-handoff only</x:v>
      </x:c>
    </x:row>
    <x:row r="5" ht="15" hidden="0" customHeight="1">
      <x:c r="A5" s="21" t="str">
        <x:v>Pass 4 imported numeric core</x:v>
      </x:c>
      <x:c r="B5" s="21" t="str">
        <x:v>LOCKED</x:v>
      </x:c>
      <x:c r="C5" s="21" t="str">
        <x:v>Imported nodal-reaction checker; no rigid-cap derivation</x:v>
      </x:c>
    </x:row>
    <x:row r="6" ht="15" hidden="0" customHeight="1">
      <x:c r="A6" s="21" t="str">
        <x:v>Rpile/γn</x:v>
      </x:c>
      <x:c r="B6" s="21" t="str">
        <x:v>pile-quantity-golden-v1.25.7.json / LOCKED-RPILE-MIN</x:v>
      </x:c>
      <x:c r="C6" s="21" t="str">
        <x:v>Upstream locked capacity provenance</x:v>
      </x:c>
    </x:row>
    <x:row r="7" ht="15" hidden="0" customHeight="1">
      <x:c r="A7" s="21" t="str">
        <x:v>DCE Rd=350</x:v>
      </x:c>
      <x:c r="B7" s="21" t="str">
        <x:v>REFERENCE ONLY</x:v>
      </x:c>
      <x:c r="C7" s="21" t="str">
        <x:v>Not used as Production capacity in Pass 6 Golden</x:v>
      </x:c>
    </x:row>
    <x:row r="8" ht="15" hidden="0" customHeight="1">
      <x:c r="A8" s="21" t="str">
        <x:v>CSV parity</x:v>
      </x:c>
      <x:c r="B8" s="21" t="str">
        <x:v>19/19 PASS</x:v>
      </x:c>
      <x:c r="C8" s="21" t="str">
        <x:v>CSV and DCE yield identical check results</x:v>
      </x:c>
    </x:row>
    <x:row r="9" ht="15" hidden="0" customHeight="1">
      <x:c r="A9" s="21" t="str">
        <x:v>Search Brain prior SHA</x:v>
      </x:c>
      <x:c r="B9" s="21" t="str">
        <x:v>f9b65e5e6fb61dcca233a4fe43950e3174c73536f2fa83452da3041fbd0021d2</x:v>
      </x:c>
      <x:c r="C9" s="21" t="str">
        <x:v>Prior locked gate; Pass 6 patch does not edit search.js</x:v>
      </x:c>
    </x:row>
    <x:row r="10" ht="15" hidden="0" customHeight="1">
      <x:c r="A10" s="21" t="str">
        <x:v>Live ETABS/SAP</x:v>
      </x:c>
      <x:c r="B10" s="21" t="str">
        <x:v>DEFERRED</x:v>
      </x:c>
      <x:c r="C10" s="21" t="str">
        <x:v>Not certified in current Linux environment</x:v>
      </x:c>
    </x:row>
    <x:row r="11" ht="15" hidden="0" customHeight="1">
      <x:c r="A11" s="21" t="str">
        <x:v>Full-source merge</x:v>
      </x:c>
      <x:c r="B11" s="21" t="str">
        <x:v>DEFERRED SEPARATE GATE</x:v>
      </x:c>
      <x:c r="C11" s="21" t="str">
        <x:v>Pass 6 artifact is a scoped Core Locked patch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85" hidden="0" customWidth="1"/>
    <x:col min="5" max="5" width="24" hidden="0" customWidth="1"/>
    <x:col min="6" max="6" width="36" hidden="0" customWidth="1"/>
  </x:cols>
  <x:sheetData>
    <x:row r="1" ht="15" hidden="0" customHeight="1">
      <x:c r="A1" s="14" t="str">
        <x:v>Gate</x:v>
      </x:c>
      <x:c r="B1" s="14" t="str">
        <x:v>Status</x:v>
      </x:c>
      <x:c r="C1" s="14" t="str">
        <x:v>Detail</x:v>
      </x:c>
      <x:c r="D1" s="21"/>
      <x:c r="E1" s="14" t="str">
        <x:v>Golden Summary</x:v>
      </x:c>
      <x:c r="F1" s="14" t="str">
        <x:v>Value</x:v>
      </x:c>
    </x:row>
    <x:row r="2" ht="26.399999618530273" hidden="0" customHeight="1">
      <x:c r="A2" s="21" t="str">
        <x:v>UPSTREAM_HASH_src/etabs-sap-importer.js</x:v>
      </x:c>
      <x:c r="B2" s="21" t="str">
        <x:v>PASS</x:v>
      </x:c>
      <x:c r="C2" s="21" t="str">
        <x:v>{"actual": "ce5ad7c1d2e14721f14467bfe19e7e29531629fc4f5a3682ed38dc01dff1bd3d", "expected": "ce5ad7c1d2e14721f14467bfe19e7e29531629fc4f5a3682ed38dc01dff1bd3d"}</x:v>
      </x:c>
      <x:c r="D2" s="21"/>
      <x:c r="E2" s="21" t="str">
        <x:v>Gate Status</x:v>
      </x:c>
      <x:c r="F2" s="21" t="str">
        <x:v>CORE_LOCKED_PATCH</x:v>
      </x:c>
    </x:row>
    <x:row r="3" ht="26.399999618530273" hidden="0" customHeight="1">
      <x:c r="A3" s="21" t="str">
        <x:v>UPSTREAM_HASH_src/csi-live-bridge.js</x:v>
      </x:c>
      <x:c r="B3" s="21" t="str">
        <x:v>PASS</x:v>
      </x:c>
      <x:c r="C3" s="21" t="str">
        <x:v>{"actual": "c9bf005b3ef9d0035256d98caeefa2d4a0469477ec11fb83838843f3661d8095", "expected": "c9bf005b3ef9d0035256d98caeefa2d4a0469477ec11fb83838843f3661d8095"}</x:v>
      </x:c>
      <x:c r="D3" s="21"/>
      <x:c r="E3" s="21" t="str">
        <x:v>Current Tests</x:v>
      </x:c>
      <x:c r="F3" s="21" t="str">
        <x:v>148/148 PASS</x:v>
      </x:c>
    </x:row>
    <x:row r="4" ht="26.399999618530273" hidden="0" customHeight="1">
      <x:c r="A4" s="21" t="str">
        <x:v>UPSTREAM_HASH_src/pass5-core-status.js</x:v>
      </x:c>
      <x:c r="B4" s="21" t="str">
        <x:v>PASS</x:v>
      </x:c>
      <x:c r="C4" s="21" t="str">
        <x:v>{"actual": "4d7a5f59c1879c0868f74b41b2c52ff8caa7404ccc1935299a4d2ec28feeb55c", "expected": "4d7a5f59c1879c0868f74b41b2c52ff8caa7404ccc1935299a4d2ec28feeb55c"}</x:v>
      </x:c>
      <x:c r="D4" s="21"/>
      <x:c r="E4" s="21" t="str">
        <x:v>DCE ↔ CSV</x:v>
      </x:c>
      <x:c r="F4" s="21" t="str">
        <x:v>19/19 PASS</x:v>
      </x:c>
    </x:row>
    <x:row r="5" ht="26.399999618530273" hidden="0" customHeight="1">
      <x:c r="A5" s="21" t="str">
        <x:v>UPSTREAM_HASH_src/pile-reaction-engine.js</x:v>
      </x:c>
      <x:c r="B5" s="21" t="str">
        <x:v>PASS</x:v>
      </x:c>
      <x:c r="C5" s="21" t="str">
        <x:v>{"actual": "69a5efe4b5e25d6a88b34817dc9e6ea77ad03932996eed05d2b006e75fec5ce8", "expected": "69a5efe4b5e25d6a88b34817dc9e6ea77ad03932996eed05d2b006e75fec5ce8"}</x:v>
      </x:c>
      <x:c r="D5" s="21"/>
      <x:c r="E5" s="21" t="str">
        <x:v>Governing</x:v>
      </x:c>
      <x:c r="F5" s="21" t="str">
        <x:v>168 / EULS / Util 0.4980693</x:v>
      </x:c>
    </x:row>
    <x:row r="6" ht="15" hidden="0" customHeight="1">
      <x:c r="A6" s="21" t="str">
        <x:v>CURRENT_TESTS</x:v>
      </x:c>
      <x:c r="B6" s="21" t="str">
        <x:v>PASS</x:v>
      </x:c>
      <x:c r="C6" s="21" t="str">
        <x:v>{"tests": 148, "pass": 148, "fail": 0, "exitCode": 0}</x:v>
      </x:c>
      <x:c r="D6" s="21"/>
      <x:c r="E6" s="21"/>
      <x:c r="F6" s="21"/>
    </x:row>
    <x:row r="7" ht="39.599998474121094" hidden="0" customHeight="1">
      <x:c r="A7" s="21" t="str">
        <x:v>GOLDEN_OVERALL</x:v>
      </x:c>
      <x:c r="B7" s="21" t="str">
        <x:v>PASS</x:v>
      </x:c>
      <x:c r="C7" s="21" t="str">
        <x:v>{"pileCount": 19, "combinationIds": ["EULS"], "checkRows": 19, "passRows": 19, "failRows": 0, "blockedRows": 0, "governingPileId": "168", "governingPointId": "168", "governingCombinationId": "EULS", "governingDemandKn": 365.2920507005818, "governi...</x:v>
      </x:c>
      <x:c r="D7" s="21"/>
      <x:c r="E7" s="21"/>
      <x:c r="F7" s="21"/>
    </x:row>
    <x:row r="8" ht="39.599998474121094" hidden="0" customHeight="1">
      <x:c r="A8" s="21" t="str">
        <x:v>DCE_CSV_PARITY_19</x:v>
      </x:c>
      <x:c r="B8" s="21" t="str">
        <x:v>PASS</x:v>
      </x:c>
      <x:c r="C8" s="21" t="str">
        <x:v>{"rows": 19, "pass": 19, "fail": 0, "allPass": true, "rowsDetail": [{"pointId": "136", "combinationId": "EULS", "demandDiffKn": 0, "capacityDiffKn": 0, "utilizationDiff": 0, "statusMatch": true, "pass": true}, {"pointId": "137", "combinationId": "...</x:v>
      </x:c>
      <x:c r="D8" s="21"/>
      <x:c r="E8" s="21"/>
      <x:c r="F8" s="21"/>
    </x:row>
    <x:row r="9" ht="26.399999618530273" hidden="0" customHeight="1">
      <x:c r="A9" s="21" t="str">
        <x:v>GOVERNING_168</x:v>
      </x:c>
      <x:c r="B9" s="21" t="str">
        <x:v>PASS</x:v>
      </x:c>
      <x:c r="C9" s="21" t="str">
        <x:v>{"pileId": "168", "pointId": "168", "combinationId": "EULS", "demandKn": 365.2920507005818, "capacityKn": 733.4161490683232, "utilization": 0.4980692764464232, "checkType": "COMPRESSION", "pass": true}</x:v>
      </x:c>
      <x:c r="D9" s="21"/>
      <x:c r="E9" s="21"/>
      <x:c r="F9" s="21"/>
    </x:row>
    <x:row r="10" ht="39.599998474121094" hidden="0" customHeight="1">
      <x:c r="A10" s="21" t="str">
        <x:v>CAPACITY_LOCKED</x:v>
      </x:c>
      <x:c r="B10" s="21" t="str">
        <x:v>PASS</x:v>
      </x:c>
      <x:c r="C10" s="21" t="str">
        <x:v>{"status": "LOCKED_MULTI_BOREHOLE_INTEGRATED", "RpileKn": 843.4285714285716, "gammaN": 1.15, "NdMaxPerPileKn": 733.4161490683232, "sourceModule": "PileCapacityEngine / MultiBoreholePileEngine", "sourceArtifact": "pile-quantity-golden-v1.25.7.json ...</x:v>
      </x:c>
      <x:c r="D10" s="21"/>
      <x:c r="E10" s="21"/>
      <x:c r="F10" s="21"/>
    </x:row>
    <x:row r="11" ht="26.399999618530273" hidden="0" customHeight="1">
      <x:c r="A11" s="21" t="str">
        <x:v>SAFETY_BLOCKS</x:v>
      </x:c>
      <x:c r="B11" s="21" t="str">
        <x:v>PASS</x:v>
      </x:c>
      <x:c r="C11" s="21" t="str">
        <x:v>{"manualCapacityBlocked": true, "inconsistentCapacityBlocked": true, "unknownCombinationBlocked": true, "dceRd350NotProductionCapacity": true, "analyticalRigidCapNotInvoked": true}</x:v>
      </x:c>
      <x:c r="D11" s="21"/>
      <x:c r="E11" s="21"/>
      <x:c r="F11" s="21"/>
    </x:row>
    <x:row r="12" ht="39.599998474121094" hidden="0" customHeight="1">
      <x:c r="A12" s="21" t="str">
        <x:v>PRIOR_REGRESSION</x:v>
      </x:c>
      <x:c r="B12" s="21" t="str">
        <x:v>PASS</x:v>
      </x:c>
      <x:c r="C12" s="21" t="str">
        <x:v>{"tmSctCocEnvelope": "19/19 PASS", "pass3Pierforces": "39/39 PASS", "pass3XlsmBehavior": "273/273 PASS", "priorRegression": "388/388 PASS", "priorFullTable": "1242/1242 PASS", "searchBrainSha256": "f9b65e5e6fb61dcca233a4fe43950e3174c73536f2fa83452...</x:v>
      </x:c>
      <x:c r="D12" s="21"/>
      <x:c r="E12" s="21"/>
      <x:c r="F12" s="21"/>
    </x:row>
    <x:row r="13" ht="39.599998474121094" hidden="0" customHeight="1">
      <x:c r="A13" s="21" t="str">
        <x:v>PRIOR_FULL_TABLE</x:v>
      </x:c>
      <x:c r="B13" s="21" t="str">
        <x:v>PASS</x:v>
      </x:c>
      <x:c r="C13" s="21" t="str">
        <x:v>{"tmSctCocEnvelope": "19/19 PASS", "pass3Pierforces": "39/39 PASS", "pass3XlsmBehavior": "273/273 PASS", "priorRegression": "388/388 PASS", "priorFullTable": "1242/1242 PASS", "searchBrainSha256": "f9b65e5e6fb61dcca233a4fe43950e3174c73536f2fa83452...</x:v>
      </x:c>
      <x:c r="D13" s="21"/>
      <x:c r="E13" s="21"/>
      <x:c r="F13" s="21"/>
    </x:row>
    <x:row r="14" ht="15" hidden="0" customHeight="1">
      <x:c r="A14" s="21" t="str">
        <x:v>SEARCH_BRAIN_PRIOR_LOCK</x:v>
      </x:c>
      <x:c r="B14" s="21" t="str">
        <x:v>PASS</x:v>
      </x:c>
      <x:c r="C14" s="21" t="str">
        <x:v>"f9b65e5e6fb61dcca233a4fe43950e3174c73536f2fa83452da3041fbd0021d2"</x:v>
      </x:c>
      <x:c r="D14" s="21"/>
      <x:c r="E14" s="21"/>
      <x:c r="F14" s="21"/>
    </x:row>
  </x:sheetData>
  <x:conditionalFormatting sqref="B2:B14">
    <x:cfRule type="expression" dxfId="6" priority="1">
      <x:formula>B2="PASS"</x:formula>
    </x:cfRule>
    <x:cfRule type="expression" dxfId="7" priority="2">
      <x:formula>B2&lt;&gt;"PASS"</x:formula>
    </x:cfRule>
  </x:conditionalFormatting>
  <x:pageMargins left="0.7" right="0.7" top="0.75" bottom="0.75" header="0.3" footer="0.3"/>
</x:worksheet>
</file>