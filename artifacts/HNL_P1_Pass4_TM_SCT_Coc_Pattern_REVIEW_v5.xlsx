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78a61346f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b2e77140da14847"/>
    <x:sheet xmlns:r="http://schemas.openxmlformats.org/officeDocument/2006/relationships" name="LOAD_COMBINATIONS" sheetId="2" r:id="R8b576c7834b849a1"/>
    <x:sheet xmlns:r="http://schemas.openxmlformats.org/officeDocument/2006/relationships" name="PILE_POINTS" sheetId="3" r:id="R97ceff1b936a4f29"/>
    <x:sheet xmlns:r="http://schemas.openxmlformats.org/officeDocument/2006/relationships" name="REACTION_CALC" sheetId="4" r:id="R07fdbd7e6b544c2b"/>
    <x:sheet xmlns:r="http://schemas.openxmlformats.org/officeDocument/2006/relationships" name="SOURCE" sheetId="5" r:id="R1ac6d15d5ada4436"/>
    <x:sheet xmlns:r="http://schemas.openxmlformats.org/officeDocument/2006/relationships" name="AUDIT" sheetId="6" r:id="R798c12776f4e4167"/>
    <x:sheet xmlns:r="http://schemas.openxmlformats.org/officeDocument/2006/relationships" name="GOLDEN_CASES" sheetId="7" r:id="Re7cf3a5d4b454a8f"/>
    <x:sheet xmlns:r="http://schemas.openxmlformats.org/officeDocument/2006/relationships" name="POINT_COORDINATES" sheetId="8" r:id="R8a236a26ace64e32"/>
    <x:sheet xmlns:r="http://schemas.openxmlformats.org/officeDocument/2006/relationships" name="SPRING_ASSIGNMENTS" sheetId="9" r:id="R3cd4aaa95cdc4283"/>
    <x:sheet xmlns:r="http://schemas.openxmlformats.org/officeDocument/2006/relationships" name="IMPORTED_NODAL" sheetId="10" r:id="R90663458117a4771"/>
    <x:sheet xmlns:r="http://schemas.openxmlformats.org/officeDocument/2006/relationships" name="IMPORTED_CHECK" sheetId="11" r:id="R52f1c535b7cf4c93"/>
    <x:sheet xmlns:r="http://schemas.openxmlformats.org/officeDocument/2006/relationships" name="TM_PATTERN_MAPPING" sheetId="12" r:id="Rb07cdd14de1842fa"/>
    <x:sheet xmlns:r="http://schemas.openxmlformats.org/officeDocument/2006/relationships" name="TM_GOLDEN_FIXTURE" sheetId="13" r:id="Re2b6e2052ec8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96ca1d5dd4fc4" /><Relationship Type="http://schemas.openxmlformats.org/officeDocument/2006/relationships/theme" Target="/xl/theme/theme1.xml" Id="Re19c9d92ead94906" /><Relationship Type="http://schemas.microsoft.com/office/2022/11/relationships/FeaturePropertyBag" Target="/xl/featurePropertyBag/featurePropertyBag.xml" Id="R5a71d0b8ac1c4ab7" /><Relationship Type="http://schemas.openxmlformats.org/officeDocument/2006/relationships/sharedStrings" Target="/xl/sharedStrings.xml" Id="Rb0cbd13b34954cee" /><Relationship Type="http://schemas.openxmlformats.org/officeDocument/2006/relationships/worksheet" Target="/xl/worksheets/sheet1.xml" Id="R5b2e77140da14847" /><Relationship Type="http://schemas.openxmlformats.org/officeDocument/2006/relationships/worksheet" Target="/xl/worksheets/sheet2.xml" Id="R8b576c7834b849a1" /><Relationship Type="http://schemas.openxmlformats.org/officeDocument/2006/relationships/worksheet" Target="/xl/worksheets/sheet3.xml" Id="R97ceff1b936a4f29" /><Relationship Type="http://schemas.openxmlformats.org/officeDocument/2006/relationships/worksheet" Target="/xl/worksheets/sheet4.xml" Id="R07fdbd7e6b544c2b" /><Relationship Type="http://schemas.openxmlformats.org/officeDocument/2006/relationships/worksheet" Target="/xl/worksheets/sheet5.xml" Id="R1ac6d15d5ada4436" /><Relationship Type="http://schemas.openxmlformats.org/officeDocument/2006/relationships/worksheet" Target="/xl/worksheets/sheet6.xml" Id="R798c12776f4e4167" /><Relationship Type="http://schemas.openxmlformats.org/officeDocument/2006/relationships/worksheet" Target="/xl/worksheets/sheet7.xml" Id="Re7cf3a5d4b454a8f" /><Relationship Type="http://schemas.openxmlformats.org/officeDocument/2006/relationships/worksheet" Target="/xl/worksheets/sheet8.xml" Id="R8a236a26ace64e32" /><Relationship Type="http://schemas.openxmlformats.org/officeDocument/2006/relationships/worksheet" Target="/xl/worksheets/sheet9.xml" Id="R3cd4aaa95cdc4283" /><Relationship Type="http://schemas.openxmlformats.org/officeDocument/2006/relationships/worksheet" Target="/xl/worksheets/sheet10.xml" Id="R90663458117a4771" /><Relationship Type="http://schemas.openxmlformats.org/officeDocument/2006/relationships/worksheet" Target="/xl/worksheets/sheet11.xml" Id="R52f1c535b7cf4c93" /><Relationship Type="http://schemas.openxmlformats.org/officeDocument/2006/relationships/worksheet" Target="/xl/worksheets/sheet12.xml" Id="Rb07cdd14de1842fa" /><Relationship Type="http://schemas.openxmlformats.org/officeDocument/2006/relationships/worksheet" Target="/xl/worksheets/sheet13.xml" Id="Re2b6e2052ec84b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Engine Golden</x:v>
      </x:c>
      <x:c r="B12" s="29" t="str">
        <x:v>24/24 PASS</x:v>
      </x:c>
      <x:c r="C12" s="29"/>
      <x:c r="D12" s="29" t="str">
        <x:v>Pass 4 reaction modes</x:v>
      </x:c>
      <x:c r="E12" s="29" t="str">
        <x:v>Status</x:v>
      </x:c>
      <x:c r="F12" s="29" t="str">
        <x:v>Use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Formula-only error scan</x:v>
      </x:c>
      <x:c r="B13" s="29" t="str">
        <x:v>0 obvious formula errors</x:v>
      </x:c>
      <x:c r="C13" s="29"/>
      <x:c r="D13" s="29" t="str">
        <x:v>ANALYTICAL_RIGID_CAP</x:v>
      </x:c>
      <x:c r="E13" s="29" t="str">
        <x:v>REVIEW</x:v>
      </x:c>
      <x:c r="F13" s="29" t="str">
        <x:v>HNL derives Ni from N/Mx/My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39.599998474121094" hidden="0" customHeight="1">
      <x:c r="A14" s="29" t="str">
        <x:v>XLSM TM SCT Coc</x:v>
      </x:c>
      <x:c r="B14" s="29" t="str">
        <x:v>Still BLOCKED: original bytes unavailable</x:v>
      </x:c>
      <x:c r="C14" s="29"/>
      <x:c r="D14" s="29" t="str">
        <x:v>IMPORTED_NODAL_REACTION</x:v>
      </x:c>
      <x:c r="E14" s="29" t="str">
        <x:v>REVIEW</x:v>
      </x:c>
      <x:c r="F14" s="29" t="str">
        <x:v>Use imported ETABS/SAP nodal Fz directly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39.599998474121094" hidden="0" customHeight="1">
      <x:c r="A15" s="29" t="str">
        <x:v>Production numeric</x:v>
      </x:c>
      <x:c r="B15" s="29" t="str">
        <x:v>FALSE</x:v>
      </x:c>
      <x:c r="C15" s="29"/>
      <x:c r="D15" s="29" t="str">
        <x:v>TM SCT Coc evidence</x:v>
      </x:c>
      <x:c r="E15" s="29" t="str">
        <x:v>REFERENCE</x:v>
      </x:c>
      <x:c r="F15" s="29" t="str">
        <x:v>Matches imported-data workflow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39.599998474121094" hidden="0" customHeight="1">
      <x:c r="A16" s="29" t="str">
        <x:v>Promotion rule</x:v>
      </x:c>
      <x:c r="B16" s="29" t="str">
        <x:v>Only after XLSM ↔ Engine ↔ Excel cell-level benchmark</x:v>
      </x:c>
      <x:c r="C16" s="29"/>
      <x:c r="D16" s="29" t="str">
        <x:v>Do not conflate modes</x:v>
      </x:c>
      <x:c r="E16" s="29" t="str">
        <x:v>MANDATORY</x:v>
      </x:c>
      <x:c r="F16" s="29" t="str">
        <x:v>Workbook audit does not prove rigid-cap solver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/>
      <x:c r="B17" s="29"/>
      <x:c r="C17" s="29"/>
      <x:c r="D17" s="29" t="str">
        <x:v>Promotion</x:v>
      </x:c>
      <x:c r="E17" s="29" t="str">
        <x:v>BLOCKED</x:v>
      </x:c>
      <x:c r="F17" s="29" t="str">
        <x:v>Requires TM SCT Coc cell-level benchmark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 t="str">
        <x:v>TM SCT Coc Pattern</x:v>
      </x:c>
      <x:c r="E18" s="29" t="str">
        <x:v>Status</x:v>
      </x:c>
      <x:c r="F18" s="29" t="str">
        <x:v>Note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 t="str">
        <x:v>JOIN</x:v>
      </x:c>
      <x:c r="E19" s="29" t="str">
        <x:v>REVIEW</x:v>
      </x:c>
      <x:c r="F19" s="29" t="str">
        <x:v>Exact cell/range pending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 t="str">
        <x:v>ACTION</x:v>
      </x:c>
      <x:c r="E20" s="29" t="str">
        <x:v>REVIEW</x:v>
      </x:c>
      <x:c r="F20" s="29" t="str">
        <x:v>Exact sign mapping pending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 t="str">
        <x:v>CAPACITY</x:v>
      </x:c>
      <x:c r="E21" s="29" t="str">
        <x:v>REVIEW</x:v>
      </x:c>
      <x:c r="F21" s="29" t="str">
        <x:v>Upstream capacity VERIFIED; XLSM basis pending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 t="str">
        <x:v>UTILIZATION</x:v>
      </x:c>
      <x:c r="E22" s="29" t="str">
        <x:v>REVIEW</x:v>
      </x:c>
      <x:c r="F22" s="29" t="str">
        <x:v>Pattern reconstructed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 t="str">
        <x:v>STATUS</x:v>
      </x:c>
      <x:c r="E23" s="29" t="str">
        <x:v>REVIEW</x:v>
      </x:c>
      <x:c r="F23" s="29" t="str">
        <x:v>Boundary/governing pattern reconstructed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Reaction mode</x:v>
      </x:c>
      <x:c r="B10" s="29" t="str">
        <x:v>Authority</x:v>
      </x:c>
      <x:c r="C10" s="29" t="str">
        <x:v>Status</x:v>
      </x:c>
      <x:c r="D10" s="29" t="str">
        <x:v>Use</x:v>
      </x:c>
      <x:c r="E10" s="29" t="str">
        <x:v>Reference</x:v>
      </x:c>
      <x:c r="F10" s="29" t="str">
        <x:v>Note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26.399999618530273" hidden="0" customHeight="1">
      <x:c r="A11" s="29" t="str">
        <x:v>ANALYTICAL_RIGID_CAP</x:v>
      </x:c>
      <x:c r="B11" s="29" t="str">
        <x:v>Engineering statics</x:v>
      </x:c>
      <x:c r="C11" s="29" t="str">
        <x:v>REVIEW</x:v>
      </x:c>
      <x:c r="D11" s="29" t="str">
        <x:v>Derive Ni</x:v>
      </x:c>
      <x:c r="E11" s="29" t="str">
        <x:v>ΣNi=N; ΣNi*x=My; ΣNi*y=Mx</x:v>
      </x:c>
      <x:c r="F11" s="29" t="str">
        <x:v>Independent HNL mode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26.399999618530273" hidden="0" customHeight="1">
      <x:c r="A12" s="29" t="str">
        <x:v>IMPORTED_NODAL_REACTION</x:v>
      </x:c>
      <x:c r="B12" s="29" t="str">
        <x:v>Audited TM SCT Coc workflow</x:v>
      </x:c>
      <x:c r="C12" s="29" t="str">
        <x:v>REVIEW</x:v>
      </x:c>
      <x:c r="D12" s="29" t="str">
        <x:v>Check imported Fz per pile</x:v>
      </x:c>
      <x:c r="E12" s="29" t="str">
        <x:v>Point→Spring→Reaction→Capacity</x:v>
      </x:c>
      <x:c r="F12" s="29" t="str">
        <x:v>Closer to workbook data-flow evidence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26.399999618530273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26.399999618530273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26.399999618530273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26.399999618530273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26.399999618530273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26.399999618530273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Expanded Engine Golden</x:v>
      </x:c>
      <x:c r="B13" s="29" t="str">
        <x:v>24/24</x:v>
      </x:c>
      <x:c r="C13" s="29" t="str">
        <x:v>PASS</x:v>
      </x:c>
      <x:c r="D13" s="29" t="str">
        <x:v>12 original + 12 independent hand/boundary cases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Engine ↔ hand values</x:v>
      </x:c>
      <x:c r="B14" s="29" t="str">
        <x:v>G1/G2/G4/G5/G6</x:v>
      </x:c>
      <x:c r="C14" s="29" t="str">
        <x:v>PASS</x:v>
      </x:c>
      <x:c r="D14" s="29" t="str">
        <x:v>Closed-form expected values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26.399999618530273" hidden="0" customHeight="1">
      <x:c r="A15" s="29" t="str">
        <x:v>Governing semantics</x:v>
      </x:c>
      <x:c r="B15" s="29" t="str">
        <x:v>Separated</x:v>
      </x:c>
      <x:c r="C15" s="29" t="str">
        <x:v>PASS</x:v>
      </x:c>
      <x:c r="D15" s="29" t="str">
        <x:v>maxCompressionPile != governingPile when capacities differ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XLSM Golden</x:v>
      </x:c>
      <x:c r="B16" s="29" t="str">
        <x:v>Not run</x:v>
      </x:c>
      <x:c r="C16" s="29" t="str">
        <x:v>BLOCKED</x:v>
      </x:c>
      <x:c r="D16" s="29" t="str">
        <x:v>Original XLSM bytes still unavailable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 t="str">
        <x:v>P1 Pass 4 status</x:v>
      </x:c>
      <x:c r="B17" s="29" t="str">
        <x:v>REVIEW</x:v>
      </x:c>
      <x:c r="C17" s="29" t="str">
        <x:v>UNCHANGED</x:v>
      </x:c>
      <x:c r="D17" s="29" t="str">
        <x:v>Do not promote until TM SCT Coc mapping passes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 t="str">
        <x:v>Imported reaction path</x:v>
      </x:c>
      <x:c r="B18" s="29" t="str">
        <x:v>12/12</x:v>
      </x:c>
      <x:c r="C18" s="29" t="str">
        <x:v>PASS</x:v>
      </x:c>
      <x:c r="D18" s="29" t="str">
        <x:v>Point→Spring→Pile→Nodal reaction strict join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 t="str">
        <x:v>Total Pass 4 tests</x:v>
      </x:c>
      <x:c r="B19" s="29" t="str">
        <x:v>36/36</x:v>
      </x:c>
      <x:c r="C19" s="29" t="str">
        <x:v>PASS</x:v>
      </x:c>
      <x:c r="D19" s="29" t="str">
        <x:v>24 analytical + 12 imported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26.399999618530273" hidden="0" customHeight="1">
      <x:c r="A20" s="29" t="str">
        <x:v>Mode separation</x:v>
      </x:c>
      <x:c r="B20" s="29" t="str">
        <x:v>Implemented</x:v>
      </x:c>
      <x:c r="C20" s="29" t="str">
        <x:v>PASS</x:v>
      </x:c>
      <x:c r="D20" s="29" t="str">
        <x:v>No longer equates TM SCT Coc with rigid-cap solver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26.399999618530273" hidden="0" customHeight="1">
      <x:c r="A21" s="29" t="str">
        <x:v>Imported tension safety</x:v>
      </x:c>
      <x:c r="B21" s="29" t="str">
        <x:v>BLOCK if capacity missing</x:v>
      </x:c>
      <x:c r="C21" s="29" t="str">
        <x:v>PASS</x:v>
      </x:c>
      <x:c r="D21" s="29" t="str">
        <x:v>Compression Rpile never reused for uplift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26.399999618530273" hidden="0" customHeight="1">
      <x:c r="A22" s="29" t="str">
        <x:v>Imported envelope</x:v>
      </x:c>
      <x:c r="B22" s="29" t="str">
        <x:v>Multi-combo</x:v>
      </x:c>
      <x:c r="C22" s="29" t="str">
        <x:v>PASS</x:v>
      </x:c>
      <x:c r="D22" s="29" t="str">
        <x:v>Tracks max compression and governing utilization separately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26.399999618530273" hidden="0" customHeight="1">
      <x:c r="A23" s="29" t="str">
        <x:v>XLSM cell-level equivalence</x:v>
      </x:c>
      <x:c r="B23" s="29" t="str">
        <x:v>Not claimed</x:v>
      </x:c>
      <x:c r="C23" s="29" t="str">
        <x:v>REVIEW</x:v>
      </x:c>
      <x:c r="D23" s="29" t="str">
        <x:v>Still requires exact TM SCT Coc formula mapping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 t="str">
        <x:v>TM formula-pattern reconstruction</x:v>
      </x:c>
      <x:c r="B24" s="29" t="str">
        <x:v>5 blocks</x:v>
      </x:c>
      <x:c r="C24" s="29" t="str">
        <x:v>PASS</x:v>
      </x:c>
      <x:c r="D24" s="29" t="str">
        <x:v>JOIN→ACTION→CAPACITY→UTILIZATION→STATUS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 t="str">
        <x:v>TM pattern tests</x:v>
      </x:c>
      <x:c r="B25" s="29" t="str">
        <x:v>15/15</x:v>
      </x:c>
      <x:c r="C25" s="29" t="str">
        <x:v>PASS</x:v>
      </x:c>
      <x:c r="D25" s="29" t="str">
        <x:v>Block trace + boundary + missing-data cases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 t="str">
        <x:v>Pass 4 total local tests</x:v>
      </x:c>
      <x:c r="B26" s="29" t="str">
        <x:v>51/51</x:v>
      </x:c>
      <x:c r="C26" s="29" t="str">
        <x:v>PASS</x:v>
      </x:c>
      <x:c r="D26" s="29" t="str">
        <x:v>24 analytical + 12 imported + 15 pattern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 t="str">
        <x:v>Per-block XLSM formula count</x:v>
      </x:c>
      <x:c r="B27" s="29" t="str">
        <x:v>Not assigned</x:v>
      </x:c>
      <x:c r="C27" s="29" t="str">
        <x:v>PASS SAFETY</x:v>
      </x:c>
      <x:c r="D27" s="29" t="str">
        <x:v>No fabricated counts without cell inventory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 t="str">
        <x:v>Golden fixture</x:v>
      </x:c>
      <x:c r="B28" s="29" t="str">
        <x:v>IMPORT-001 + boundaries</x:v>
      </x:c>
      <x:c r="C28" s="29" t="str">
        <x:v>PASS ENGINE</x:v>
      </x:c>
      <x:c r="D28" s="29" t="str">
        <x:v>4 piles × 2 combos + block boundary cases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 t="str">
        <x:v>Exact XLSM cell mapping</x:v>
      </x:c>
      <x:c r="B29" s="29" t="str">
        <x:v>Pending</x:v>
      </x:c>
      <x:c r="C29" s="29" t="str">
        <x:v>REVIEW</x:v>
      </x:c>
      <x:c r="D29" s="29" t="str">
        <x:v>Remaining gate before XLSM-equivalence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 t="str">
        <x:v>Pass 4 productionNumeric</x:v>
      </x:c>
      <x:c r="B30" s="29" t="str">
        <x:v>FALSE</x:v>
      </x:c>
      <x:c r="C30" s="29" t="str">
        <x:v>UNCHANGED</x:v>
      </x:c>
      <x:c r="D30" s="29" t="str">
        <x:v>Do not LOCK yet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2" hidden="0" customWidth="1"/>
    <x:col min="8" max="8" width="28" hidden="0" customWidth="1"/>
    <x:col min="9" max="9" width="12" hidden="0" customWidth="1"/>
    <x:col min="10" max="10" width="20" hidden="0" customWidth="1"/>
  </x:cols>
  <x:sheetData>
    <x:row r="1" ht="39.599998474121094" hidden="0" customHeight="1">
      <x:c r="A1" s="46" t="str">
        <x:v>Case</x:v>
      </x:c>
      <x:c r="B1" s="46" t="str">
        <x:v>Layout</x:v>
      </x:c>
      <x:c r="C1" s="46" t="str">
        <x:v>N_kN</x:v>
      </x:c>
      <x:c r="D1" s="46" t="str">
        <x:v>Mx_kNm</x:v>
      </x:c>
      <x:c r="E1" s="46" t="str">
        <x:v>My_kNm</x:v>
      </x:c>
      <x:c r="F1" s="46" t="str">
        <x:v>Expected key reactions</x:v>
      </x:c>
      <x:c r="G1" s="46" t="str">
        <x:v>Expected result</x:v>
      </x:c>
      <x:c r="H1" s="46" t="str">
        <x:v>Purpose</x:v>
      </x:c>
      <x:c r="I1" s="46" t="str">
        <x:v>Status</x:v>
      </x:c>
      <x:c r="J1" s="46" t="str">
        <x:v>XLSM status</x:v>
      </x:c>
    </x:row>
    <x:row r="2" ht="52.79999923706055" hidden="0" customHeight="1">
      <x:c r="A2" s="29" t="str">
        <x:v>G1</x:v>
      </x:c>
      <x:c r="B2" s="29" t="str">
        <x:v>2x2 @ ±1 m</x:v>
      </x:c>
      <x:c r="C2" s="29" t="n">
        <x:v>2000</x:v>
      </x:c>
      <x:c r="D2" s="29" t="n">
        <x:v>400</x:v>
      </x:c>
      <x:c r="E2" s="29" t="n">
        <x:v>200</x:v>
      </x:c>
      <x:c r="F2" s="29" t="str">
        <x:v>P1=350; P2=450; P3=550; P4=650</x:v>
      </x:c>
      <x:c r="G2" s="29" t="str">
        <x:v>PASS</x:v>
      </x:c>
      <x:c r="H2" s="29" t="str">
        <x:v>Hand-value N+Mx+My</x:v>
      </x:c>
      <x:c r="I2" s="29" t="str">
        <x:v>PASS</x:v>
      </x:c>
      <x:c r="J2" s="29" t="str">
        <x:v>NOT BENCHMARKED</x:v>
      </x:c>
    </x:row>
    <x:row r="3" ht="39.599998474121094" hidden="0" customHeight="1">
      <x:c r="A3" s="29" t="str">
        <x:v>G2</x:v>
      </x:c>
      <x:c r="B3" s="29" t="str">
        <x:v>2x2 @ ±1 m</x:v>
      </x:c>
      <x:c r="C3" s="29" t="n">
        <x:v>4000</x:v>
      </x:c>
      <x:c r="D3" s="29" t="n">
        <x:v>0</x:v>
      </x:c>
      <x:c r="E3" s="29" t="n">
        <x:v>0</x:v>
      </x:c>
      <x:c r="F3" s="29" t="str">
        <x:v>All=1000; utilization=1.0000</x:v>
      </x:c>
      <x:c r="G3" s="29" t="str">
        <x:v>PASS</x:v>
      </x:c>
      <x:c r="H3" s="29" t="str">
        <x:v>Exact capacity boundary</x:v>
      </x:c>
      <x:c r="I3" s="29" t="str">
        <x:v>PASS</x:v>
      </x:c>
      <x:c r="J3" s="29" t="str">
        <x:v>NOT BENCHMARKED</x:v>
      </x:c>
    </x:row>
    <x:row r="4" ht="39.599998474121094" hidden="0" customHeight="1">
      <x:c r="A4" s="29" t="str">
        <x:v>G3</x:v>
      </x:c>
      <x:c r="B4" s="29" t="str">
        <x:v>2x2 @ ±1 m</x:v>
      </x:c>
      <x:c r="C4" s="29" t="n">
        <x:v>4000.00001</x:v>
      </x:c>
      <x:c r="D4" s="29" t="n">
        <x:v>0</x:v>
      </x:c>
      <x:c r="E4" s="29" t="n">
        <x:v>0</x:v>
      </x:c>
      <x:c r="F4" s="29" t="str">
        <x:v>All slightly &gt;1000</x:v>
      </x:c>
      <x:c r="G4" s="29" t="str">
        <x:v>FAIL</x:v>
      </x:c>
      <x:c r="H4" s="29" t="str">
        <x:v>Epsilon above boundary</x:v>
      </x:c>
      <x:c r="I4" s="29" t="str">
        <x:v>PASS</x:v>
      </x:c>
      <x:c r="J4" s="29" t="str">
        <x:v>NOT BENCHMARKED</x:v>
      </x:c>
    </x:row>
    <x:row r="5" ht="39.599998474121094" hidden="0" customHeight="1">
      <x:c r="A5" s="29" t="str">
        <x:v>G4</x:v>
      </x:c>
      <x:c r="B5" s="29" t="str">
        <x:v>2x2 @ ±1 m</x:v>
      </x:c>
      <x:c r="C5" s="29" t="n">
        <x:v>0</x:v>
      </x:c>
      <x:c r="D5" s="29" t="n">
        <x:v>400</x:v>
      </x:c>
      <x:c r="E5" s="29" t="n">
        <x:v>0</x:v>
      </x:c>
      <x:c r="F5" s="29" t="str">
        <x:v>[-100,-100,+100,+100]</x:v>
      </x:c>
      <x:c r="G5" s="29" t="str">
        <x:v>PASS if tension cap exists</x:v>
      </x:c>
      <x:c r="H5" s="29" t="str">
        <x:v>Pure moment / uplift</x:v>
      </x:c>
      <x:c r="I5" s="29" t="str">
        <x:v>PASS</x:v>
      </x:c>
      <x:c r="J5" s="29" t="str">
        <x:v>NOT BENCHMARKED</x:v>
      </x:c>
    </x:row>
    <x:row r="6" ht="52.79999923706055" hidden="0" customHeight="1">
      <x:c r="A6" s="29" t="str">
        <x:v>G5</x:v>
      </x:c>
      <x:c r="B6" s="29" t="str">
        <x:v>3x3 @ -1,0,1</x:v>
      </x:c>
      <x:c r="C6" s="29" t="n">
        <x:v>2700</x:v>
      </x:c>
      <x:c r="D6" s="29" t="n">
        <x:v>0</x:v>
      </x:c>
      <x:c r="E6" s="29" t="n">
        <x:v>0</x:v>
      </x:c>
      <x:c r="F6" s="29" t="str">
        <x:v>All=300</x:v>
      </x:c>
      <x:c r="G6" s="29" t="str">
        <x:v>PASS</x:v>
      </x:c>
      <x:c r="H6" s="29" t="str">
        <x:v>Equal pure-N distribution</x:v>
      </x:c>
      <x:c r="I6" s="29" t="str">
        <x:v>PASS</x:v>
      </x:c>
      <x:c r="J6" s="29" t="str">
        <x:v>NOT BENCHMARKED</x:v>
      </x:c>
    </x:row>
    <x:row r="7" ht="39.599998474121094" hidden="0" customHeight="1">
      <x:c r="A7" s="29" t="str">
        <x:v>G6</x:v>
      </x:c>
      <x:c r="B7" s="29" t="str">
        <x:v>3x3 @ -1,0,1</x:v>
      </x:c>
      <x:c r="C7" s="29" t="n">
        <x:v>2700</x:v>
      </x:c>
      <x:c r="D7" s="29" t="n">
        <x:v>600</x:v>
      </x:c>
      <x:c r="E7" s="29" t="n">
        <x:v>0</x:v>
      </x:c>
      <x:c r="F7" s="29" t="str">
        <x:v>y=-1:200; y=0:300; y=+1:400</x:v>
      </x:c>
      <x:c r="G7" s="29" t="str">
        <x:v>PASS</x:v>
      </x:c>
      <x:c r="H7" s="29" t="str">
        <x:v>Mx gradient</x:v>
      </x:c>
      <x:c r="I7" s="29" t="str">
        <x:v>PASS</x:v>
      </x:c>
      <x:c r="J7" s="29" t="str">
        <x:v>NOT BENCHMARKED</x:v>
      </x:c>
    </x:row>
    <x:row r="8" ht="52.79999923706055" hidden="0" customHeight="1">
      <x:c r="A8" s="29" t="str">
        <x:v>G7</x:v>
      </x:c>
      <x:c r="B8" s="29" t="str">
        <x:v>2x2 translated</x:v>
      </x:c>
      <x:c r="C8" s="29" t="n">
        <x:v>2000</x:v>
      </x:c>
      <x:c r="D8" s="29" t="n">
        <x:v>400</x:v>
      </x:c>
      <x:c r="E8" s="29" t="n">
        <x:v>200</x:v>
      </x:c>
      <x:c r="F8" s="29" t="str">
        <x:v>Translation-equivalent reactions</x:v>
      </x:c>
      <x:c r="G8" s="29" t="str">
        <x:v>PASS</x:v>
      </x:c>
      <x:c r="H8" s="29" t="str">
        <x:v>Coordinate origin invariance</x:v>
      </x:c>
      <x:c r="I8" s="29" t="str">
        <x:v>PASS</x:v>
      </x:c>
      <x:c r="J8" s="29" t="str">
        <x:v>NOT BENCHMARKED</x:v>
      </x:c>
    </x:row>
    <x:row r="9" ht="52.79999923706055" hidden="0" customHeight="1">
      <x:c r="A9" s="29" t="str">
        <x:v>G8</x:v>
      </x:c>
      <x:c r="B9" s="29" t="str">
        <x:v>2x2 variable capacity</x:v>
      </x:c>
      <x:c r="C9" s="29" t="n">
        <x:v>1200</x:v>
      </x:c>
      <x:c r="D9" s="29" t="n">
        <x:v>0</x:v>
      </x:c>
      <x:c r="E9" s="29" t="n">
        <x:v>0</x:v>
      </x:c>
      <x:c r="F9" s="29" t="str">
        <x:v>Weak P1 governs utilization</x:v>
      </x:c>
      <x:c r="G9" s="29" t="str">
        <x:v>PASS/FAIL by capacity</x:v>
      </x:c>
      <x:c r="H9" s="29" t="str">
        <x:v>Governing≠max compression</x:v>
      </x:c>
      <x:c r="I9" s="29" t="str">
        <x:v>PASS</x:v>
      </x:c>
      <x:c r="J9" s="29" t="str">
        <x:v>NOT BENCHMARKED</x:v>
      </x:c>
    </x:row>
    <x:row r="10" ht="66" hidden="0" customHeight="1">
      <x:c r="A10" s="29" t="str">
        <x:v>G9</x:v>
      </x:c>
      <x:c r="B10" s="29" t="str">
        <x:v>2x2 ETABS sign</x:v>
      </x:c>
      <x:c r="C10" s="29" t="n">
        <x:v>-2000</x:v>
      </x:c>
      <x:c r="D10" s="29" t="n">
        <x:v>400</x:v>
      </x:c>
      <x:c r="E10" s="29" t="n">
        <x:v>200</x:v>
      </x:c>
      <x:c r="F10" s="29" t="str">
        <x:v>After N normalization: 350..650</x:v>
      </x:c>
      <x:c r="G10" s="29" t="str">
        <x:v>PASS</x:v>
      </x:c>
      <x:c r="H10" s="29" t="str">
        <x:v>compression-negative convention</x:v>
      </x:c>
      <x:c r="I10" s="29" t="str">
        <x:v>PASS</x:v>
      </x:c>
      <x:c r="J10" s="29" t="str">
        <x:v>NOT BENCHMARKED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15" hidden="0" customHeight="1">
      <x:c r="A1" s="51" t="str">
        <x:v>pointId</x:v>
      </x:c>
      <x:c r="B1" s="51" t="str">
        <x:v>X_m</x:v>
      </x:c>
      <x:c r="C1" s="51" t="str">
        <x:v>Y_m</x:v>
      </x:c>
      <x:c r="D1" s="51" t="str">
        <x:v>Z_m</x:v>
      </x:c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n">
        <x:v>-1</x:v>
      </x:c>
      <x:c r="C2" s="29" t="n">
        <x:v>-1</x:v>
      </x:c>
      <x:c r="D2" s="29" t="n">
        <x:v>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n">
        <x:v>1</x:v>
      </x:c>
      <x:c r="C3" s="29" t="n">
        <x:v>-1</x:v>
      </x:c>
      <x:c r="D3" s="29" t="n">
        <x:v>0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n">
        <x:v>-1</x:v>
      </x:c>
      <x:c r="C4" s="29" t="n">
        <x:v>1</x:v>
      </x:c>
      <x:c r="D4" s="29" t="n">
        <x:v>0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n">
        <x:v>1</x:v>
      </x:c>
      <x:c r="C5" s="29" t="n">
        <x:v>1</x:v>
      </x:c>
      <x:c r="D5" s="29" t="n">
        <x:v>0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pileId</x:v>
      </x:c>
      <x:c r="C1" s="51" t="str">
        <x:v>springName</x:v>
      </x:c>
      <x:c r="D1" s="51"/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str">
        <x:v>P1</x:v>
      </x:c>
      <x:c r="C2" s="29" t="str">
        <x:v>PILE-P1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str">
        <x:v>P2</x:v>
      </x:c>
      <x:c r="C3" s="29" t="str">
        <x:v>PILE-P2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str">
        <x:v>P3</x:v>
      </x:c>
      <x:c r="C4" s="29" t="str">
        <x:v>PILE-P3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str">
        <x:v>P4</x:v>
      </x:c>
      <x:c r="C5" s="29" t="str">
        <x:v>PILE-P4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combinationId</x:v>
      </x:c>
      <x:c r="C1" s="51" t="str">
        <x:v>Fx_kN</x:v>
      </x:c>
      <x:c r="D1" s="51" t="str">
        <x:v>Fy_kN</x:v>
      </x:c>
      <x:c r="E1" s="51" t="str">
        <x:v>Fz_kN</x:v>
      </x:c>
      <x:c r="F1" s="51" t="str">
        <x:v>Mx_kNm</x:v>
      </x:c>
      <x:c r="G1" s="51" t="str">
        <x:v>My_kNm</x:v>
      </x:c>
      <x:c r="H1" s="51" t="str">
        <x:v>Mz_kNm</x:v>
      </x:c>
      <x:c r="I1" s="51" t="str">
        <x:v>signConvention</x:v>
      </x:c>
      <x:c r="J1" s="51" t="str">
        <x:v>status</x:v>
      </x:c>
      <x:c r="K1" s="29"/>
      <x:c r="L1" s="29"/>
      <x:c r="M1" s="29"/>
      <x:c r="N1" s="29"/>
      <x:c r="O1" s="29"/>
      <x:c r="P1" s="29"/>
      <x:c r="Q1" s="29"/>
    </x:row>
    <x:row r="2" ht="39.599998474121094" hidden="0" customHeight="1">
      <x:c r="A2" s="29" t="str">
        <x:v>N1</x:v>
      </x:c>
      <x:c r="B2" s="29" t="str">
        <x:v>C1</x:v>
      </x:c>
      <x:c r="C2" s="29" t="n">
        <x:v>1</x:v>
      </x:c>
      <x:c r="D2" s="29" t="n">
        <x:v>2</x:v>
      </x:c>
      <x:c r="E2" s="29" t="n">
        <x:v>-400</x:v>
      </x:c>
      <x:c r="F2" s="29" t="n">
        <x:v>3</x:v>
      </x:c>
      <x:c r="G2" s="29" t="n">
        <x:v>4</x:v>
      </x:c>
      <x:c r="H2" s="29" t="n">
        <x:v>5</x:v>
      </x:c>
      <x:c r="I2" s="29" t="str">
        <x:v>compression-negative</x:v>
      </x:c>
      <x:c r="J2" s="29" t="str">
        <x:v>ACTIVE</x:v>
      </x:c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N2</x:v>
      </x:c>
      <x:c r="B3" s="29" t="str">
        <x:v>C1</x:v>
      </x:c>
      <x:c r="C3" s="29" t="n">
        <x:v>0</x:v>
      </x:c>
      <x:c r="D3" s="29" t="n">
        <x:v>0</x:v>
      </x:c>
      <x:c r="E3" s="29" t="n">
        <x:v>-500</x:v>
      </x:c>
      <x:c r="F3" s="29" t="n">
        <x:v>0</x:v>
      </x:c>
      <x:c r="G3" s="29" t="n">
        <x:v>0</x:v>
      </x:c>
      <x:c r="H3" s="29" t="n">
        <x:v>0</x:v>
      </x:c>
      <x:c r="I3" s="29" t="str">
        <x:v>compression-negative</x:v>
      </x:c>
      <x:c r="J3" s="29" t="str">
        <x:v>ACTIVE</x:v>
      </x:c>
      <x:c r="K3" s="29"/>
      <x:c r="L3" s="29"/>
      <x:c r="M3" s="29"/>
      <x:c r="N3" s="29"/>
      <x:c r="O3" s="29"/>
      <x:c r="P3" s="29"/>
      <x:c r="Q3" s="29"/>
    </x:row>
    <x:row r="4" ht="39.599998474121094" hidden="0" customHeight="1">
      <x:c r="A4" s="29" t="str">
        <x:v>N3</x:v>
      </x:c>
      <x:c r="B4" s="29" t="str">
        <x:v>C1</x:v>
      </x:c>
      <x:c r="C4" s="29" t="n">
        <x:v>0</x:v>
      </x:c>
      <x:c r="D4" s="29" t="n">
        <x:v>0</x:v>
      </x:c>
      <x:c r="E4" s="29" t="n">
        <x:v>-600</x:v>
      </x:c>
      <x:c r="F4" s="29" t="n">
        <x:v>0</x:v>
      </x:c>
      <x:c r="G4" s="29" t="n">
        <x:v>0</x:v>
      </x:c>
      <x:c r="H4" s="29" t="n">
        <x:v>0</x:v>
      </x:c>
      <x:c r="I4" s="29" t="str">
        <x:v>compression-negative</x:v>
      </x:c>
      <x:c r="J4" s="29" t="str">
        <x:v>ACTIVE</x:v>
      </x:c>
      <x:c r="K4" s="29"/>
      <x:c r="L4" s="29"/>
      <x:c r="M4" s="29"/>
      <x:c r="N4" s="29"/>
      <x:c r="O4" s="29"/>
      <x:c r="P4" s="29"/>
      <x:c r="Q4" s="29"/>
    </x:row>
    <x:row r="5" ht="39.599998474121094" hidden="0" customHeight="1">
      <x:c r="A5" s="29" t="str">
        <x:v>N4</x:v>
      </x:c>
      <x:c r="B5" s="29" t="str">
        <x:v>C1</x:v>
      </x:c>
      <x:c r="C5" s="29" t="n">
        <x:v>0</x:v>
      </x:c>
      <x:c r="D5" s="29" t="n">
        <x:v>0</x:v>
      </x:c>
      <x:c r="E5" s="29" t="n">
        <x:v>-700</x:v>
      </x:c>
      <x:c r="F5" s="29" t="n">
        <x:v>0</x:v>
      </x:c>
      <x:c r="G5" s="29" t="n">
        <x:v>0</x:v>
      </x:c>
      <x:c r="H5" s="29" t="n">
        <x:v>0</x:v>
      </x:c>
      <x:c r="I5" s="29" t="str">
        <x:v>compression-negative</x:v>
      </x:c>
      <x:c r="J5" s="29" t="str">
        <x:v>ACTIVE</x:v>
      </x:c>
      <x:c r="K5" s="29"/>
      <x:c r="L5" s="29"/>
      <x:c r="M5" s="29"/>
      <x:c r="N5" s="29"/>
      <x:c r="O5" s="29"/>
      <x:c r="P5" s="29"/>
      <x:c r="Q5" s="29"/>
    </x:row>
    <x:row r="6" ht="39.599998474121094" hidden="0" customHeight="1">
      <x:c r="A6" s="29" t="str">
        <x:v>N1</x:v>
      </x:c>
      <x:c r="B6" s="29" t="str">
        <x:v>C2</x:v>
      </x:c>
      <x:c r="C6" s="29" t="n">
        <x:v>0</x:v>
      </x:c>
      <x:c r="D6" s="29" t="n">
        <x:v>0</x:v>
      </x:c>
      <x:c r="E6" s="29" t="n">
        <x:v>-300</x:v>
      </x:c>
      <x:c r="F6" s="29" t="n">
        <x:v>0</x:v>
      </x:c>
      <x:c r="G6" s="29" t="n">
        <x:v>0</x:v>
      </x:c>
      <x:c r="H6" s="29" t="n">
        <x:v>0</x:v>
      </x:c>
      <x:c r="I6" s="29" t="str">
        <x:v>compression-negative</x:v>
      </x:c>
      <x:c r="J6" s="29" t="str">
        <x:v>ACTIVE</x:v>
      </x:c>
      <x:c r="K6" s="29"/>
      <x:c r="L6" s="29"/>
      <x:c r="M6" s="29"/>
      <x:c r="N6" s="29"/>
      <x:c r="O6" s="29"/>
      <x:c r="P6" s="29"/>
      <x:c r="Q6" s="29"/>
    </x:row>
    <x:row r="7" ht="39.599998474121094" hidden="0" customHeight="1">
      <x:c r="A7" s="29" t="str">
        <x:v>N2</x:v>
      </x:c>
      <x:c r="B7" s="29" t="str">
        <x:v>C2</x:v>
      </x:c>
      <x:c r="C7" s="29" t="n">
        <x:v>0</x:v>
      </x:c>
      <x:c r="D7" s="29" t="n">
        <x:v>0</x:v>
      </x:c>
      <x:c r="E7" s="29" t="n">
        <x:v>-350</x:v>
      </x:c>
      <x:c r="F7" s="29" t="n">
        <x:v>0</x:v>
      </x:c>
      <x:c r="G7" s="29" t="n">
        <x:v>0</x:v>
      </x:c>
      <x:c r="H7" s="29" t="n">
        <x:v>0</x:v>
      </x:c>
      <x:c r="I7" s="29" t="str">
        <x:v>compression-negative</x:v>
      </x:c>
      <x:c r="J7" s="29" t="str">
        <x:v>ACTIVE</x:v>
      </x:c>
      <x:c r="K7" s="29"/>
      <x:c r="L7" s="29"/>
      <x:c r="M7" s="29"/>
      <x:c r="N7" s="29"/>
      <x:c r="O7" s="29"/>
      <x:c r="P7" s="29"/>
      <x:c r="Q7" s="29"/>
    </x:row>
    <x:row r="8" ht="39.599998474121094" hidden="0" customHeight="1">
      <x:c r="A8" s="29" t="str">
        <x:v>N3</x:v>
      </x:c>
      <x:c r="B8" s="29" t="str">
        <x:v>C2</x:v>
      </x:c>
      <x:c r="C8" s="29" t="n">
        <x:v>0</x:v>
      </x:c>
      <x:c r="D8" s="29" t="n">
        <x:v>0</x:v>
      </x:c>
      <x:c r="E8" s="29" t="n">
        <x:v>-650</x:v>
      </x:c>
      <x:c r="F8" s="29" t="n">
        <x:v>0</x:v>
      </x:c>
      <x:c r="G8" s="29" t="n">
        <x:v>0</x:v>
      </x:c>
      <x:c r="H8" s="29" t="n">
        <x:v>0</x:v>
      </x:c>
      <x:c r="I8" s="29" t="str">
        <x:v>compression-negative</x:v>
      </x:c>
      <x:c r="J8" s="29" t="str">
        <x:v>ACTIVE</x:v>
      </x:c>
      <x:c r="K8" s="29"/>
      <x:c r="L8" s="29"/>
      <x:c r="M8" s="29"/>
      <x:c r="N8" s="29"/>
      <x:c r="O8" s="29"/>
      <x:c r="P8" s="29"/>
      <x:c r="Q8" s="29"/>
    </x:row>
    <x:row r="9" ht="39.599998474121094" hidden="0" customHeight="1">
      <x:c r="A9" s="29" t="str">
        <x:v>N4</x:v>
      </x:c>
      <x:c r="B9" s="29" t="str">
        <x:v>C2</x:v>
      </x:c>
      <x:c r="C9" s="29" t="n">
        <x:v>0</x:v>
      </x:c>
      <x:c r="D9" s="29" t="n">
        <x:v>0</x:v>
      </x:c>
      <x:c r="E9" s="29" t="n">
        <x:v>-400</x:v>
      </x:c>
      <x:c r="F9" s="29" t="n">
        <x:v>0</x:v>
      </x:c>
      <x:c r="G9" s="29" t="n">
        <x:v>0</x:v>
      </x:c>
      <x:c r="H9" s="29" t="n">
        <x:v>0</x:v>
      </x:c>
      <x:c r="I9" s="29" t="str">
        <x:v>compression-negative</x:v>
      </x:c>
      <x:c r="J9" s="29" t="str">
        <x:v>ACTIVE</x:v>
      </x:c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6" max="16" width="20" hidden="0" customWidth="1"/>
    <x:col min="17" max="17" width="18" hidden="0" customWidth="1"/>
  </x:cols>
  <x:sheetData>
    <x:row r="1" ht="16.799999237060547" hidden="0" customHeight="1">
      <x:c r="A1" s="58" t="str">
        <x:v>TM SCT Coc-compatible imported reaction checker — REVIEW contract, not cell-level XLSM clone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Selected Combination</x:v>
      </x:c>
      <x:c r="B3" s="59" t="str">
        <x:v>C1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 t="str">
        <x:v>Summary</x:v>
      </x:c>
      <x:c r="Q3" s="29" t="str">
        <x:v>Value</x:v>
      </x:c>
    </x:row>
    <x:row r="4" ht="39.599998474121094" hidden="0" customHeight="1">
      <x:c r="A4" s="29" t="str">
        <x:v>Reaction Sign</x:v>
      </x:c>
      <x:c r="B4" s="59" t="str">
        <x:v>compression-negative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 t="str">
        <x:v>Max compression kN</x:v>
      </x:c>
      <x:c r="Q4" s="29" t="n">
        <x:f>MAX(F9:F28)</x:f>
        <x:v>700</x:v>
      </x:c>
    </x:row>
    <x:row r="5" ht="52.79999923706055" hidden="0" customHeight="1">
      <x:c r="A5" s="29" t="str">
        <x:v>Mode</x:v>
      </x:c>
      <x:c r="B5" s="59" t="str">
        <x:v>IMPORTED_NODAL_REACTION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 t="str">
        <x:v>Min reaction kN</x:v>
      </x:c>
      <x:c r="Q5" s="29" t="n">
        <x:f>MIN(F9:F28)</x:f>
        <x:v>400</x:v>
      </x:c>
    </x:row>
    <x:row r="6" ht="66" hidden="0" customHeight="1">
      <x:c r="A6" s="29" t="str">
        <x:v>XLSM status</x:v>
      </x:c>
      <x:c r="B6" s="59" t="str">
        <x:v>REFERENCE / cell mapping not yet complete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Max utilization</x:v>
      </x:c>
      <x:c r="Q6" s="29" t="n">
        <x:f>IFERROR(MAX(K9:K28),"")</x:f>
        <x:v>0.875</x:v>
      </x:c>
    </x:row>
    <x:row r="7" ht="26.399999618530273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Any tension</x:v>
      </x:c>
      <x:c r="Q7" s="29" t="str">
        <x:f>IF(MIN(F9:F28)&lt;0,"YES","NO")</x:f>
        <x:v>NO</x:v>
      </x:c>
    </x:row>
    <x:row r="8" ht="26.399999618530273" hidden="0" customHeight="1">
      <x:c r="A8" s="51" t="str">
        <x:v>pileId</x:v>
      </x:c>
      <x:c r="B8" s="51" t="str">
        <x:v>pointId</x:v>
      </x:c>
      <x:c r="C8" s="51" t="str">
        <x:v>X_m</x:v>
      </x:c>
      <x:c r="D8" s="51" t="str">
        <x:v>Y_m</x:v>
      </x:c>
      <x:c r="E8" s="51" t="str">
        <x:v>Fz_raw_kN</x:v>
      </x:c>
      <x:c r="F8" s="51" t="str">
        <x:v>Demand_kN</x:v>
      </x:c>
      <x:c r="G8" s="51" t="str">
        <x:v>CheckType</x:v>
      </x:c>
      <x:c r="H8" s="51" t="str">
        <x:v>CompressionCap_kN</x:v>
      </x:c>
      <x:c r="I8" s="51" t="str">
        <x:v>TensionCap_kN</x:v>
      </x:c>
      <x:c r="J8" s="51" t="str">
        <x:v>CapacityUsed_kN</x:v>
      </x:c>
      <x:c r="K8" s="51" t="str">
        <x:v>Utilization</x:v>
      </x:c>
      <x:c r="L8" s="51" t="str">
        <x:v>PASS/FAIL</x:v>
      </x:c>
      <x:c r="M8" s="51" t="str">
        <x:v>sourceBorehole</x:v>
      </x:c>
      <x:c r="N8" s="51" t="str">
        <x:v>method</x:v>
      </x:c>
      <x:c r="O8" s="29"/>
      <x:c r="P8" s="29" t="str">
        <x:v>Any BLOCK</x:v>
      </x:c>
      <x:c r="Q8" s="29" t="str">
        <x:f>IF(COUNTIF(L9:L28,"BLOCK")&gt;0,"YES","NO")</x:f>
        <x:v>NO</x:v>
      </x:c>
    </x:row>
    <x:row r="9" ht="26.399999618530273" hidden="0" customHeight="1">
      <x:c r="A9" s="29" t="str">
        <x:f>IF(SPRING_ASSIGNMENTS!B2="","",SPRING_ASSIGNMENTS!B2)</x:f>
        <x:v>P1</x:v>
      </x:c>
      <x:c r="B9" s="29" t="str">
        <x:f>IF($A9="","",SPRING_ASSIGNMENTS!A2)</x:f>
        <x:v>N1</x:v>
      </x:c>
      <x:c r="C9" s="29" t="n">
        <x:f>IF($B9="","",INDEX(POINT_COORDINATES!$B$2:$B$100,MATCH($B9,POINT_COORDINATES!$A$2:$A$100,0)))</x:f>
        <x:v>-1</x:v>
      </x:c>
      <x:c r="D9" s="29" t="n">
        <x:f>IF($B9="","",INDEX(POINT_COORDINATES!$C$2:$C$100,MATCH($B9,POINT_COORDINATES!$A$2:$A$100,0)))</x:f>
        <x:v>-1</x:v>
      </x:c>
      <x:c r="E9" s="29" t="n">
        <x:f>IF($B9="","",SUMIFS(IMPORTED_NODAL!$E$2:$E$200,IMPORTED_NODAL!$A$2:$A$200,$B9,IMPORTED_NODAL!$B$2:$B$200,$B$3))</x:f>
        <x:v>-400</x:v>
      </x:c>
      <x:c r="F9" s="60" t="n">
        <x:f>IF($A9="","",IF($B$4="compression-negative",-E9,E9))</x:f>
        <x:v>400</x:v>
      </x:c>
      <x:c r="G9" s="60" t="str">
        <x:f>IF($A9="","",IF(F9&gt;=0,"COMPRESSION","TENSION"))</x:f>
        <x:v>COMPRESSION</x:v>
      </x:c>
      <x:c r="H9" s="60" t="n">
        <x:f>IF($A9="","",INDEX(PILE_POINTS!$D$2:$D$100,MATCH($A9,PILE_POINTS!$A$2:$A$100,0)))</x:f>
        <x:v>800</x:v>
      </x:c>
      <x:c r="I9" s="60" t="n">
        <x:f>IF($A9="","",INDEX(PILE_POINTS!$E$2:$E$100,MATCH($A9,PILE_POINTS!$A$2:$A$100,0)))</x:f>
        <x:v>0</x:v>
      </x:c>
      <x:c r="J9" s="60" t="n">
        <x:f>IF($A9="","",IF(G9="COMPRESSION",H9,I9))</x:f>
        <x:v>800</x:v>
      </x:c>
      <x:c r="K9" s="60" t="n">
        <x:f>IF($A9="","",IF(G9="COMPRESSION",F9/H9,IF(I9&gt;0,ABS(F9)/I9,NA())))</x:f>
        <x:v>0.5</x:v>
      </x:c>
      <x:c r="L9" s="60" t="str">
        <x:f>IF($A9="","",IF(G9="COMPRESSION",IF(K9&lt;=1,"PASS","FAIL"),IF(I9&lt;=0,"BLOCK",IF(K9&lt;=1,"PASS","FAIL"))))</x:f>
        <x:v>PASS</x:v>
      </x:c>
      <x:c r="M9" s="29" t="str">
        <x:f>IF($A9="","",INDEX(PILE_POINTS!$F$2:$F$100,MATCH($A9,PILE_POINTS!$A$2:$A$100,0)))</x:f>
        <x:v>HK1</x:v>
      </x:c>
      <x:c r="N9" s="29" t="str">
        <x:f>IF($A9="","",INDEX(PILE_POINTS!$G$2:$G$100,MATCH($A9,PILE_POINTS!$A$2:$A$100,0)))</x:f>
        <x:v>SPT</x:v>
      </x:c>
      <x:c r="O9" s="29"/>
      <x:c r="P9" s="29" t="str">
        <x:v>Any FAIL</x:v>
      </x:c>
      <x:c r="Q9" s="29" t="str">
        <x:f>IF(COUNTIF(L9:L28,"FAIL")&gt;0,"YES","NO")</x:f>
        <x:v>NO</x:v>
      </x:c>
    </x:row>
    <x:row r="10" ht="26.399999618530273" hidden="0" customHeight="1">
      <x:c r="A10" s="29" t="str">
        <x:f>IF(SPRING_ASSIGNMENTS!B3="","",SPRING_ASSIGNMENTS!B3)</x:f>
        <x:v>P2</x:v>
      </x:c>
      <x:c r="B10" s="29" t="str">
        <x:f>IF($A10="","",SPRING_ASSIGNMENTS!A3)</x:f>
        <x:v>N2</x:v>
      </x:c>
      <x:c r="C10" s="29" t="n">
        <x:f>IF($B10="","",INDEX(POINT_COORDINATES!$B$2:$B$100,MATCH($B10,POINT_COORDINATES!$A$2:$A$100,0)))</x:f>
        <x:v>1</x:v>
      </x:c>
      <x:c r="D10" s="29" t="n">
        <x:f>IF($B10="","",INDEX(POINT_COORDINATES!$C$2:$C$100,MATCH($B10,POINT_COORDINATES!$A$2:$A$100,0)))</x:f>
        <x:v>-1</x:v>
      </x:c>
      <x:c r="E10" s="29" t="n">
        <x:f>IF($B10="","",SUMIFS(IMPORTED_NODAL!$E$2:$E$200,IMPORTED_NODAL!$A$2:$A$200,$B10,IMPORTED_NODAL!$B$2:$B$200,$B$3))</x:f>
        <x:v>-500</x:v>
      </x:c>
      <x:c r="F10" s="60" t="n">
        <x:f>IF($A10="","",IF($B$4="compression-negative",-E10,E10))</x:f>
        <x:v>500</x:v>
      </x:c>
      <x:c r="G10" s="60" t="str">
        <x:f>IF($A10="","",IF(F10&gt;=0,"COMPRESSION","TENSION"))</x:f>
        <x:v>COMPRESSION</x:v>
      </x:c>
      <x:c r="H10" s="60" t="n">
        <x:f>IF($A10="","",INDEX(PILE_POINTS!$D$2:$D$100,MATCH($A10,PILE_POINTS!$A$2:$A$100,0)))</x:f>
        <x:v>800</x:v>
      </x:c>
      <x:c r="I10" s="60" t="n">
        <x:f>IF($A10="","",INDEX(PILE_POINTS!$E$2:$E$100,MATCH($A10,PILE_POINTS!$A$2:$A$100,0)))</x:f>
        <x:v>0</x:v>
      </x:c>
      <x:c r="J10" s="60" t="n">
        <x:f>IF($A10="","",IF(G10="COMPRESSION",H10,I10))</x:f>
        <x:v>800</x:v>
      </x:c>
      <x:c r="K10" s="60" t="n">
        <x:f>IF($A10="","",IF(G10="COMPRESSION",F10/H10,IF(I10&gt;0,ABS(F10)/I10,NA())))</x:f>
        <x:v>0.625</x:v>
      </x:c>
      <x:c r="L10" s="60" t="str">
        <x:f>IF($A10="","",IF(G10="COMPRESSION",IF(K10&lt;=1,"PASS","FAIL"),IF(I10&lt;=0,"BLOCK",IF(K10&lt;=1,"PASS","FAIL"))))</x:f>
        <x:v>PASS</x:v>
      </x:c>
      <x:c r="M10" s="29" t="str">
        <x:f>IF($A10="","",INDEX(PILE_POINTS!$F$2:$F$100,MATCH($A10,PILE_POINTS!$A$2:$A$100,0)))</x:f>
        <x:v>HK1</x:v>
      </x:c>
      <x:c r="N10" s="29" t="str">
        <x:f>IF($A10="","",INDEX(PILE_POINTS!$G$2:$G$100,MATCH($A10,PILE_POINTS!$A$2:$A$100,0)))</x:f>
        <x:v>SPT</x:v>
      </x:c>
      <x:c r="O10" s="29"/>
      <x:c r="P10" s="29" t="str">
        <x:v>Overall</x:v>
      </x:c>
      <x:c r="Q10" s="29" t="str">
        <x:f>IF(AND(Q8="NO",Q9="NO"),"PASS","FAIL/BLOCK")</x:f>
        <x:v>PASS</x:v>
      </x:c>
    </x:row>
    <x:row r="11" ht="26.399999618530273" hidden="0" customHeight="1">
      <x:c r="A11" s="29" t="str">
        <x:f>IF(SPRING_ASSIGNMENTS!B4="","",SPRING_ASSIGNMENTS!B4)</x:f>
        <x:v>P3</x:v>
      </x:c>
      <x:c r="B11" s="29" t="str">
        <x:f>IF($A11="","",SPRING_ASSIGNMENTS!A4)</x:f>
        <x:v>N3</x:v>
      </x:c>
      <x:c r="C11" s="29" t="n">
        <x:f>IF($B11="","",INDEX(POINT_COORDINATES!$B$2:$B$100,MATCH($B11,POINT_COORDINATES!$A$2:$A$100,0)))</x:f>
        <x:v>-1</x:v>
      </x:c>
      <x:c r="D11" s="29" t="n">
        <x:f>IF($B11="","",INDEX(POINT_COORDINATES!$C$2:$C$100,MATCH($B11,POINT_COORDINATES!$A$2:$A$100,0)))</x:f>
        <x:v>1</x:v>
      </x:c>
      <x:c r="E11" s="29" t="n">
        <x:f>IF($B11="","",SUMIFS(IMPORTED_NODAL!$E$2:$E$200,IMPORTED_NODAL!$A$2:$A$200,$B11,IMPORTED_NODAL!$B$2:$B$200,$B$3))</x:f>
        <x:v>-600</x:v>
      </x:c>
      <x:c r="F11" s="60" t="n">
        <x:f>IF($A11="","",IF($B$4="compression-negative",-E11,E11))</x:f>
        <x:v>600</x:v>
      </x:c>
      <x:c r="G11" s="60" t="str">
        <x:f>IF($A11="","",IF(F11&gt;=0,"COMPRESSION","TENSION"))</x:f>
        <x:v>COMPRESSION</x:v>
      </x:c>
      <x:c r="H11" s="60" t="n">
        <x:f>IF($A11="","",INDEX(PILE_POINTS!$D$2:$D$100,MATCH($A11,PILE_POINTS!$A$2:$A$100,0)))</x:f>
        <x:v>800</x:v>
      </x:c>
      <x:c r="I11" s="60" t="n">
        <x:f>IF($A11="","",INDEX(PILE_POINTS!$E$2:$E$100,MATCH($A11,PILE_POINTS!$A$2:$A$100,0)))</x:f>
        <x:v>0</x:v>
      </x:c>
      <x:c r="J11" s="60" t="n">
        <x:f>IF($A11="","",IF(G11="COMPRESSION",H11,I11))</x:f>
        <x:v>800</x:v>
      </x:c>
      <x:c r="K11" s="60" t="n">
        <x:f>IF($A11="","",IF(G11="COMPRESSION",F11/H11,IF(I11&gt;0,ABS(F11)/I11,NA())))</x:f>
        <x:v>0.75</x:v>
      </x:c>
      <x:c r="L11" s="60" t="str">
        <x:f>IF($A11="","",IF(G11="COMPRESSION",IF(K11&lt;=1,"PASS","FAIL"),IF(I11&lt;=0,"BLOCK",IF(K11&lt;=1,"PASS","FAIL"))))</x:f>
        <x:v>PASS</x:v>
      </x:c>
      <x:c r="M11" s="29" t="str">
        <x:f>IF($A11="","",INDEX(PILE_POINTS!$F$2:$F$100,MATCH($A11,PILE_POINTS!$A$2:$A$100,0)))</x:f>
        <x:v>HK2</x:v>
      </x:c>
      <x:c r="N11" s="29" t="str">
        <x:f>IF($A11="","",INDEX(PILE_POINTS!$G$2:$G$100,MATCH($A11,PILE_POINTS!$A$2:$A$100,0)))</x:f>
        <x:v>MECH</x:v>
      </x:c>
      <x:c r="O11" s="29"/>
      <x:c r="P11" s="29"/>
      <x:c r="Q11" s="29"/>
    </x:row>
    <x:row r="12" ht="26.399999618530273" hidden="0" customHeight="1">
      <x:c r="A12" s="29" t="str">
        <x:f>IF(SPRING_ASSIGNMENTS!B5="","",SPRING_ASSIGNMENTS!B5)</x:f>
        <x:v>P4</x:v>
      </x:c>
      <x:c r="B12" s="29" t="str">
        <x:f>IF($A12="","",SPRING_ASSIGNMENTS!A5)</x:f>
        <x:v>N4</x:v>
      </x:c>
      <x:c r="C12" s="29" t="n">
        <x:f>IF($B12="","",INDEX(POINT_COORDINATES!$B$2:$B$100,MATCH($B12,POINT_COORDINATES!$A$2:$A$100,0)))</x:f>
        <x:v>1</x:v>
      </x:c>
      <x:c r="D12" s="29" t="n">
        <x:f>IF($B12="","",INDEX(POINT_COORDINATES!$C$2:$C$100,MATCH($B12,POINT_COORDINATES!$A$2:$A$100,0)))</x:f>
        <x:v>1</x:v>
      </x:c>
      <x:c r="E12" s="29" t="n">
        <x:f>IF($B12="","",SUMIFS(IMPORTED_NODAL!$E$2:$E$200,IMPORTED_NODAL!$A$2:$A$200,$B12,IMPORTED_NODAL!$B$2:$B$200,$B$3))</x:f>
        <x:v>-700</x:v>
      </x:c>
      <x:c r="F12" s="60" t="n">
        <x:f>IF($A12="","",IF($B$4="compression-negative",-E12,E12))</x:f>
        <x:v>700</x:v>
      </x:c>
      <x:c r="G12" s="60" t="str">
        <x:f>IF($A12="","",IF(F12&gt;=0,"COMPRESSION","TENSION"))</x:f>
        <x:v>COMPRESSION</x:v>
      </x:c>
      <x:c r="H12" s="60" t="n">
        <x:f>IF($A12="","",INDEX(PILE_POINTS!$D$2:$D$100,MATCH($A12,PILE_POINTS!$A$2:$A$100,0)))</x:f>
        <x:v>800</x:v>
      </x:c>
      <x:c r="I12" s="60" t="n">
        <x:f>IF($A12="","",INDEX(PILE_POINTS!$E$2:$E$100,MATCH($A12,PILE_POINTS!$A$2:$A$100,0)))</x:f>
        <x:v>0</x:v>
      </x:c>
      <x:c r="J12" s="60" t="n">
        <x:f>IF($A12="","",IF(G12="COMPRESSION",H12,I12))</x:f>
        <x:v>800</x:v>
      </x:c>
      <x:c r="K12" s="60" t="n">
        <x:f>IF($A12="","",IF(G12="COMPRESSION",F12/H12,IF(I12&gt;0,ABS(F12)/I12,NA())))</x:f>
        <x:v>0.875</x:v>
      </x:c>
      <x:c r="L12" s="60" t="str">
        <x:f>IF($A12="","",IF(G12="COMPRESSION",IF(K12&lt;=1,"PASS","FAIL"),IF(I12&lt;=0,"BLOCK",IF(K12&lt;=1,"PASS","FAIL"))))</x:f>
        <x:v>PASS</x:v>
      </x:c>
      <x:c r="M12" s="29" t="str">
        <x:f>IF($A12="","",INDEX(PILE_POINTS!$F$2:$F$100,MATCH($A12,PILE_POINTS!$A$2:$A$100,0)))</x:f>
        <x:v>HK2</x:v>
      </x:c>
      <x:c r="N12" s="29" t="str">
        <x:f>IF($A12="","",INDEX(PILE_POINTS!$G$2:$G$100,MATCH($A12,PILE_POINTS!$A$2:$A$100,0)))</x:f>
        <x:v>MECH</x:v>
      </x:c>
      <x:c r="O12" s="29"/>
      <x:c r="P12" s="29"/>
      <x:c r="Q12" s="29"/>
    </x:row>
    <x:row r="13" ht="15" hidden="0" customHeight="1">
      <x:c r="A13" s="29" t="str">
        <x:f>IF(SPRING_ASSIGNMENTS!B6="","",SPRING_ASSIGNMENTS!B6)</x:f>
      </x:c>
      <x:c r="B13" s="29" t="str">
        <x:f>IF($A13="","",SPRING_ASSIGNMENTS!A6)</x:f>
      </x:c>
      <x:c r="C13" s="29" t="str">
        <x:f>IF($B13="","",INDEX(POINT_COORDINATES!$B$2:$B$100,MATCH($B13,POINT_COORDINATES!$A$2:$A$100,0)))</x:f>
      </x:c>
      <x:c r="D13" s="29" t="str">
        <x:f>IF($B13="","",INDEX(POINT_COORDINATES!$C$2:$C$100,MATCH($B13,POINT_COORDINATES!$A$2:$A$100,0)))</x:f>
      </x:c>
      <x:c r="E13" s="29" t="str">
        <x:f>IF($B13="","",SUMIFS(IMPORTED_NODAL!$E$2:$E$200,IMPORTED_NODAL!$A$2:$A$200,$B13,IMPORTED_NODAL!$B$2:$B$200,$B$3))</x:f>
      </x:c>
      <x:c r="F13" s="60" t="str">
        <x:f>IF($A13="","",IF($B$4="compression-negative",-E13,E13))</x:f>
      </x:c>
      <x:c r="G13" s="60" t="str">
        <x:f>IF($A13="","",IF(F13&gt;=0,"COMPRESSION","TENSION"))</x:f>
      </x:c>
      <x:c r="H13" s="60" t="str">
        <x:f>IF($A13="","",INDEX(PILE_POINTS!$D$2:$D$100,MATCH($A13,PILE_POINTS!$A$2:$A$100,0)))</x:f>
      </x:c>
      <x:c r="I13" s="60" t="str">
        <x:f>IF($A13="","",INDEX(PILE_POINTS!$E$2:$E$100,MATCH($A13,PILE_POINTS!$A$2:$A$100,0)))</x:f>
      </x:c>
      <x:c r="J13" s="60" t="str">
        <x:f>IF($A13="","",IF(G13="COMPRESSION",H13,I13))</x:f>
      </x:c>
      <x:c r="K13" s="60" t="str">
        <x:f>IF($A13="","",IF(G13="COMPRESSION",F13/H13,IF(I13&gt;0,ABS(F13)/I13,NA())))</x:f>
      </x:c>
      <x:c r="L13" s="60" t="str">
        <x:f>IF($A13="","",IF(G13="COMPRESSION",IF(K13&lt;=1,"PASS","FAIL"),IF(I13&lt;=0,"BLOCK",IF(K13&lt;=1,"PASS","FAIL"))))</x:f>
      </x:c>
      <x:c r="M13" s="29" t="str">
        <x:f>IF($A13="","",INDEX(PILE_POINTS!$F$2:$F$100,MATCH($A13,PILE_POINTS!$A$2:$A$100,0)))</x:f>
      </x:c>
      <x:c r="N13" s="29" t="str">
        <x:f>IF($A13="","",INDEX(PILE_POINTS!$G$2:$G$100,MATCH($A13,PILE_POINTS!$A$2:$A$100,0)))</x:f>
      </x:c>
      <x:c r="O13" s="29"/>
      <x:c r="P13" s="29"/>
      <x:c r="Q13" s="29"/>
    </x:row>
    <x:row r="14" ht="15" hidden="0" customHeight="1">
      <x:c r="A14" s="29" t="str">
        <x:f>IF(SPRING_ASSIGNMENTS!B7="","",SPRING_ASSIGNMENTS!B7)</x:f>
      </x:c>
      <x:c r="B14" s="29" t="str">
        <x:f>IF($A14="","",SPRING_ASSIGNMENTS!A7)</x:f>
      </x:c>
      <x:c r="C14" s="29" t="str">
        <x:f>IF($B14="","",INDEX(POINT_COORDINATES!$B$2:$B$100,MATCH($B14,POINT_COORDINATES!$A$2:$A$100,0)))</x:f>
      </x:c>
      <x:c r="D14" s="29" t="str">
        <x:f>IF($B14="","",INDEX(POINT_COORDINATES!$C$2:$C$100,MATCH($B14,POINT_COORDINATES!$A$2:$A$100,0)))</x:f>
      </x:c>
      <x:c r="E14" s="29" t="str">
        <x:f>IF($B14="","",SUMIFS(IMPORTED_NODAL!$E$2:$E$200,IMPORTED_NODAL!$A$2:$A$200,$B14,IMPORTED_NODAL!$B$2:$B$200,$B$3))</x:f>
      </x:c>
      <x:c r="F14" s="60" t="str">
        <x:f>IF($A14="","",IF($B$4="compression-negative",-E14,E14))</x:f>
      </x:c>
      <x:c r="G14" s="60" t="str">
        <x:f>IF($A14="","",IF(F14&gt;=0,"COMPRESSION","TENSION"))</x:f>
      </x:c>
      <x:c r="H14" s="60" t="str">
        <x:f>IF($A14="","",INDEX(PILE_POINTS!$D$2:$D$100,MATCH($A14,PILE_POINTS!$A$2:$A$100,0)))</x:f>
      </x:c>
      <x:c r="I14" s="60" t="str">
        <x:f>IF($A14="","",INDEX(PILE_POINTS!$E$2:$E$100,MATCH($A14,PILE_POINTS!$A$2:$A$100,0)))</x:f>
      </x:c>
      <x:c r="J14" s="60" t="str">
        <x:f>IF($A14="","",IF(G14="COMPRESSION",H14,I14))</x:f>
      </x:c>
      <x:c r="K14" s="60" t="str">
        <x:f>IF($A14="","",IF(G14="COMPRESSION",F14/H14,IF(I14&gt;0,ABS(F14)/I14,NA())))</x:f>
      </x:c>
      <x:c r="L14" s="60" t="str">
        <x:f>IF($A14="","",IF(G14="COMPRESSION",IF(K14&lt;=1,"PASS","FAIL"),IF(I14&lt;=0,"BLOCK",IF(K14&lt;=1,"PASS","FAIL"))))</x:f>
      </x:c>
      <x:c r="M14" s="29" t="str">
        <x:f>IF($A14="","",INDEX(PILE_POINTS!$F$2:$F$100,MATCH($A14,PILE_POINTS!$A$2:$A$100,0)))</x:f>
      </x:c>
      <x:c r="N14" s="29" t="str">
        <x:f>IF($A14="","",INDEX(PILE_POINTS!$G$2:$G$100,MATCH($A14,PILE_POINTS!$A$2:$A$100,0)))</x:f>
      </x:c>
      <x:c r="O14" s="29"/>
      <x:c r="P14" s="29"/>
      <x:c r="Q14" s="29"/>
    </x:row>
    <x:row r="15" ht="15" hidden="0" customHeight="1">
      <x:c r="A15" s="29" t="str">
        <x:f>IF(SPRING_ASSIGNMENTS!B8="","",SPRING_ASSIGNMENTS!B8)</x:f>
      </x:c>
      <x:c r="B15" s="29" t="str">
        <x:f>IF($A15="","",SPRING_ASSIGNMENTS!A8)</x:f>
      </x:c>
      <x:c r="C15" s="29" t="str">
        <x:f>IF($B15="","",INDEX(POINT_COORDINATES!$B$2:$B$100,MATCH($B15,POINT_COORDINATES!$A$2:$A$100,0)))</x:f>
      </x:c>
      <x:c r="D15" s="29" t="str">
        <x:f>IF($B15="","",INDEX(POINT_COORDINATES!$C$2:$C$100,MATCH($B15,POINT_COORDINATES!$A$2:$A$100,0)))</x:f>
      </x:c>
      <x:c r="E15" s="29" t="str">
        <x:f>IF($B15="","",SUMIFS(IMPORTED_NODAL!$E$2:$E$200,IMPORTED_NODAL!$A$2:$A$200,$B15,IMPORTED_NODAL!$B$2:$B$200,$B$3))</x:f>
      </x:c>
      <x:c r="F15" s="60" t="str">
        <x:f>IF($A15="","",IF($B$4="compression-negative",-E15,E15))</x:f>
      </x:c>
      <x:c r="G15" s="60" t="str">
        <x:f>IF($A15="","",IF(F15&gt;=0,"COMPRESSION","TENSION"))</x:f>
      </x:c>
      <x:c r="H15" s="60" t="str">
        <x:f>IF($A15="","",INDEX(PILE_POINTS!$D$2:$D$100,MATCH($A15,PILE_POINTS!$A$2:$A$100,0)))</x:f>
      </x:c>
      <x:c r="I15" s="60" t="str">
        <x:f>IF($A15="","",INDEX(PILE_POINTS!$E$2:$E$100,MATCH($A15,PILE_POINTS!$A$2:$A$100,0)))</x:f>
      </x:c>
      <x:c r="J15" s="60" t="str">
        <x:f>IF($A15="","",IF(G15="COMPRESSION",H15,I15))</x:f>
      </x:c>
      <x:c r="K15" s="60" t="str">
        <x:f>IF($A15="","",IF(G15="COMPRESSION",F15/H15,IF(I15&gt;0,ABS(F15)/I15,NA())))</x:f>
      </x:c>
      <x:c r="L15" s="60" t="str">
        <x:f>IF($A15="","",IF(G15="COMPRESSION",IF(K15&lt;=1,"PASS","FAIL"),IF(I15&lt;=0,"BLOCK",IF(K15&lt;=1,"PASS","FAIL"))))</x:f>
      </x:c>
      <x:c r="M15" s="29" t="str">
        <x:f>IF($A15="","",INDEX(PILE_POINTS!$F$2:$F$100,MATCH($A15,PILE_POINTS!$A$2:$A$100,0)))</x:f>
      </x:c>
      <x:c r="N15" s="29" t="str">
        <x:f>IF($A15="","",INDEX(PILE_POINTS!$G$2:$G$100,MATCH($A15,PILE_POINTS!$A$2:$A$100,0)))</x:f>
      </x:c>
      <x:c r="O15" s="29"/>
      <x:c r="P15" s="29"/>
      <x:c r="Q15" s="29"/>
    </x:row>
    <x:row r="16" ht="15" hidden="0" customHeight="1">
      <x:c r="A16" s="29" t="str">
        <x:f>IF(SPRING_ASSIGNMENTS!B9="","",SPRING_ASSIGNMENTS!B9)</x:f>
      </x:c>
      <x:c r="B16" s="29" t="str">
        <x:f>IF($A16="","",SPRING_ASSIGNMENTS!A9)</x:f>
      </x:c>
      <x:c r="C16" s="29" t="str">
        <x:f>IF($B16="","",INDEX(POINT_COORDINATES!$B$2:$B$100,MATCH($B16,POINT_COORDINATES!$A$2:$A$100,0)))</x:f>
      </x:c>
      <x:c r="D16" s="29" t="str">
        <x:f>IF($B16="","",INDEX(POINT_COORDINATES!$C$2:$C$100,MATCH($B16,POINT_COORDINATES!$A$2:$A$100,0)))</x:f>
      </x:c>
      <x:c r="E16" s="29" t="str">
        <x:f>IF($B16="","",SUMIFS(IMPORTED_NODAL!$E$2:$E$200,IMPORTED_NODAL!$A$2:$A$200,$B16,IMPORTED_NODAL!$B$2:$B$200,$B$3))</x:f>
      </x:c>
      <x:c r="F16" s="60" t="str">
        <x:f>IF($A16="","",IF($B$4="compression-negative",-E16,E16))</x:f>
      </x:c>
      <x:c r="G16" s="60" t="str">
        <x:f>IF($A16="","",IF(F16&gt;=0,"COMPRESSION","TENSION"))</x:f>
      </x:c>
      <x:c r="H16" s="60" t="str">
        <x:f>IF($A16="","",INDEX(PILE_POINTS!$D$2:$D$100,MATCH($A16,PILE_POINTS!$A$2:$A$100,0)))</x:f>
      </x:c>
      <x:c r="I16" s="60" t="str">
        <x:f>IF($A16="","",INDEX(PILE_POINTS!$E$2:$E$100,MATCH($A16,PILE_POINTS!$A$2:$A$100,0)))</x:f>
      </x:c>
      <x:c r="J16" s="60" t="str">
        <x:f>IF($A16="","",IF(G16="COMPRESSION",H16,I16))</x:f>
      </x:c>
      <x:c r="K16" s="60" t="str">
        <x:f>IF($A16="","",IF(G16="COMPRESSION",F16/H16,IF(I16&gt;0,ABS(F16)/I16,NA())))</x:f>
      </x:c>
      <x:c r="L16" s="60" t="str">
        <x:f>IF($A16="","",IF(G16="COMPRESSION",IF(K16&lt;=1,"PASS","FAIL"),IF(I16&lt;=0,"BLOCK",IF(K16&lt;=1,"PASS","FAIL"))))</x:f>
      </x:c>
      <x:c r="M16" s="29" t="str">
        <x:f>IF($A16="","",INDEX(PILE_POINTS!$F$2:$F$100,MATCH($A16,PILE_POINTS!$A$2:$A$100,0)))</x:f>
      </x:c>
      <x:c r="N16" s="29" t="str">
        <x:f>IF($A16="","",INDEX(PILE_POINTS!$G$2:$G$100,MATCH($A16,PILE_POINTS!$A$2:$A$100,0)))</x:f>
      </x:c>
      <x:c r="O16" s="29"/>
      <x:c r="P16" s="29"/>
      <x:c r="Q16" s="29"/>
    </x:row>
    <x:row r="17" ht="15" hidden="0" customHeight="1">
      <x:c r="A17" s="29" t="str">
        <x:f>IF(SPRING_ASSIGNMENTS!B10="","",SPRING_ASSIGNMENTS!B10)</x:f>
      </x:c>
      <x:c r="B17" s="29" t="str">
        <x:f>IF($A17="","",SPRING_ASSIGNMENTS!A10)</x:f>
      </x:c>
      <x:c r="C17" s="29" t="str">
        <x:f>IF($B17="","",INDEX(POINT_COORDINATES!$B$2:$B$100,MATCH($B17,POINT_COORDINATES!$A$2:$A$100,0)))</x:f>
      </x:c>
      <x:c r="D17" s="29" t="str">
        <x:f>IF($B17="","",INDEX(POINT_COORDINATES!$C$2:$C$100,MATCH($B17,POINT_COORDINATES!$A$2:$A$100,0)))</x:f>
      </x:c>
      <x:c r="E17" s="29" t="str">
        <x:f>IF($B17="","",SUMIFS(IMPORTED_NODAL!$E$2:$E$200,IMPORTED_NODAL!$A$2:$A$200,$B17,IMPORTED_NODAL!$B$2:$B$200,$B$3))</x:f>
      </x:c>
      <x:c r="F17" s="60" t="str">
        <x:f>IF($A17="","",IF($B$4="compression-negative",-E17,E17))</x:f>
      </x:c>
      <x:c r="G17" s="60" t="str">
        <x:f>IF($A17="","",IF(F17&gt;=0,"COMPRESSION","TENSION"))</x:f>
      </x:c>
      <x:c r="H17" s="60" t="str">
        <x:f>IF($A17="","",INDEX(PILE_POINTS!$D$2:$D$100,MATCH($A17,PILE_POINTS!$A$2:$A$100,0)))</x:f>
      </x:c>
      <x:c r="I17" s="60" t="str">
        <x:f>IF($A17="","",INDEX(PILE_POINTS!$E$2:$E$100,MATCH($A17,PILE_POINTS!$A$2:$A$100,0)))</x:f>
      </x:c>
      <x:c r="J17" s="60" t="str">
        <x:f>IF($A17="","",IF(G17="COMPRESSION",H17,I17))</x:f>
      </x:c>
      <x:c r="K17" s="60" t="str">
        <x:f>IF($A17="","",IF(G17="COMPRESSION",F17/H17,IF(I17&gt;0,ABS(F17)/I17,NA())))</x:f>
      </x:c>
      <x:c r="L17" s="60" t="str">
        <x:f>IF($A17="","",IF(G17="COMPRESSION",IF(K17&lt;=1,"PASS","FAIL"),IF(I17&lt;=0,"BLOCK",IF(K17&lt;=1,"PASS","FAIL"))))</x:f>
      </x:c>
      <x:c r="M17" s="29" t="str">
        <x:f>IF($A17="","",INDEX(PILE_POINTS!$F$2:$F$100,MATCH($A17,PILE_POINTS!$A$2:$A$100,0)))</x:f>
      </x:c>
      <x:c r="N17" s="29" t="str">
        <x:f>IF($A17="","",INDEX(PILE_POINTS!$G$2:$G$100,MATCH($A17,PILE_POINTS!$A$2:$A$100,0)))</x:f>
      </x:c>
      <x:c r="O17" s="29"/>
      <x:c r="P17" s="29"/>
      <x:c r="Q17" s="29"/>
    </x:row>
    <x:row r="18" ht="15" hidden="0" customHeight="1">
      <x:c r="A18" s="29" t="str">
        <x:f>IF(SPRING_ASSIGNMENTS!B11="","",SPRING_ASSIGNMENTS!B11)</x:f>
      </x:c>
      <x:c r="B18" s="29" t="str">
        <x:f>IF($A18="","",SPRING_ASSIGNMENTS!A11)</x:f>
      </x:c>
      <x:c r="C18" s="29" t="str">
        <x:f>IF($B18="","",INDEX(POINT_COORDINATES!$B$2:$B$100,MATCH($B18,POINT_COORDINATES!$A$2:$A$100,0)))</x:f>
      </x:c>
      <x:c r="D18" s="29" t="str">
        <x:f>IF($B18="","",INDEX(POINT_COORDINATES!$C$2:$C$100,MATCH($B18,POINT_COORDINATES!$A$2:$A$100,0)))</x:f>
      </x:c>
      <x:c r="E18" s="29" t="str">
        <x:f>IF($B18="","",SUMIFS(IMPORTED_NODAL!$E$2:$E$200,IMPORTED_NODAL!$A$2:$A$200,$B18,IMPORTED_NODAL!$B$2:$B$200,$B$3))</x:f>
      </x:c>
      <x:c r="F18" s="60" t="str">
        <x:f>IF($A18="","",IF($B$4="compression-negative",-E18,E18))</x:f>
      </x:c>
      <x:c r="G18" s="60" t="str">
        <x:f>IF($A18="","",IF(F18&gt;=0,"COMPRESSION","TENSION"))</x:f>
      </x:c>
      <x:c r="H18" s="60" t="str">
        <x:f>IF($A18="","",INDEX(PILE_POINTS!$D$2:$D$100,MATCH($A18,PILE_POINTS!$A$2:$A$100,0)))</x:f>
      </x:c>
      <x:c r="I18" s="60" t="str">
        <x:f>IF($A18="","",INDEX(PILE_POINTS!$E$2:$E$100,MATCH($A18,PILE_POINTS!$A$2:$A$100,0)))</x:f>
      </x:c>
      <x:c r="J18" s="60" t="str">
        <x:f>IF($A18="","",IF(G18="COMPRESSION",H18,I18))</x:f>
      </x:c>
      <x:c r="K18" s="60" t="str">
        <x:f>IF($A18="","",IF(G18="COMPRESSION",F18/H18,IF(I18&gt;0,ABS(F18)/I18,NA())))</x:f>
      </x:c>
      <x:c r="L18" s="60" t="str">
        <x:f>IF($A18="","",IF(G18="COMPRESSION",IF(K18&lt;=1,"PASS","FAIL"),IF(I18&lt;=0,"BLOCK",IF(K18&lt;=1,"PASS","FAIL"))))</x:f>
      </x:c>
      <x:c r="M18" s="29" t="str">
        <x:f>IF($A18="","",INDEX(PILE_POINTS!$F$2:$F$100,MATCH($A18,PILE_POINTS!$A$2:$A$100,0)))</x:f>
      </x:c>
      <x:c r="N18" s="29" t="str">
        <x:f>IF($A18="","",INDEX(PILE_POINTS!$G$2:$G$100,MATCH($A18,PILE_POINTS!$A$2:$A$100,0)))</x:f>
      </x:c>
      <x:c r="O18" s="29"/>
      <x:c r="P18" s="29"/>
      <x:c r="Q18" s="29"/>
    </x:row>
    <x:row r="19" ht="15" hidden="0" customHeight="1">
      <x:c r="A19" s="29" t="str">
        <x:f>IF(SPRING_ASSIGNMENTS!B12="","",SPRING_ASSIGNMENTS!B12)</x:f>
      </x:c>
      <x:c r="B19" s="29" t="str">
        <x:f>IF($A19="","",SPRING_ASSIGNMENTS!A12)</x:f>
      </x:c>
      <x:c r="C19" s="29" t="str">
        <x:f>IF($B19="","",INDEX(POINT_COORDINATES!$B$2:$B$100,MATCH($B19,POINT_COORDINATES!$A$2:$A$100,0)))</x:f>
      </x:c>
      <x:c r="D19" s="29" t="str">
        <x:f>IF($B19="","",INDEX(POINT_COORDINATES!$C$2:$C$100,MATCH($B19,POINT_COORDINATES!$A$2:$A$100,0)))</x:f>
      </x:c>
      <x:c r="E19" s="29" t="str">
        <x:f>IF($B19="","",SUMIFS(IMPORTED_NODAL!$E$2:$E$200,IMPORTED_NODAL!$A$2:$A$200,$B19,IMPORTED_NODAL!$B$2:$B$200,$B$3))</x:f>
      </x:c>
      <x:c r="F19" s="60" t="str">
        <x:f>IF($A19="","",IF($B$4="compression-negative",-E19,E19))</x:f>
      </x:c>
      <x:c r="G19" s="60" t="str">
        <x:f>IF($A19="","",IF(F19&gt;=0,"COMPRESSION","TENSION"))</x:f>
      </x:c>
      <x:c r="H19" s="60" t="str">
        <x:f>IF($A19="","",INDEX(PILE_POINTS!$D$2:$D$100,MATCH($A19,PILE_POINTS!$A$2:$A$100,0)))</x:f>
      </x:c>
      <x:c r="I19" s="60" t="str">
        <x:f>IF($A19="","",INDEX(PILE_POINTS!$E$2:$E$100,MATCH($A19,PILE_POINTS!$A$2:$A$100,0)))</x:f>
      </x:c>
      <x:c r="J19" s="60" t="str">
        <x:f>IF($A19="","",IF(G19="COMPRESSION",H19,I19))</x:f>
      </x:c>
      <x:c r="K19" s="60" t="str">
        <x:f>IF($A19="","",IF(G19="COMPRESSION",F19/H19,IF(I19&gt;0,ABS(F19)/I19,NA())))</x:f>
      </x:c>
      <x:c r="L19" s="60" t="str">
        <x:f>IF($A19="","",IF(G19="COMPRESSION",IF(K19&lt;=1,"PASS","FAIL"),IF(I19&lt;=0,"BLOCK",IF(K19&lt;=1,"PASS","FAIL"))))</x:f>
      </x:c>
      <x:c r="M19" s="29" t="str">
        <x:f>IF($A19="","",INDEX(PILE_POINTS!$F$2:$F$100,MATCH($A19,PILE_POINTS!$A$2:$A$100,0)))</x:f>
      </x:c>
      <x:c r="N19" s="29" t="str">
        <x:f>IF($A19="","",INDEX(PILE_POINTS!$G$2:$G$100,MATCH($A19,PILE_POINTS!$A$2:$A$100,0)))</x:f>
      </x:c>
      <x:c r="O19" s="29"/>
      <x:c r="P19" s="29"/>
      <x:c r="Q19" s="29"/>
    </x:row>
    <x:row r="20" ht="15" hidden="0" customHeight="1">
      <x:c r="A20" s="29" t="str">
        <x:f>IF(SPRING_ASSIGNMENTS!B13="","",SPRING_ASSIGNMENTS!B13)</x:f>
      </x:c>
      <x:c r="B20" s="29" t="str">
        <x:f>IF($A20="","",SPRING_ASSIGNMENTS!A13)</x:f>
      </x:c>
      <x:c r="C20" s="29" t="str">
        <x:f>IF($B20="","",INDEX(POINT_COORDINATES!$B$2:$B$100,MATCH($B20,POINT_COORDINATES!$A$2:$A$100,0)))</x:f>
      </x:c>
      <x:c r="D20" s="29" t="str">
        <x:f>IF($B20="","",INDEX(POINT_COORDINATES!$C$2:$C$100,MATCH($B20,POINT_COORDINATES!$A$2:$A$100,0)))</x:f>
      </x:c>
      <x:c r="E20" s="29" t="str">
        <x:f>IF($B20="","",SUMIFS(IMPORTED_NODAL!$E$2:$E$200,IMPORTED_NODAL!$A$2:$A$200,$B20,IMPORTED_NODAL!$B$2:$B$200,$B$3))</x:f>
      </x:c>
      <x:c r="F20" s="60" t="str">
        <x:f>IF($A20="","",IF($B$4="compression-negative",-E20,E20))</x:f>
      </x:c>
      <x:c r="G20" s="60" t="str">
        <x:f>IF($A20="","",IF(F20&gt;=0,"COMPRESSION","TENSION"))</x:f>
      </x:c>
      <x:c r="H20" s="60" t="str">
        <x:f>IF($A20="","",INDEX(PILE_POINTS!$D$2:$D$100,MATCH($A20,PILE_POINTS!$A$2:$A$100,0)))</x:f>
      </x:c>
      <x:c r="I20" s="60" t="str">
        <x:f>IF($A20="","",INDEX(PILE_POINTS!$E$2:$E$100,MATCH($A20,PILE_POINTS!$A$2:$A$100,0)))</x:f>
      </x:c>
      <x:c r="J20" s="60" t="str">
        <x:f>IF($A20="","",IF(G20="COMPRESSION",H20,I20))</x:f>
      </x:c>
      <x:c r="K20" s="60" t="str">
        <x:f>IF($A20="","",IF(G20="COMPRESSION",F20/H20,IF(I20&gt;0,ABS(F20)/I20,NA())))</x:f>
      </x:c>
      <x:c r="L20" s="60" t="str">
        <x:f>IF($A20="","",IF(G20="COMPRESSION",IF(K20&lt;=1,"PASS","FAIL"),IF(I20&lt;=0,"BLOCK",IF(K20&lt;=1,"PASS","FAIL"))))</x:f>
      </x:c>
      <x:c r="M20" s="29" t="str">
        <x:f>IF($A20="","",INDEX(PILE_POINTS!$F$2:$F$100,MATCH($A20,PILE_POINTS!$A$2:$A$100,0)))</x:f>
      </x:c>
      <x:c r="N20" s="29" t="str">
        <x:f>IF($A20="","",INDEX(PILE_POINTS!$G$2:$G$100,MATCH($A20,PILE_POINTS!$A$2:$A$100,0)))</x:f>
      </x:c>
      <x:c r="O20" s="29"/>
      <x:c r="P20" s="29"/>
      <x:c r="Q20" s="29"/>
    </x:row>
    <x:row r="21" ht="15" hidden="0" customHeight="1">
      <x:c r="A21" s="29" t="str">
        <x:f>IF(SPRING_ASSIGNMENTS!B14="","",SPRING_ASSIGNMENTS!B14)</x:f>
      </x:c>
      <x:c r="B21" s="29" t="str">
        <x:f>IF($A21="","",SPRING_ASSIGNMENTS!A14)</x:f>
      </x:c>
      <x:c r="C21" s="29" t="str">
        <x:f>IF($B21="","",INDEX(POINT_COORDINATES!$B$2:$B$100,MATCH($B21,POINT_COORDINATES!$A$2:$A$100,0)))</x:f>
      </x:c>
      <x:c r="D21" s="29" t="str">
        <x:f>IF($B21="","",INDEX(POINT_COORDINATES!$C$2:$C$100,MATCH($B21,POINT_COORDINATES!$A$2:$A$100,0)))</x:f>
      </x:c>
      <x:c r="E21" s="29" t="str">
        <x:f>IF($B21="","",SUMIFS(IMPORTED_NODAL!$E$2:$E$200,IMPORTED_NODAL!$A$2:$A$200,$B21,IMPORTED_NODAL!$B$2:$B$200,$B$3))</x:f>
      </x:c>
      <x:c r="F21" s="60" t="str">
        <x:f>IF($A21="","",IF($B$4="compression-negative",-E21,E21))</x:f>
      </x:c>
      <x:c r="G21" s="60" t="str">
        <x:f>IF($A21="","",IF(F21&gt;=0,"COMPRESSION","TENSION"))</x:f>
      </x:c>
      <x:c r="H21" s="60" t="str">
        <x:f>IF($A21="","",INDEX(PILE_POINTS!$D$2:$D$100,MATCH($A21,PILE_POINTS!$A$2:$A$100,0)))</x:f>
      </x:c>
      <x:c r="I21" s="60" t="str">
        <x:f>IF($A21="","",INDEX(PILE_POINTS!$E$2:$E$100,MATCH($A21,PILE_POINTS!$A$2:$A$100,0)))</x:f>
      </x:c>
      <x:c r="J21" s="60" t="str">
        <x:f>IF($A21="","",IF(G21="COMPRESSION",H21,I21))</x:f>
      </x:c>
      <x:c r="K21" s="60" t="str">
        <x:f>IF($A21="","",IF(G21="COMPRESSION",F21/H21,IF(I21&gt;0,ABS(F21)/I21,NA())))</x:f>
      </x:c>
      <x:c r="L21" s="60" t="str">
        <x:f>IF($A21="","",IF(G21="COMPRESSION",IF(K21&lt;=1,"PASS","FAIL"),IF(I21&lt;=0,"BLOCK",IF(K21&lt;=1,"PASS","FAIL"))))</x:f>
      </x:c>
      <x:c r="M21" s="29" t="str">
        <x:f>IF($A21="","",INDEX(PILE_POINTS!$F$2:$F$100,MATCH($A21,PILE_POINTS!$A$2:$A$100,0)))</x:f>
      </x:c>
      <x:c r="N21" s="29" t="str">
        <x:f>IF($A21="","",INDEX(PILE_POINTS!$G$2:$G$100,MATCH($A21,PILE_POINTS!$A$2:$A$100,0)))</x:f>
      </x:c>
      <x:c r="O21" s="29"/>
      <x:c r="P21" s="29"/>
      <x:c r="Q21" s="29"/>
    </x:row>
    <x:row r="22" ht="15" hidden="0" customHeight="1">
      <x:c r="A22" s="29" t="str">
        <x:f>IF(SPRING_ASSIGNMENTS!B15="","",SPRING_ASSIGNMENTS!B15)</x:f>
      </x:c>
      <x:c r="B22" s="29" t="str">
        <x:f>IF($A22="","",SPRING_ASSIGNMENTS!A15)</x:f>
      </x:c>
      <x:c r="C22" s="29" t="str">
        <x:f>IF($B22="","",INDEX(POINT_COORDINATES!$B$2:$B$100,MATCH($B22,POINT_COORDINATES!$A$2:$A$100,0)))</x:f>
      </x:c>
      <x:c r="D22" s="29" t="str">
        <x:f>IF($B22="","",INDEX(POINT_COORDINATES!$C$2:$C$100,MATCH($B22,POINT_COORDINATES!$A$2:$A$100,0)))</x:f>
      </x:c>
      <x:c r="E22" s="29" t="str">
        <x:f>IF($B22="","",SUMIFS(IMPORTED_NODAL!$E$2:$E$200,IMPORTED_NODAL!$A$2:$A$200,$B22,IMPORTED_NODAL!$B$2:$B$200,$B$3))</x:f>
      </x:c>
      <x:c r="F22" s="60" t="str">
        <x:f>IF($A22="","",IF($B$4="compression-negative",-E22,E22))</x:f>
      </x:c>
      <x:c r="G22" s="60" t="str">
        <x:f>IF($A22="","",IF(F22&gt;=0,"COMPRESSION","TENSION"))</x:f>
      </x:c>
      <x:c r="H22" s="60" t="str">
        <x:f>IF($A22="","",INDEX(PILE_POINTS!$D$2:$D$100,MATCH($A22,PILE_POINTS!$A$2:$A$100,0)))</x:f>
      </x:c>
      <x:c r="I22" s="60" t="str">
        <x:f>IF($A22="","",INDEX(PILE_POINTS!$E$2:$E$100,MATCH($A22,PILE_POINTS!$A$2:$A$100,0)))</x:f>
      </x:c>
      <x:c r="J22" s="60" t="str">
        <x:f>IF($A22="","",IF(G22="COMPRESSION",H22,I22))</x:f>
      </x:c>
      <x:c r="K22" s="60" t="str">
        <x:f>IF($A22="","",IF(G22="COMPRESSION",F22/H22,IF(I22&gt;0,ABS(F22)/I22,NA())))</x:f>
      </x:c>
      <x:c r="L22" s="60" t="str">
        <x:f>IF($A22="","",IF(G22="COMPRESSION",IF(K22&lt;=1,"PASS","FAIL"),IF(I22&lt;=0,"BLOCK",IF(K22&lt;=1,"PASS","FAIL"))))</x:f>
      </x:c>
      <x:c r="M22" s="29" t="str">
        <x:f>IF($A22="","",INDEX(PILE_POINTS!$F$2:$F$100,MATCH($A22,PILE_POINTS!$A$2:$A$100,0)))</x:f>
      </x:c>
      <x:c r="N22" s="29" t="str">
        <x:f>IF($A22="","",INDEX(PILE_POINTS!$G$2:$G$100,MATCH($A22,PILE_POINTS!$A$2:$A$100,0)))</x:f>
      </x:c>
      <x:c r="O22" s="29"/>
      <x:c r="P22" s="29"/>
      <x:c r="Q22" s="29"/>
    </x:row>
    <x:row r="23" ht="15" hidden="0" customHeight="1">
      <x:c r="A23" s="29" t="str">
        <x:f>IF(SPRING_ASSIGNMENTS!B16="","",SPRING_ASSIGNMENTS!B16)</x:f>
      </x:c>
      <x:c r="B23" s="29" t="str">
        <x:f>IF($A23="","",SPRING_ASSIGNMENTS!A16)</x:f>
      </x:c>
      <x:c r="C23" s="29" t="str">
        <x:f>IF($B23="","",INDEX(POINT_COORDINATES!$B$2:$B$100,MATCH($B23,POINT_COORDINATES!$A$2:$A$100,0)))</x:f>
      </x:c>
      <x:c r="D23" s="29" t="str">
        <x:f>IF($B23="","",INDEX(POINT_COORDINATES!$C$2:$C$100,MATCH($B23,POINT_COORDINATES!$A$2:$A$100,0)))</x:f>
      </x:c>
      <x:c r="E23" s="29" t="str">
        <x:f>IF($B23="","",SUMIFS(IMPORTED_NODAL!$E$2:$E$200,IMPORTED_NODAL!$A$2:$A$200,$B23,IMPORTED_NODAL!$B$2:$B$200,$B$3))</x:f>
      </x:c>
      <x:c r="F23" s="60" t="str">
        <x:f>IF($A23="","",IF($B$4="compression-negative",-E23,E23))</x:f>
      </x:c>
      <x:c r="G23" s="60" t="str">
        <x:f>IF($A23="","",IF(F23&gt;=0,"COMPRESSION","TENSION"))</x:f>
      </x:c>
      <x:c r="H23" s="60" t="str">
        <x:f>IF($A23="","",INDEX(PILE_POINTS!$D$2:$D$100,MATCH($A23,PILE_POINTS!$A$2:$A$100,0)))</x:f>
      </x:c>
      <x:c r="I23" s="60" t="str">
        <x:f>IF($A23="","",INDEX(PILE_POINTS!$E$2:$E$100,MATCH($A23,PILE_POINTS!$A$2:$A$100,0)))</x:f>
      </x:c>
      <x:c r="J23" s="60" t="str">
        <x:f>IF($A23="","",IF(G23="COMPRESSION",H23,I23))</x:f>
      </x:c>
      <x:c r="K23" s="60" t="str">
        <x:f>IF($A23="","",IF(G23="COMPRESSION",F23/H23,IF(I23&gt;0,ABS(F23)/I23,NA())))</x:f>
      </x:c>
      <x:c r="L23" s="60" t="str">
        <x:f>IF($A23="","",IF(G23="COMPRESSION",IF(K23&lt;=1,"PASS","FAIL"),IF(I23&lt;=0,"BLOCK",IF(K23&lt;=1,"PASS","FAIL"))))</x:f>
      </x:c>
      <x:c r="M23" s="29" t="str">
        <x:f>IF($A23="","",INDEX(PILE_POINTS!$F$2:$F$100,MATCH($A23,PILE_POINTS!$A$2:$A$100,0)))</x:f>
      </x:c>
      <x:c r="N23" s="29" t="str">
        <x:f>IF($A23="","",INDEX(PILE_POINTS!$G$2:$G$100,MATCH($A23,PILE_POINTS!$A$2:$A$100,0)))</x:f>
      </x:c>
      <x:c r="O23" s="29"/>
      <x:c r="P23" s="29"/>
      <x:c r="Q23" s="29"/>
    </x:row>
    <x:row r="24" ht="15" hidden="0" customHeight="1">
      <x:c r="A24" s="29" t="str">
        <x:f>IF(SPRING_ASSIGNMENTS!B17="","",SPRING_ASSIGNMENTS!B17)</x:f>
      </x:c>
      <x:c r="B24" s="29" t="str">
        <x:f>IF($A24="","",SPRING_ASSIGNMENTS!A17)</x:f>
      </x:c>
      <x:c r="C24" s="29" t="str">
        <x:f>IF($B24="","",INDEX(POINT_COORDINATES!$B$2:$B$100,MATCH($B24,POINT_COORDINATES!$A$2:$A$100,0)))</x:f>
      </x:c>
      <x:c r="D24" s="29" t="str">
        <x:f>IF($B24="","",INDEX(POINT_COORDINATES!$C$2:$C$100,MATCH($B24,POINT_COORDINATES!$A$2:$A$100,0)))</x:f>
      </x:c>
      <x:c r="E24" s="29" t="str">
        <x:f>IF($B24="","",SUMIFS(IMPORTED_NODAL!$E$2:$E$200,IMPORTED_NODAL!$A$2:$A$200,$B24,IMPORTED_NODAL!$B$2:$B$200,$B$3))</x:f>
      </x:c>
      <x:c r="F24" s="60" t="str">
        <x:f>IF($A24="","",IF($B$4="compression-negative",-E24,E24))</x:f>
      </x:c>
      <x:c r="G24" s="60" t="str">
        <x:f>IF($A24="","",IF(F24&gt;=0,"COMPRESSION","TENSION"))</x:f>
      </x:c>
      <x:c r="H24" s="60" t="str">
        <x:f>IF($A24="","",INDEX(PILE_POINTS!$D$2:$D$100,MATCH($A24,PILE_POINTS!$A$2:$A$100,0)))</x:f>
      </x:c>
      <x:c r="I24" s="60" t="str">
        <x:f>IF($A24="","",INDEX(PILE_POINTS!$E$2:$E$100,MATCH($A24,PILE_POINTS!$A$2:$A$100,0)))</x:f>
      </x:c>
      <x:c r="J24" s="60" t="str">
        <x:f>IF($A24="","",IF(G24="COMPRESSION",H24,I24))</x:f>
      </x:c>
      <x:c r="K24" s="60" t="str">
        <x:f>IF($A24="","",IF(G24="COMPRESSION",F24/H24,IF(I24&gt;0,ABS(F24)/I24,NA())))</x:f>
      </x:c>
      <x:c r="L24" s="60" t="str">
        <x:f>IF($A24="","",IF(G24="COMPRESSION",IF(K24&lt;=1,"PASS","FAIL"),IF(I24&lt;=0,"BLOCK",IF(K24&lt;=1,"PASS","FAIL"))))</x:f>
      </x:c>
      <x:c r="M24" s="29" t="str">
        <x:f>IF($A24="","",INDEX(PILE_POINTS!$F$2:$F$100,MATCH($A24,PILE_POINTS!$A$2:$A$100,0)))</x:f>
      </x:c>
      <x:c r="N24" s="29" t="str">
        <x:f>IF($A24="","",INDEX(PILE_POINTS!$G$2:$G$100,MATCH($A24,PILE_POINTS!$A$2:$A$100,0)))</x:f>
      </x:c>
      <x:c r="O24" s="29"/>
      <x:c r="P24" s="29"/>
      <x:c r="Q24" s="29"/>
    </x:row>
    <x:row r="25" ht="15" hidden="0" customHeight="1">
      <x:c r="A25" s="29" t="str">
        <x:f>IF(SPRING_ASSIGNMENTS!B18="","",SPRING_ASSIGNMENTS!B18)</x:f>
      </x:c>
      <x:c r="B25" s="29" t="str">
        <x:f>IF($A25="","",SPRING_ASSIGNMENTS!A18)</x:f>
      </x:c>
      <x:c r="C25" s="29" t="str">
        <x:f>IF($B25="","",INDEX(POINT_COORDINATES!$B$2:$B$100,MATCH($B25,POINT_COORDINATES!$A$2:$A$100,0)))</x:f>
      </x:c>
      <x:c r="D25" s="29" t="str">
        <x:f>IF($B25="","",INDEX(POINT_COORDINATES!$C$2:$C$100,MATCH($B25,POINT_COORDINATES!$A$2:$A$100,0)))</x:f>
      </x:c>
      <x:c r="E25" s="29" t="str">
        <x:f>IF($B25="","",SUMIFS(IMPORTED_NODAL!$E$2:$E$200,IMPORTED_NODAL!$A$2:$A$200,$B25,IMPORTED_NODAL!$B$2:$B$200,$B$3))</x:f>
      </x:c>
      <x:c r="F25" s="60" t="str">
        <x:f>IF($A25="","",IF($B$4="compression-negative",-E25,E25))</x:f>
      </x:c>
      <x:c r="G25" s="60" t="str">
        <x:f>IF($A25="","",IF(F25&gt;=0,"COMPRESSION","TENSION"))</x:f>
      </x:c>
      <x:c r="H25" s="60" t="str">
        <x:f>IF($A25="","",INDEX(PILE_POINTS!$D$2:$D$100,MATCH($A25,PILE_POINTS!$A$2:$A$100,0)))</x:f>
      </x:c>
      <x:c r="I25" s="60" t="str">
        <x:f>IF($A25="","",INDEX(PILE_POINTS!$E$2:$E$100,MATCH($A25,PILE_POINTS!$A$2:$A$100,0)))</x:f>
      </x:c>
      <x:c r="J25" s="60" t="str">
        <x:f>IF($A25="","",IF(G25="COMPRESSION",H25,I25))</x:f>
      </x:c>
      <x:c r="K25" s="60" t="str">
        <x:f>IF($A25="","",IF(G25="COMPRESSION",F25/H25,IF(I25&gt;0,ABS(F25)/I25,NA())))</x:f>
      </x:c>
      <x:c r="L25" s="60" t="str">
        <x:f>IF($A25="","",IF(G25="COMPRESSION",IF(K25&lt;=1,"PASS","FAIL"),IF(I25&lt;=0,"BLOCK",IF(K25&lt;=1,"PASS","FAIL"))))</x:f>
      </x:c>
      <x:c r="M25" s="29" t="str">
        <x:f>IF($A25="","",INDEX(PILE_POINTS!$F$2:$F$100,MATCH($A25,PILE_POINTS!$A$2:$A$100,0)))</x:f>
      </x:c>
      <x:c r="N25" s="29" t="str">
        <x:f>IF($A25="","",INDEX(PILE_POINTS!$G$2:$G$100,MATCH($A25,PILE_POINTS!$A$2:$A$100,0)))</x:f>
      </x:c>
      <x:c r="O25" s="29"/>
      <x:c r="P25" s="29"/>
      <x:c r="Q25" s="29"/>
    </x:row>
    <x:row r="26" ht="15" hidden="0" customHeight="1">
      <x:c r="A26" s="29" t="str">
        <x:f>IF(SPRING_ASSIGNMENTS!B19="","",SPRING_ASSIGNMENTS!B19)</x:f>
      </x:c>
      <x:c r="B26" s="29" t="str">
        <x:f>IF($A26="","",SPRING_ASSIGNMENTS!A19)</x:f>
      </x:c>
      <x:c r="C26" s="29" t="str">
        <x:f>IF($B26="","",INDEX(POINT_COORDINATES!$B$2:$B$100,MATCH($B26,POINT_COORDINATES!$A$2:$A$100,0)))</x:f>
      </x:c>
      <x:c r="D26" s="29" t="str">
        <x:f>IF($B26="","",INDEX(POINT_COORDINATES!$C$2:$C$100,MATCH($B26,POINT_COORDINATES!$A$2:$A$100,0)))</x:f>
      </x:c>
      <x:c r="E26" s="29" t="str">
        <x:f>IF($B26="","",SUMIFS(IMPORTED_NODAL!$E$2:$E$200,IMPORTED_NODAL!$A$2:$A$200,$B26,IMPORTED_NODAL!$B$2:$B$200,$B$3))</x:f>
      </x:c>
      <x:c r="F26" s="60" t="str">
        <x:f>IF($A26="","",IF($B$4="compression-negative",-E26,E26))</x:f>
      </x:c>
      <x:c r="G26" s="60" t="str">
        <x:f>IF($A26="","",IF(F26&gt;=0,"COMPRESSION","TENSION"))</x:f>
      </x:c>
      <x:c r="H26" s="60" t="str">
        <x:f>IF($A26="","",INDEX(PILE_POINTS!$D$2:$D$100,MATCH($A26,PILE_POINTS!$A$2:$A$100,0)))</x:f>
      </x:c>
      <x:c r="I26" s="60" t="str">
        <x:f>IF($A26="","",INDEX(PILE_POINTS!$E$2:$E$100,MATCH($A26,PILE_POINTS!$A$2:$A$100,0)))</x:f>
      </x:c>
      <x:c r="J26" s="60" t="str">
        <x:f>IF($A26="","",IF(G26="COMPRESSION",H26,I26))</x:f>
      </x:c>
      <x:c r="K26" s="60" t="str">
        <x:f>IF($A26="","",IF(G26="COMPRESSION",F26/H26,IF(I26&gt;0,ABS(F26)/I26,NA())))</x:f>
      </x:c>
      <x:c r="L26" s="60" t="str">
        <x:f>IF($A26="","",IF(G26="COMPRESSION",IF(K26&lt;=1,"PASS","FAIL"),IF(I26&lt;=0,"BLOCK",IF(K26&lt;=1,"PASS","FAIL"))))</x:f>
      </x:c>
      <x:c r="M26" s="29" t="str">
        <x:f>IF($A26="","",INDEX(PILE_POINTS!$F$2:$F$100,MATCH($A26,PILE_POINTS!$A$2:$A$100,0)))</x:f>
      </x:c>
      <x:c r="N26" s="29" t="str">
        <x:f>IF($A26="","",INDEX(PILE_POINTS!$G$2:$G$100,MATCH($A26,PILE_POINTS!$A$2:$A$100,0)))</x:f>
      </x:c>
      <x:c r="O26" s="29"/>
      <x:c r="P26" s="29"/>
      <x:c r="Q26" s="29"/>
    </x:row>
    <x:row r="27" ht="15" hidden="0" customHeight="1">
      <x:c r="A27" s="29" t="str">
        <x:f>IF(SPRING_ASSIGNMENTS!B20="","",SPRING_ASSIGNMENTS!B20)</x:f>
      </x:c>
      <x:c r="B27" s="29" t="str">
        <x:f>IF($A27="","",SPRING_ASSIGNMENTS!A20)</x:f>
      </x:c>
      <x:c r="C27" s="29" t="str">
        <x:f>IF($B27="","",INDEX(POINT_COORDINATES!$B$2:$B$100,MATCH($B27,POINT_COORDINATES!$A$2:$A$100,0)))</x:f>
      </x:c>
      <x:c r="D27" s="29" t="str">
        <x:f>IF($B27="","",INDEX(POINT_COORDINATES!$C$2:$C$100,MATCH($B27,POINT_COORDINATES!$A$2:$A$100,0)))</x:f>
      </x:c>
      <x:c r="E27" s="29" t="str">
        <x:f>IF($B27="","",SUMIFS(IMPORTED_NODAL!$E$2:$E$200,IMPORTED_NODAL!$A$2:$A$200,$B27,IMPORTED_NODAL!$B$2:$B$200,$B$3))</x:f>
      </x:c>
      <x:c r="F27" s="60" t="str">
        <x:f>IF($A27="","",IF($B$4="compression-negative",-E27,E27))</x:f>
      </x:c>
      <x:c r="G27" s="60" t="str">
        <x:f>IF($A27="","",IF(F27&gt;=0,"COMPRESSION","TENSION"))</x:f>
      </x:c>
      <x:c r="H27" s="60" t="str">
        <x:f>IF($A27="","",INDEX(PILE_POINTS!$D$2:$D$100,MATCH($A27,PILE_POINTS!$A$2:$A$100,0)))</x:f>
      </x:c>
      <x:c r="I27" s="60" t="str">
        <x:f>IF($A27="","",INDEX(PILE_POINTS!$E$2:$E$100,MATCH($A27,PILE_POINTS!$A$2:$A$100,0)))</x:f>
      </x:c>
      <x:c r="J27" s="60" t="str">
        <x:f>IF($A27="","",IF(G27="COMPRESSION",H27,I27))</x:f>
      </x:c>
      <x:c r="K27" s="60" t="str">
        <x:f>IF($A27="","",IF(G27="COMPRESSION",F27/H27,IF(I27&gt;0,ABS(F27)/I27,NA())))</x:f>
      </x:c>
      <x:c r="L27" s="60" t="str">
        <x:f>IF($A27="","",IF(G27="COMPRESSION",IF(K27&lt;=1,"PASS","FAIL"),IF(I27&lt;=0,"BLOCK",IF(K27&lt;=1,"PASS","FAIL"))))</x:f>
      </x:c>
      <x:c r="M27" s="29" t="str">
        <x:f>IF($A27="","",INDEX(PILE_POINTS!$F$2:$F$100,MATCH($A27,PILE_POINTS!$A$2:$A$100,0)))</x:f>
      </x:c>
      <x:c r="N27" s="29" t="str">
        <x:f>IF($A27="","",INDEX(PILE_POINTS!$G$2:$G$100,MATCH($A27,PILE_POINTS!$A$2:$A$100,0)))</x:f>
      </x:c>
      <x:c r="O27" s="29"/>
      <x:c r="P27" s="29"/>
      <x:c r="Q27" s="29"/>
    </x:row>
    <x:row r="28" ht="15" hidden="0" customHeight="1">
      <x:c r="A28" s="29" t="str">
        <x:f>IF(SPRING_ASSIGNMENTS!B21="","",SPRING_ASSIGNMENTS!B21)</x:f>
      </x:c>
      <x:c r="B28" s="29" t="str">
        <x:f>IF($A28="","",SPRING_ASSIGNMENTS!A21)</x:f>
      </x:c>
      <x:c r="C28" s="29" t="str">
        <x:f>IF($B28="","",INDEX(POINT_COORDINATES!$B$2:$B$100,MATCH($B28,POINT_COORDINATES!$A$2:$A$100,0)))</x:f>
      </x:c>
      <x:c r="D28" s="29" t="str">
        <x:f>IF($B28="","",INDEX(POINT_COORDINATES!$C$2:$C$100,MATCH($B28,POINT_COORDINATES!$A$2:$A$100,0)))</x:f>
      </x:c>
      <x:c r="E28" s="29" t="str">
        <x:f>IF($B28="","",SUMIFS(IMPORTED_NODAL!$E$2:$E$200,IMPORTED_NODAL!$A$2:$A$200,$B28,IMPORTED_NODAL!$B$2:$B$200,$B$3))</x:f>
      </x:c>
      <x:c r="F28" s="60" t="str">
        <x:f>IF($A28="","",IF($B$4="compression-negative",-E28,E28))</x:f>
      </x:c>
      <x:c r="G28" s="60" t="str">
        <x:f>IF($A28="","",IF(F28&gt;=0,"COMPRESSION","TENSION"))</x:f>
      </x:c>
      <x:c r="H28" s="60" t="str">
        <x:f>IF($A28="","",INDEX(PILE_POINTS!$D$2:$D$100,MATCH($A28,PILE_POINTS!$A$2:$A$100,0)))</x:f>
      </x:c>
      <x:c r="I28" s="60" t="str">
        <x:f>IF($A28="","",INDEX(PILE_POINTS!$E$2:$E$100,MATCH($A28,PILE_POINTS!$A$2:$A$100,0)))</x:f>
      </x:c>
      <x:c r="J28" s="60" t="str">
        <x:f>IF($A28="","",IF(G28="COMPRESSION",H28,I28))</x:f>
      </x:c>
      <x:c r="K28" s="60" t="str">
        <x:f>IF($A28="","",IF(G28="COMPRESSION",F28/H28,IF(I28&gt;0,ABS(F28)/I28,NA())))</x:f>
      </x:c>
      <x:c r="L28" s="60" t="str">
        <x:f>IF($A28="","",IF(G28="COMPRESSION",IF(K28&lt;=1,"PASS","FAIL"),IF(I28&lt;=0,"BLOCK",IF(K28&lt;=1,"PASS","FAIL"))))</x:f>
      </x:c>
      <x:c r="M28" s="29" t="str">
        <x:f>IF($A28="","",INDEX(PILE_POINTS!$F$2:$F$100,MATCH($A28,PILE_POINTS!$A$2:$A$100,0)))</x:f>
      </x:c>
      <x:c r="N28" s="29" t="str">
        <x:f>IF($A28="","",INDEX(PILE_POINTS!$G$2:$G$100,MATCH($A28,PILE_POINTS!$A$2:$A$100,0)))</x:f>
      </x:c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N1"/>
  </x:mergeCells>
  <x:conditionalFormatting sqref="L9:L28">
    <x:cfRule type="expression" dxfId="0" priority="1">
      <x:formula>L9="PASS"</x:formula>
    </x:cfRule>
    <x:cfRule type="expression" dxfId="1" priority="2">
      <x:formula>OR(L9="FAIL",L9="BLOCK")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30" hidden="0" customWidth="1"/>
    <x:col min="5" max="5" width="38" hidden="0" customWidth="1"/>
    <x:col min="6" max="6" width="24" hidden="0" customWidth="1"/>
    <x:col min="7" max="7" width="26" hidden="0" customWidth="1"/>
    <x:col min="8" max="8" width="24" hidden="0" customWidth="1"/>
    <x:col min="9" max="9" width="22" hidden="0" customWidth="1"/>
    <x:col min="10" max="10" width="22" hidden="0" customWidth="1"/>
    <x:col min="11" max="11" width="20" hidden="0" customWidth="1"/>
    <x:col min="12" max="12" width="34" hidden="0" customWidth="1"/>
  </x:cols>
  <x:sheetData>
    <x:row r="1" ht="39.599998474121094" hidden="0" customHeight="1">
      <x:c r="A1" s="65" t="str">
        <x:v>Order</x:v>
      </x:c>
      <x:c r="B1" s="65" t="str">
        <x:v>Block</x:v>
      </x:c>
      <x:c r="C1" s="65" t="str">
        <x:v>Purpose</x:v>
      </x:c>
      <x:c r="D1" s="65" t="str">
        <x:v>Primary Input</x:v>
      </x:c>
      <x:c r="E1" s="65" t="str">
        <x:v>Dependency/Logic</x:v>
      </x:c>
      <x:c r="F1" s="65" t="str">
        <x:v>Output</x:v>
      </x:c>
      <x:c r="G1" s="65" t="str">
        <x:v>Authority</x:v>
      </x:c>
      <x:c r="H1" s="65" t="str">
        <x:v>HNL Status</x:v>
      </x:c>
      <x:c r="I1" s="65" t="str">
        <x:v>XLSM Cell/Range</x:v>
      </x:c>
      <x:c r="J1" s="65" t="str">
        <x:v>Formula Count/Block</x:v>
      </x:c>
      <x:c r="K1" s="65" t="str">
        <x:v>Confidence</x:v>
      </x:c>
      <x:c r="L1" s="65" t="str">
        <x:v>Lock Requirement</x:v>
      </x:c>
      <x:c r="M1" s="29"/>
      <x:c r="N1" s="29"/>
      <x:c r="O1" s="29"/>
      <x:c r="P1" s="29"/>
      <x:c r="Q1" s="29"/>
      <x:c r="R1" s="29"/>
    </x:row>
    <x:row r="2" ht="118.80000305175781" hidden="0" customHeight="1">
      <x:c r="A2" s="29" t="n">
        <x:v>1</x:v>
      </x:c>
      <x:c r="B2" s="29" t="str">
        <x:v>JOIN</x:v>
      </x:c>
      <x:c r="C2" s="29" t="str">
        <x:v>Ghép dữ liệu cọc/nút/tổ hợp</x:v>
      </x:c>
      <x:c r="D2" s="29" t="str">
        <x:v>Point Coordinates; Point Spring Assignments; Nodal Reactions</x:v>
      </x:c>
      <x:c r="E2" s="29" t="str">
        <x:v>pointId→coordinate; pointId→spring→pileId; pointId+combinationId→reaction</x:v>
      </x:c>
      <x:c r="F2" s="29" t="str">
        <x:v>Joined pile-point-reaction row</x:v>
      </x:c>
      <x:c r="G2" s="29" t="str">
        <x:v>DCE workflow evidence</x:v>
      </x:c>
      <x:c r="H2" s="66" t="str">
        <x:v>REVIEW</x:v>
      </x:c>
      <x:c r="I2" s="29" t="str">
        <x:v>PENDING_CELL_INVENTORY</x:v>
      </x:c>
      <x:c r="J2" s="29" t="str">
        <x:v>PENDING_CELL_INVENTORY</x:v>
      </x:c>
      <x:c r="K2" s="29" t="str">
        <x:v>HIGH_WORKFLOW</x:v>
      </x:c>
      <x:c r="L2" s="29" t="str">
        <x:v>Exact XLSM cell mapping + duplicate/missing policy benchmark</x:v>
      </x:c>
      <x:c r="M2" s="29"/>
      <x:c r="N2" s="29"/>
      <x:c r="O2" s="29"/>
      <x:c r="P2" s="29"/>
      <x:c r="Q2" s="29"/>
      <x:c r="R2" s="29"/>
    </x:row>
    <x:row r="3" ht="132" hidden="0" customHeight="1">
      <x:c r="A3" s="29" t="n">
        <x:v>2</x:v>
      </x:c>
      <x:c r="B3" s="29" t="str">
        <x:v>ACTION</x:v>
      </x:c>
      <x:c r="C3" s="29" t="str">
        <x:v>Chuẩn hóa phản lực đứng</x:v>
      </x:c>
      <x:c r="D3" s="29" t="str">
        <x:v>Raw Fz + sign convention</x:v>
      </x:c>
      <x:c r="E3" s="29" t="str">
        <x:v>Fz raw → demand compression/tension; Fx/Fy/Mx/My/Mz retained as metadata</x:v>
      </x:c>
      <x:c r="F3" s="29" t="str">
        <x:v>demandKn + checkType</x:v>
      </x:c>
      <x:c r="G3" s="29" t="str">
        <x:v>ETABS/SAP schema + HNL contract</x:v>
      </x:c>
      <x:c r="H3" s="66" t="str">
        <x:v>REVIEW</x:v>
      </x:c>
      <x:c r="I3" s="29" t="str">
        <x:v>PENDING_CELL_INVENTORY</x:v>
      </x:c>
      <x:c r="J3" s="29" t="str">
        <x:v>PENDING_CELL_INVENTORY</x:v>
      </x:c>
      <x:c r="K3" s="29" t="str">
        <x:v>HIGH_SCHEMA</x:v>
      </x:c>
      <x:c r="L3" s="29" t="str">
        <x:v>Verify exact workbook sign convention and combo filtering</x:v>
      </x:c>
      <x:c r="M3" s="29"/>
      <x:c r="N3" s="29"/>
      <x:c r="O3" s="29"/>
      <x:c r="P3" s="29"/>
      <x:c r="Q3" s="29"/>
      <x:c r="R3" s="29"/>
    </x:row>
    <x:row r="4" ht="132" hidden="0" customHeight="1">
      <x:c r="A4" s="29" t="n">
        <x:v>3</x:v>
      </x:c>
      <x:c r="B4" s="29" t="str">
        <x:v>CAPACITY</x:v>
      </x:c>
      <x:c r="C4" s="29" t="str">
        <x:v>Chọn sức chịu tải áp dụng</x:v>
      </x:c>
      <x:c r="D4" s="29" t="str">
        <x:v>pileId + upstream capacity</x:v>
      </x:c>
      <x:c r="E4" s="29" t="str">
        <x:v>Compression→verified Rpile/Rd basis; Tension→separate verified tension capacity</x:v>
      </x:c>
      <x:c r="F4" s="29" t="str">
        <x:v>capacityUsedKn</x:v>
      </x:c>
      <x:c r="G4" s="29" t="str">
        <x:v>HNL VERIFIED upstream + XLSM Rd input evidence</x:v>
      </x:c>
      <x:c r="H4" s="66" t="str">
        <x:v>MIXED: upstream VERIFIED / mapping REVIEW</x:v>
      </x:c>
      <x:c r="I4" s="29" t="str">
        <x:v>PENDING_CELL_INVENTORY</x:v>
      </x:c>
      <x:c r="J4" s="29" t="str">
        <x:v>PENDING_CELL_INVENTORY</x:v>
      </x:c>
      <x:c r="K4" s="29" t="str">
        <x:v>MEDIUM_XLSM_HIGH_HNL</x:v>
      </x:c>
      <x:c r="L4" s="29" t="str">
        <x:v>Verify exact workbook capacity basis; never infer uplift from compression</x:v>
      </x:c>
      <x:c r="M4" s="29"/>
      <x:c r="N4" s="29"/>
      <x:c r="O4" s="29"/>
      <x:c r="P4" s="29"/>
      <x:c r="Q4" s="29"/>
      <x:c r="R4" s="29"/>
    </x:row>
    <x:row r="5" ht="118.80000305175781" hidden="0" customHeight="1">
      <x:c r="A5" s="29" t="n">
        <x:v>4</x:v>
      </x:c>
      <x:c r="B5" s="29" t="str">
        <x:v>UTILIZATION</x:v>
      </x:c>
      <x:c r="C5" s="29" t="str">
        <x:v>Tính hệ số sử dụng</x:v>
      </x:c>
      <x:c r="D5" s="29" t="str">
        <x:v>demand + capacity</x:v>
      </x:c>
      <x:c r="E5" s="29" t="str">
        <x:v>Compression demand/capacity; Tension |demand|/verified tension capacity</x:v>
      </x:c>
      <x:c r="F5" s="29" t="str">
        <x:v>utilization</x:v>
      </x:c>
      <x:c r="G5" s="29" t="str">
        <x:v>DCE workflow evidence + deterministic HNL</x:v>
      </x:c>
      <x:c r="H5" s="66" t="str">
        <x:v>REVIEW</x:v>
      </x:c>
      <x:c r="I5" s="29" t="str">
        <x:v>PENDING_CELL_INVENTORY</x:v>
      </x:c>
      <x:c r="J5" s="29" t="str">
        <x:v>PENDING_CELL_INVENTORY</x:v>
      </x:c>
      <x:c r="K5" s="29" t="str">
        <x:v>HIGH_WORKFLOW</x:v>
      </x:c>
      <x:c r="L5" s="29" t="str">
        <x:v>Exact XLSM formula/operator/boundary benchmark</x:v>
      </x:c>
      <x:c r="M5" s="29"/>
      <x:c r="N5" s="29"/>
      <x:c r="O5" s="29"/>
      <x:c r="P5" s="29"/>
      <x:c r="Q5" s="29"/>
      <x:c r="R5" s="29"/>
    </x:row>
    <x:row r="6" ht="145.1999969482422" hidden="0" customHeight="1">
      <x:c r="A6" s="29" t="n">
        <x:v>5</x:v>
      </x:c>
      <x:c r="B6" s="29" t="str">
        <x:v>STATUS</x:v>
      </x:c>
      <x:c r="C6" s="29" t="str">
        <x:v>Kết luận từng cọc và governing</x:v>
      </x:c>
      <x:c r="D6" s="29" t="str">
        <x:v>utilization + data completeness</x:v>
      </x:c>
      <x:c r="E6" s="29" t="str">
        <x:v>≤1 PASS; &gt;1 FAIL; missing critical data/tension capacity BLOCK; max utilization governs</x:v>
      </x:c>
      <x:c r="F6" s="29" t="str">
        <x:v>PASS/FAIL/BLOCK + governing pile/combo</x:v>
      </x:c>
      <x:c r="G6" s="29" t="str">
        <x:v>DCE per-pile output evidence + HNL safety policy</x:v>
      </x:c>
      <x:c r="H6" s="66" t="str">
        <x:v>REVIEW</x:v>
      </x:c>
      <x:c r="I6" s="29" t="str">
        <x:v>PENDING_CELL_INVENTORY</x:v>
      </x:c>
      <x:c r="J6" s="29" t="str">
        <x:v>PENDING_CELL_INVENTORY</x:v>
      </x:c>
      <x:c r="K6" s="29" t="str">
        <x:v>HIGH_OUTPUT</x:v>
      </x:c>
      <x:c r="L6" s="29" t="str">
        <x:v>Exact workbook status text/boundary/governing behavior benchmark</x:v>
      </x:c>
      <x:c r="M6" s="29"/>
      <x:c r="N6" s="29"/>
      <x:c r="O6" s="29"/>
      <x:c r="P6" s="29"/>
      <x:c r="Q6" s="29"/>
      <x:c r="R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</x:row>
    <x:row r="8" ht="26.399999618530273" hidden="0" customHeight="1">
      <x:c r="A8" s="65" t="str">
        <x:v>Evidence Item</x:v>
      </x:c>
      <x:c r="B8" s="65" t="str">
        <x:v>Value</x:v>
      </x:c>
      <x:c r="C8" s="65" t="str">
        <x:v>Status</x:v>
      </x:c>
      <x:c r="D8" s="65" t="str">
        <x:v>Note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</x:row>
    <x:row r="9" ht="52.79999923706055" hidden="0" customHeight="1">
      <x:c r="A9" s="29" t="str">
        <x:v>TM SCT Coc total formulas</x:v>
      </x:c>
      <x:c r="B9" s="29" t="n">
        <x:v>6082</x:v>
      </x:c>
      <x:c r="C9" s="29" t="str">
        <x:v>CONFIRMED</x:v>
      </x:c>
      <x:c r="D9" s="29" t="str">
        <x:v>Workbook reverse engineering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</x:row>
    <x:row r="10" ht="66" hidden="0" customHeight="1">
      <x:c r="A10" s="29" t="str">
        <x:v>TM SCT Coc UDF/XLL</x:v>
      </x:c>
      <x:c r="B10" s="29" t="n">
        <x:v>0</x:v>
      </x:c>
      <x:c r="C10" s="29" t="str">
        <x:v>CONFIRMED</x:v>
      </x:c>
      <x:c r="D10" s="29" t="str">
        <x:v>No hidden UDF dependency in this sheet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</x:row>
    <x:row r="11" ht="66" hidden="0" customHeight="1">
      <x:c r="A11" s="29" t="str">
        <x:v>Per-block formula counts</x:v>
      </x:c>
      <x:c r="B11" s="29" t="str">
        <x:v>—</x:v>
      </x:c>
      <x:c r="C11" s="29" t="str">
        <x:v>PENDING</x:v>
      </x:c>
      <x:c r="D11" s="29" t="str">
        <x:v>Not fabricated without cell inventory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</x:row>
    <x:row r="12" ht="66" hidden="0" customHeight="1">
      <x:c r="A12" s="29" t="str">
        <x:v>Exact cell/range mapping</x:v>
      </x:c>
      <x:c r="B12" s="29" t="str">
        <x:v>—</x:v>
      </x:c>
      <x:c r="C12" s="29" t="str">
        <x:v>PENDING</x:v>
      </x:c>
      <x:c r="D12" s="29" t="str">
        <x:v>Required before XLSM-equivalence LOCK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</x:row>
    <x:row r="13" ht="79.19999694824219" hidden="0" customHeight="1">
      <x:c r="A13" s="29" t="str">
        <x:v>Pattern reconstruction</x:v>
      </x:c>
      <x:c r="B13" s="29" t="str">
        <x:v>JOIN→ACTION→CAPACITY→UTILIZATION→STATUS</x:v>
      </x:c>
      <x:c r="C13" s="29" t="str">
        <x:v>PASS</x:v>
      </x:c>
      <x:c r="D13" s="29" t="str">
        <x:v>Logical dependency reconstruction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28" hidden="0" customWidth="1"/>
    <x:col min="15" max="15" width="22" hidden="0" customWidth="1"/>
    <x:col min="17" max="17" width="24" hidden="0" customWidth="1"/>
    <x:col min="18" max="18" width="28" hidden="0" customWidth="1"/>
  </x:cols>
  <x:sheetData>
    <x:row r="1" ht="26.399999618530273" hidden="0" customHeight="1">
      <x:c r="A1" s="65" t="str">
        <x:v>Fixture</x:v>
      </x:c>
      <x:c r="B1" s="65" t="str">
        <x:v>Combo</x:v>
      </x:c>
      <x:c r="C1" s="65" t="str">
        <x:v>Point</x:v>
      </x:c>
      <x:c r="D1" s="65" t="str">
        <x:v>Pile</x:v>
      </x:c>
      <x:c r="E1" s="65" t="str">
        <x:v>Raw Fz</x:v>
      </x:c>
      <x:c r="F1" s="65" t="str">
        <x:v>Sign</x:v>
      </x:c>
      <x:c r="G1" s="65" t="str">
        <x:v>Expected Demand</x:v>
      </x:c>
      <x:c r="H1" s="65" t="str">
        <x:v>Check Type</x:v>
      </x:c>
      <x:c r="I1" s="65" t="str">
        <x:v>Compression Cap</x:v>
      </x:c>
      <x:c r="J1" s="65" t="str">
        <x:v>Tension Cap</x:v>
      </x:c>
      <x:c r="K1" s="65" t="str">
        <x:v>Expected Util</x:v>
      </x:c>
      <x:c r="L1" s="65" t="str">
        <x:v>Expected Status</x:v>
      </x:c>
      <x:c r="M1" s="65" t="str">
        <x:v>Block</x:v>
      </x:c>
      <x:c r="N1" s="65" t="str">
        <x:v>Purpose</x:v>
      </x:c>
      <x:c r="O1" s="65" t="str">
        <x:v>XLSM Status</x:v>
      </x:c>
      <x:c r="P1" s="29"/>
      <x:c r="Q1" s="65" t="str">
        <x:v>Golden Summary</x:v>
      </x:c>
      <x:c r="R1" s="65" t="str">
        <x:v>Value</x:v>
      </x:c>
    </x:row>
    <x:row r="2" ht="52.79999923706055" hidden="0" customHeight="1">
      <x:c r="A2" s="29" t="str">
        <x:v>IMPORT-001</x:v>
      </x:c>
      <x:c r="B2" s="29" t="str">
        <x:v>C1</x:v>
      </x:c>
      <x:c r="C2" s="29" t="str">
        <x:v>N1</x:v>
      </x:c>
      <x:c r="D2" s="29" t="str">
        <x:v>P1</x:v>
      </x:c>
      <x:c r="E2" s="29" t="n">
        <x:v>-400</x:v>
      </x:c>
      <x:c r="F2" s="29" t="str">
        <x:v>compression-negative</x:v>
      </x:c>
      <x:c r="G2" s="29" t="n">
        <x:v>400</x:v>
      </x:c>
      <x:c r="H2" s="29" t="str">
        <x:v>COMPRESSION</x:v>
      </x:c>
      <x:c r="I2" s="29" t="n">
        <x:v>800</x:v>
      </x:c>
      <x:c r="J2" s="29" t="n">
        <x:v>200</x:v>
      </x:c>
      <x:c r="K2" s="29" t="n">
        <x:v>0.5</x:v>
      </x:c>
      <x:c r="L2" s="29" t="str">
        <x:v>PASS</x:v>
      </x:c>
      <x:c r="M2" s="29" t="str">
        <x:v>ALL</x:v>
      </x:c>
      <x:c r="N2" s="29" t="str">
        <x:v>Normal compression</x:v>
      </x:c>
      <x:c r="O2" s="29" t="str">
        <x:v>NOT CELL-BENCHMARKED</x:v>
      </x:c>
      <x:c r="P2" s="29"/>
      <x:c r="Q2" s="29" t="str">
        <x:v>Pass 4 total tests</x:v>
      </x:c>
      <x:c r="R2" s="29" t="str">
        <x:v>51/51 PASS</x:v>
      </x:c>
    </x:row>
    <x:row r="3" ht="52.79999923706055" hidden="0" customHeight="1">
      <x:c r="A3" s="29" t="str">
        <x:v>IMPORT-001</x:v>
      </x:c>
      <x:c r="B3" s="29" t="str">
        <x:v>C1</x:v>
      </x:c>
      <x:c r="C3" s="29" t="str">
        <x:v>N2</x:v>
      </x:c>
      <x:c r="D3" s="29" t="str">
        <x:v>P2</x:v>
      </x:c>
      <x:c r="E3" s="29" t="n">
        <x:v>-500</x:v>
      </x:c>
      <x:c r="F3" s="29" t="str">
        <x:v>compression-negative</x:v>
      </x:c>
      <x:c r="G3" s="29" t="n">
        <x:v>500</x:v>
      </x:c>
      <x:c r="H3" s="29" t="str">
        <x:v>COMPRESSION</x:v>
      </x:c>
      <x:c r="I3" s="29" t="n">
        <x:v>800</x:v>
      </x:c>
      <x:c r="J3" s="29" t="n">
        <x:v>200</x:v>
      </x:c>
      <x:c r="K3" s="29" t="n">
        <x:v>0.625</x:v>
      </x:c>
      <x:c r="L3" s="29" t="str">
        <x:v>PASS</x:v>
      </x:c>
      <x:c r="M3" s="29" t="str">
        <x:v>ALL</x:v>
      </x:c>
      <x:c r="N3" s="29" t="str">
        <x:v>Normal compression</x:v>
      </x:c>
      <x:c r="O3" s="29" t="str">
        <x:v>NOT CELL-BENCHMARKED</x:v>
      </x:c>
      <x:c r="P3" s="29"/>
      <x:c r="Q3" s="29" t="str">
        <x:v>Pattern tests</x:v>
      </x:c>
      <x:c r="R3" s="29" t="str">
        <x:v>15/15 PASS</x:v>
      </x:c>
    </x:row>
    <x:row r="4" ht="52.79999923706055" hidden="0" customHeight="1">
      <x:c r="A4" s="29" t="str">
        <x:v>IMPORT-001</x:v>
      </x:c>
      <x:c r="B4" s="29" t="str">
        <x:v>C1</x:v>
      </x:c>
      <x:c r="C4" s="29" t="str">
        <x:v>N3</x:v>
      </x:c>
      <x:c r="D4" s="29" t="str">
        <x:v>P3</x:v>
      </x:c>
      <x:c r="E4" s="29" t="n">
        <x:v>-600</x:v>
      </x:c>
      <x:c r="F4" s="29" t="str">
        <x:v>compression-negative</x:v>
      </x:c>
      <x:c r="G4" s="29" t="n">
        <x:v>600</x:v>
      </x:c>
      <x:c r="H4" s="29" t="str">
        <x:v>COMPRESSION</x:v>
      </x:c>
      <x:c r="I4" s="29" t="n">
        <x:v>800</x:v>
      </x:c>
      <x:c r="J4" s="29" t="n">
        <x:v>200</x:v>
      </x:c>
      <x:c r="K4" s="29" t="n">
        <x:v>0.75</x:v>
      </x:c>
      <x:c r="L4" s="29" t="str">
        <x:v>PASS</x:v>
      </x:c>
      <x:c r="M4" s="29" t="str">
        <x:v>ALL</x:v>
      </x:c>
      <x:c r="N4" s="29" t="str">
        <x:v>Normal compression</x:v>
      </x:c>
      <x:c r="O4" s="29" t="str">
        <x:v>NOT CELL-BENCHMARKED</x:v>
      </x:c>
      <x:c r="P4" s="29"/>
      <x:c r="Q4" s="29" t="str">
        <x:v>Imported checker tests</x:v>
      </x:c>
      <x:c r="R4" s="29" t="str">
        <x:v>12/12 PASS</x:v>
      </x:c>
    </x:row>
    <x:row r="5" ht="52.79999923706055" hidden="0" customHeight="1">
      <x:c r="A5" s="29" t="str">
        <x:v>IMPORT-001</x:v>
      </x:c>
      <x:c r="B5" s="29" t="str">
        <x:v>C1</x:v>
      </x:c>
      <x:c r="C5" s="29" t="str">
        <x:v>N4</x:v>
      </x:c>
      <x:c r="D5" s="29" t="str">
        <x:v>P4</x:v>
      </x:c>
      <x:c r="E5" s="29" t="n">
        <x:v>-700</x:v>
      </x:c>
      <x:c r="F5" s="29" t="str">
        <x:v>compression-negative</x:v>
      </x:c>
      <x:c r="G5" s="29" t="n">
        <x:v>700</x:v>
      </x:c>
      <x:c r="H5" s="29" t="str">
        <x:v>COMPRESSION</x:v>
      </x:c>
      <x:c r="I5" s="29" t="n">
        <x:v>800</x:v>
      </x:c>
      <x:c r="J5" s="29" t="n">
        <x:v>200</x:v>
      </x:c>
      <x:c r="K5" s="29" t="n">
        <x:v>0.875</x:v>
      </x:c>
      <x:c r="L5" s="29" t="str">
        <x:v>PASS</x:v>
      </x:c>
      <x:c r="M5" s="29" t="str">
        <x:v>ALL</x:v>
      </x:c>
      <x:c r="N5" s="29" t="str">
        <x:v>Governing row</x:v>
      </x:c>
      <x:c r="O5" s="29" t="str">
        <x:v>NOT CELL-BENCHMARKED</x:v>
      </x:c>
      <x:c r="P5" s="29"/>
      <x:c r="Q5" s="29" t="str">
        <x:v>Analytical/boundary tests</x:v>
      </x:c>
      <x:c r="R5" s="29" t="str">
        <x:v>24/24 PASS</x:v>
      </x:c>
    </x:row>
    <x:row r="6" ht="52.79999923706055" hidden="0" customHeight="1">
      <x:c r="A6" s="29" t="str">
        <x:v>IMPORT-001</x:v>
      </x:c>
      <x:c r="B6" s="29" t="str">
        <x:v>C2</x:v>
      </x:c>
      <x:c r="C6" s="29" t="str">
        <x:v>N1</x:v>
      </x:c>
      <x:c r="D6" s="29" t="str">
        <x:v>P1</x:v>
      </x:c>
      <x:c r="E6" s="29" t="n">
        <x:v>-300</x:v>
      </x:c>
      <x:c r="F6" s="29" t="str">
        <x:v>compression-negative</x:v>
      </x:c>
      <x:c r="G6" s="29" t="n">
        <x:v>300</x:v>
      </x:c>
      <x:c r="H6" s="29" t="str">
        <x:v>COMPRESSION</x:v>
      </x:c>
      <x:c r="I6" s="29" t="n">
        <x:v>800</x:v>
      </x:c>
      <x:c r="J6" s="29" t="n">
        <x:v>200</x:v>
      </x:c>
      <x:c r="K6" s="29" t="n">
        <x:v>0.375</x:v>
      </x:c>
      <x:c r="L6" s="29" t="str">
        <x:v>PASS</x:v>
      </x:c>
      <x:c r="M6" s="29" t="str">
        <x:v>ALL</x:v>
      </x:c>
      <x:c r="N6" s="29" t="str">
        <x:v>Second combination</x:v>
      </x:c>
      <x:c r="O6" s="29" t="str">
        <x:v>NOT CELL-BENCHMARKED</x:v>
      </x:c>
      <x:c r="P6" s="29"/>
      <x:c r="Q6" s="29" t="str">
        <x:v>Expected governing</x:v>
      </x:c>
      <x:c r="R6" s="29" t="str">
        <x:v>C1 / P4 / util=0.875</x:v>
      </x:c>
    </x:row>
    <x:row r="7" ht="66" hidden="0" customHeight="1">
      <x:c r="A7" s="29" t="str">
        <x:v>IMPORT-001</x:v>
      </x:c>
      <x:c r="B7" s="29" t="str">
        <x:v>C2</x:v>
      </x:c>
      <x:c r="C7" s="29" t="str">
        <x:v>N2</x:v>
      </x:c>
      <x:c r="D7" s="29" t="str">
        <x:v>P2</x:v>
      </x:c>
      <x:c r="E7" s="29" t="n">
        <x:v>-350</x:v>
      </x:c>
      <x:c r="F7" s="29" t="str">
        <x:v>compression-negative</x:v>
      </x:c>
      <x:c r="G7" s="29" t="n">
        <x:v>350</x:v>
      </x:c>
      <x:c r="H7" s="29" t="str">
        <x:v>COMPRESSION</x:v>
      </x:c>
      <x:c r="I7" s="29" t="n">
        <x:v>800</x:v>
      </x:c>
      <x:c r="J7" s="29" t="n">
        <x:v>200</x:v>
      </x:c>
      <x:c r="K7" s="29" t="n">
        <x:v>0.4375</x:v>
      </x:c>
      <x:c r="L7" s="29" t="str">
        <x:v>PASS</x:v>
      </x:c>
      <x:c r="M7" s="29" t="str">
        <x:v>ALL</x:v>
      </x:c>
      <x:c r="N7" s="29" t="str">
        <x:v>Second combination</x:v>
      </x:c>
      <x:c r="O7" s="29" t="str">
        <x:v>NOT CELL-BENCHMARKED</x:v>
      </x:c>
      <x:c r="P7" s="29"/>
      <x:c r="Q7" s="29" t="str">
        <x:v>Promotion</x:v>
      </x:c>
      <x:c r="R7" s="29" t="str">
        <x:v>REVIEW until XLSM cell-level benchmark</x:v>
      </x:c>
    </x:row>
    <x:row r="8" ht="52.79999923706055" hidden="0" customHeight="1">
      <x:c r="A8" s="29" t="str">
        <x:v>IMPORT-001</x:v>
      </x:c>
      <x:c r="B8" s="29" t="str">
        <x:v>C2</x:v>
      </x:c>
      <x:c r="C8" s="29" t="str">
        <x:v>N3</x:v>
      </x:c>
      <x:c r="D8" s="29" t="str">
        <x:v>P3</x:v>
      </x:c>
      <x:c r="E8" s="29" t="n">
        <x:v>-650</x:v>
      </x:c>
      <x:c r="F8" s="29" t="str">
        <x:v>compression-negative</x:v>
      </x:c>
      <x:c r="G8" s="29" t="n">
        <x:v>650</x:v>
      </x:c>
      <x:c r="H8" s="29" t="str">
        <x:v>COMPRESSION</x:v>
      </x:c>
      <x:c r="I8" s="29" t="n">
        <x:v>800</x:v>
      </x:c>
      <x:c r="J8" s="29" t="n">
        <x:v>200</x:v>
      </x:c>
      <x:c r="K8" s="29" t="n">
        <x:v>0.8125</x:v>
      </x:c>
      <x:c r="L8" s="29" t="str">
        <x:v>PASS</x:v>
      </x:c>
      <x:c r="M8" s="29" t="str">
        <x:v>ALL</x:v>
      </x:c>
      <x:c r="N8" s="29" t="str">
        <x:v>Second combination</x:v>
      </x:c>
      <x:c r="O8" s="29" t="str">
        <x:v>NOT CELL-BENCHMARKED</x:v>
      </x:c>
      <x:c r="P8" s="29"/>
      <x:c r="Q8" s="29"/>
      <x:c r="R8" s="29"/>
    </x:row>
    <x:row r="9" ht="52.79999923706055" hidden="0" customHeight="1">
      <x:c r="A9" s="29" t="str">
        <x:v>IMPORT-001</x:v>
      </x:c>
      <x:c r="B9" s="29" t="str">
        <x:v>C2</x:v>
      </x:c>
      <x:c r="C9" s="29" t="str">
        <x:v>N4</x:v>
      </x:c>
      <x:c r="D9" s="29" t="str">
        <x:v>P4</x:v>
      </x:c>
      <x:c r="E9" s="29" t="n">
        <x:v>-400</x:v>
      </x:c>
      <x:c r="F9" s="29" t="str">
        <x:v>compression-negative</x:v>
      </x:c>
      <x:c r="G9" s="29" t="n">
        <x:v>400</x:v>
      </x:c>
      <x:c r="H9" s="29" t="str">
        <x:v>COMPRESSION</x:v>
      </x:c>
      <x:c r="I9" s="29" t="n">
        <x:v>800</x:v>
      </x:c>
      <x:c r="J9" s="29" t="n">
        <x:v>200</x:v>
      </x:c>
      <x:c r="K9" s="29" t="n">
        <x:v>0.5</x:v>
      </x:c>
      <x:c r="L9" s="29" t="str">
        <x:v>PASS</x:v>
      </x:c>
      <x:c r="M9" s="29" t="str">
        <x:v>ALL</x:v>
      </x:c>
      <x:c r="N9" s="29" t="str">
        <x:v>Second combination</x:v>
      </x:c>
      <x:c r="O9" s="29" t="str">
        <x:v>NOT CELL-BENCHMARKED</x:v>
      </x:c>
      <x:c r="P9" s="29"/>
      <x:c r="Q9" s="29"/>
      <x:c r="R9" s="29"/>
    </x:row>
    <x:row r="10" ht="52.79999923706055" hidden="0" customHeight="1">
      <x:c r="A10" s="29" t="str">
        <x:v>BOUNDARY-001</x:v>
      </x:c>
      <x:c r="B10" s="29" t="str">
        <x:v>B1</x:v>
      </x:c>
      <x:c r="C10" s="29" t="str">
        <x:v>N1</x:v>
      </x:c>
      <x:c r="D10" s="29" t="str">
        <x:v>P1</x:v>
      </x:c>
      <x:c r="E10" s="29" t="n">
        <x:v>-800</x:v>
      </x:c>
      <x:c r="F10" s="29" t="str">
        <x:v>compression-negative</x:v>
      </x:c>
      <x:c r="G10" s="29" t="n">
        <x:v>800</x:v>
      </x:c>
      <x:c r="H10" s="29" t="str">
        <x:v>COMPRESSION</x:v>
      </x:c>
      <x:c r="I10" s="29" t="n">
        <x:v>800</x:v>
      </x:c>
      <x:c r="J10" s="29" t="n">
        <x:v>200</x:v>
      </x:c>
      <x:c r="K10" s="29" t="n">
        <x:v>1</x:v>
      </x:c>
      <x:c r="L10" s="29" t="str">
        <x:v>PASS</x:v>
      </x:c>
      <x:c r="M10" s="29" t="str">
        <x:v>STATUS</x:v>
      </x:c>
      <x:c r="N10" s="29" t="str">
        <x:v>Exact capacity</x:v>
      </x:c>
      <x:c r="O10" s="29" t="str">
        <x:v>NOT CELL-BENCHMARKED</x:v>
      </x:c>
      <x:c r="P10" s="29"/>
      <x:c r="Q10" s="29"/>
      <x:c r="R10" s="29"/>
    </x:row>
    <x:row r="11" ht="52.79999923706055" hidden="0" customHeight="1">
      <x:c r="A11" s="29" t="str">
        <x:v>BOUNDARY-002</x:v>
      </x:c>
      <x:c r="B11" s="29" t="str">
        <x:v>B2</x:v>
      </x:c>
      <x:c r="C11" s="29" t="str">
        <x:v>N1</x:v>
      </x:c>
      <x:c r="D11" s="29" t="str">
        <x:v>P1</x:v>
      </x:c>
      <x:c r="E11" s="29" t="n">
        <x:v>-800.001</x:v>
      </x:c>
      <x:c r="F11" s="29" t="str">
        <x:v>compression-negative</x:v>
      </x:c>
      <x:c r="G11" s="29" t="n">
        <x:v>800.001</x:v>
      </x:c>
      <x:c r="H11" s="29" t="str">
        <x:v>COMPRESSION</x:v>
      </x:c>
      <x:c r="I11" s="29" t="n">
        <x:v>800</x:v>
      </x:c>
      <x:c r="J11" s="29" t="n">
        <x:v>200</x:v>
      </x:c>
      <x:c r="K11" s="29" t="n">
        <x:v>1.00000125</x:v>
      </x:c>
      <x:c r="L11" s="29" t="str">
        <x:v>FAIL</x:v>
      </x:c>
      <x:c r="M11" s="29" t="str">
        <x:v>STATUS</x:v>
      </x:c>
      <x:c r="N11" s="29" t="str">
        <x:v>Above capacity</x:v>
      </x:c>
      <x:c r="O11" s="29" t="str">
        <x:v>NOT CELL-BENCHMARKED</x:v>
      </x:c>
      <x:c r="P11" s="29"/>
      <x:c r="Q11" s="29"/>
      <x:c r="R11" s="29"/>
    </x:row>
    <x:row r="12" ht="52.79999923706055" hidden="0" customHeight="1">
      <x:c r="A12" s="29" t="str">
        <x:v>TENSION-001</x:v>
      </x:c>
      <x:c r="B12" s="29" t="str">
        <x:v>UP</x:v>
      </x:c>
      <x:c r="C12" s="29" t="str">
        <x:v>N1</x:v>
      </x:c>
      <x:c r="D12" s="29" t="str">
        <x:v>P1</x:v>
      </x:c>
      <x:c r="E12" s="29" t="n">
        <x:v>150</x:v>
      </x:c>
      <x:c r="F12" s="29" t="str">
        <x:v>compression-negative</x:v>
      </x:c>
      <x:c r="G12" s="29" t="n">
        <x:v>-150</x:v>
      </x:c>
      <x:c r="H12" s="29" t="str">
        <x:v>TENSION</x:v>
      </x:c>
      <x:c r="I12" s="29" t="n">
        <x:v>800</x:v>
      </x:c>
      <x:c r="J12" s="29" t="n">
        <x:v>200</x:v>
      </x:c>
      <x:c r="K12" s="29" t="n">
        <x:v>0.75</x:v>
      </x:c>
      <x:c r="L12" s="29" t="str">
        <x:v>PASS</x:v>
      </x:c>
      <x:c r="M12" s="29" t="str">
        <x:v>CAPACITY/UTILIZATION</x:v>
      </x:c>
      <x:c r="N12" s="29" t="str">
        <x:v>Verified tension</x:v>
      </x:c>
      <x:c r="O12" s="29" t="str">
        <x:v>NOT CELL-BENCHMARKED</x:v>
      </x:c>
      <x:c r="P12" s="29"/>
      <x:c r="Q12" s="29"/>
      <x:c r="R12" s="29"/>
    </x:row>
    <x:row r="13" ht="52.79999923706055" hidden="0" customHeight="1">
      <x:c r="A13" s="29" t="str">
        <x:v>TENSION-002</x:v>
      </x:c>
      <x:c r="B13" s="29" t="str">
        <x:v>UP0</x:v>
      </x:c>
      <x:c r="C13" s="29" t="str">
        <x:v>N1</x:v>
      </x:c>
      <x:c r="D13" s="29" t="str">
        <x:v>P1</x:v>
      </x:c>
      <x:c r="E13" s="29" t="n">
        <x:v>150</x:v>
      </x:c>
      <x:c r="F13" s="29" t="str">
        <x:v>compression-negative</x:v>
      </x:c>
      <x:c r="G13" s="29" t="n">
        <x:v>-150</x:v>
      </x:c>
      <x:c r="H13" s="29" t="str">
        <x:v>TENSION</x:v>
      </x:c>
      <x:c r="I13" s="29" t="n">
        <x:v>800</x:v>
      </x:c>
      <x:c r="J13" s="29" t="n">
        <x:v>0</x:v>
      </x:c>
      <x:c r="K13" s="29"/>
      <x:c r="L13" s="29" t="str">
        <x:v>BLOCK</x:v>
      </x:c>
      <x:c r="M13" s="29" t="str">
        <x:v>CAPACITY</x:v>
      </x:c>
      <x:c r="N13" s="29" t="str">
        <x:v>No verified tension capacity</x:v>
      </x:c>
      <x:c r="O13" s="29" t="str">
        <x:v>NOT CELL-BENCHMARKED</x:v>
      </x:c>
      <x:c r="P13" s="29"/>
      <x:c r="Q13" s="29"/>
      <x:c r="R13" s="29"/>
    </x:row>
    <x:row r="14" ht="52.79999923706055" hidden="0" customHeight="1">
      <x:c r="A14" s="29" t="str">
        <x:v>JOIN-001</x:v>
      </x:c>
      <x:c r="B14" s="29" t="str">
        <x:v>C1</x:v>
      </x:c>
      <x:c r="C14" s="29" t="str">
        <x:v>MISSING</x:v>
      </x:c>
      <x:c r="D14" s="29" t="str">
        <x:v>—</x:v>
      </x:c>
      <x:c r="E14" s="29"/>
      <x:c r="F14" s="29" t="str">
        <x:v>compression-negative</x:v>
      </x:c>
      <x:c r="G14" s="29"/>
      <x:c r="H14" s="29" t="str">
        <x:v>—</x:v>
      </x:c>
      <x:c r="I14" s="29"/>
      <x:c r="J14" s="29"/>
      <x:c r="K14" s="29"/>
      <x:c r="L14" s="29" t="str">
        <x:v>BLOCK</x:v>
      </x:c>
      <x:c r="M14" s="29" t="str">
        <x:v>JOIN</x:v>
      </x:c>
      <x:c r="N14" s="29" t="str">
        <x:v>Missing coordinate/spring/reaction</x:v>
      </x:c>
      <x:c r="O14" s="29" t="str">
        <x:v>NOT CELL-BENCHMARKED</x:v>
      </x:c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conditionalFormatting sqref="L2:L14">
    <x:cfRule type="expression" dxfId="2" priority="1">
      <x:formula>L2="PASS"</x:formula>
    </x:cfRule>
    <x:cfRule type="expression" dxfId="3" priority="2">
      <x:formula>OR(L2="FAIL",L2="BLOCK")</x:formula>
    </x:cfRule>
  </x:conditionalFormatting>
  <x:pageMargins left="0.7" right="0.7" top="0.75" bottom="0.75" header="0.3" footer="0.3"/>
</x:worksheet>
</file>