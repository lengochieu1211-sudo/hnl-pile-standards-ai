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d4bd1ebf8b46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b768bfb88c254604"/>
    <x:sheet xmlns:r="http://schemas.openxmlformats.org/officeDocument/2006/relationships" name="01_E2E_MATRIX" sheetId="2" r:id="R1f1ebdd86e3e4077"/>
    <x:sheet xmlns:r="http://schemas.openxmlformats.org/officeDocument/2006/relationships" name="02_TCVN7888" sheetId="3" r:id="Re41a3d24de524cfb"/>
    <x:sheet xmlns:r="http://schemas.openxmlformats.org/officeDocument/2006/relationships" name="03_TCVN10304" sheetId="4" r:id="R0dbdd7e1e1ff48d2"/>
    <x:sheet xmlns:r="http://schemas.openxmlformats.org/officeDocument/2006/relationships" name="04_TCVN5574" sheetId="5" r:id="R0f855b80d1574ed6"/>
    <x:sheet xmlns:r="http://schemas.openxmlformats.org/officeDocument/2006/relationships" name="05_REVIEW_LOCKS" sheetId="6" r:id="R21141d88c2b44656"/>
    <x:sheet xmlns:r="http://schemas.openxmlformats.org/officeDocument/2006/relationships" name="06_SOURCE_MAP" sheetId="7" r:id="Rfe974cbb796947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4"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9e21ec169d4725" /><Relationship Type="http://schemas.openxmlformats.org/officeDocument/2006/relationships/theme" Target="/xl/theme/theme1.xml" Id="R9cf65b16107e4e55" /><Relationship Type="http://schemas.openxmlformats.org/officeDocument/2006/relationships/sharedStrings" Target="/xl/sharedStrings.xml" Id="Rd685114732974227" /><Relationship Type="http://schemas.openxmlformats.org/officeDocument/2006/relationships/worksheet" Target="/xl/worksheets/sheet1.xml" Id="Rb768bfb88c254604" /><Relationship Type="http://schemas.openxmlformats.org/officeDocument/2006/relationships/worksheet" Target="/xl/worksheets/sheet2.xml" Id="R1f1ebdd86e3e4077" /><Relationship Type="http://schemas.openxmlformats.org/officeDocument/2006/relationships/worksheet" Target="/xl/worksheets/sheet3.xml" Id="Re41a3d24de524cfb" /><Relationship Type="http://schemas.openxmlformats.org/officeDocument/2006/relationships/worksheet" Target="/xl/worksheets/sheet4.xml" Id="R0dbdd7e1e1ff48d2" /><Relationship Type="http://schemas.openxmlformats.org/officeDocument/2006/relationships/worksheet" Target="/xl/worksheets/sheet5.xml" Id="R0f855b80d1574ed6" /><Relationship Type="http://schemas.openxmlformats.org/officeDocument/2006/relationships/worksheet" Target="/xl/worksheets/sheet6.xml" Id="R21141d88c2b44656" /><Relationship Type="http://schemas.openxmlformats.org/officeDocument/2006/relationships/worksheet" Target="/xl/worksheets/sheet7.xml" Id="Rfe974cbb796947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18" hidden="0" customWidth="1"/>
    <x:col min="4" max="4" width="90" hidden="0" customWidth="1"/>
  </x:cols>
  <x:sheetData>
    <x:row r="1">
      <x:c r="A1" s="20" t="str">
        <x:v>HNL Pile Standards AI v1.23.0 · FULL 3-TCVN END-TO-END GOLDEN AUDIT</x:v>
      </x:c>
      <x:c r="B1" s="20"/>
      <x:c r="C1" s="20"/>
      <x:c r="D1" s="20"/>
      <x:c r="E1" s="20"/>
      <x:c r="F1" s="20"/>
      <x:c r="G1" s="20"/>
      <x:c r="H1" s="20"/>
      <x:c r="I1" s="21"/>
      <x:c r="J1" s="21"/>
      <x:c r="K1" s="21"/>
      <x:c r="L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>
      <x:c r="A3" s="22" t="str">
        <x:v>Hạng mục</x:v>
      </x:c>
      <x:c r="B3" s="22" t="str">
        <x:v>Giá trị</x:v>
      </x:c>
      <x:c r="C3" s="22" t="str">
        <x:v>Trạng thái</x:v>
      </x:c>
      <x:c r="D3" s="22" t="str">
        <x:v>Ý nghĩa</x:v>
      </x:c>
      <x:c r="E3" s="22" t="str"/>
      <x:c r="F3" s="22" t="str"/>
      <x:c r="G3" s="22" t="str"/>
      <x:c r="H3" s="22" t="str"/>
      <x:c r="I3" s="21"/>
      <x:c r="J3" s="21"/>
      <x:c r="K3" s="21"/>
      <x:c r="L3" s="21"/>
    </x:row>
    <x:row r="4">
      <x:c r="A4" s="21" t="str">
        <x:v>Source baseline</x:v>
      </x:c>
      <x:c r="B4" s="23" t="str">
        <x:v>v1.22.0</x:v>
      </x:c>
      <x:c r="C4" s="21" t="str">
        <x:v>LOCKED</x:v>
      </x:c>
      <x:c r="D4" s="21" t="str">
        <x:v>Chỉ source ZIP v1.22.0 được dùng để sửa.</x:v>
      </x:c>
      <x:c r="E4" s="21"/>
      <x:c r="F4" s="21"/>
      <x:c r="G4" s="21"/>
      <x:c r="H4" s="21"/>
      <x:c r="I4" s="21"/>
      <x:c r="J4" s="21"/>
      <x:c r="K4" s="21"/>
      <x:c r="L4" s="21"/>
    </x:row>
    <x:row r="5">
      <x:c r="A5" s="21" t="str">
        <x:v>Source target</x:v>
      </x:c>
      <x:c r="B5" s="23" t="str">
        <x:v>v1.23.0</x:v>
      </x:c>
      <x:c r="C5" s="21" t="str">
        <x:v>PASS</x:v>
      </x:c>
      <x:c r="D5" s="21" t="str">
        <x:v>Version Gate đã đồng bộ.</x:v>
      </x:c>
      <x:c r="E5" s="21"/>
      <x:c r="F5" s="21"/>
      <x:c r="G5" s="21"/>
      <x:c r="H5" s="21"/>
      <x:c r="I5" s="21"/>
      <x:c r="J5" s="21"/>
      <x:c r="K5" s="21"/>
      <x:c r="L5" s="21"/>
    </x:row>
    <x:row r="6">
      <x:c r="A6" s="21" t="str">
        <x:v>Node regression</x:v>
      </x:c>
      <x:c r="B6" s="23" t="str">
        <x:v>241 / 241</x:v>
      </x:c>
      <x:c r="C6" s="21" t="str">
        <x:v>PASS</x:v>
      </x:c>
      <x:c r="D6" s="21" t="str">
        <x:v>Toàn bộ test hiện hành + 9 test TCVN 7888 E2E.</x:v>
      </x:c>
      <x:c r="E6" s="21"/>
      <x:c r="F6" s="21"/>
      <x:c r="G6" s="21"/>
      <x:c r="H6" s="21"/>
      <x:c r="I6" s="21"/>
      <x:c r="J6" s="21"/>
      <x:c r="K6" s="21"/>
      <x:c r="L6" s="21"/>
    </x:row>
    <x:row r="7">
      <x:c r="A7" s="21" t="str">
        <x:v>Search Brain</x:v>
      </x:c>
      <x:c r="B7" s="23" t="str">
        <x:v>f9b65e…021d2</x:v>
      </x:c>
      <x:c r="C7" s="21" t="str">
        <x:v>PASS</x:v>
      </x:c>
      <x:c r="D7" s="21" t="str">
        <x:v>Normalized hash v1.9.23 không đổi.</x:v>
      </x:c>
      <x:c r="E7" s="21"/>
      <x:c r="F7" s="21"/>
      <x:c r="G7" s="21"/>
      <x:c r="H7" s="21"/>
      <x:c r="I7" s="21"/>
      <x:c r="J7" s="21"/>
      <x:c r="K7" s="21"/>
      <x:c r="L7" s="21"/>
    </x:row>
    <x:row r="8">
      <x:c r="A8" s="21" t="str">
        <x:v>TCVN 7888 Golden</x:v>
      </x:c>
      <x:c r="B8" s="23" t="str">
        <x:v>3 numeric + 2 reject/warning</x:v>
      </x:c>
      <x:c r="C8" s="21" t="str">
        <x:v>PASS</x:v>
      </x:c>
      <x:c r="D8" s="21" t="str">
        <x:v>PHC/PC/NPH + NPH-AB + σcu gate.</x:v>
      </x:c>
      <x:c r="E8" s="21"/>
      <x:c r="F8" s="21"/>
      <x:c r="G8" s="21"/>
      <x:c r="H8" s="21"/>
      <x:c r="I8" s="21"/>
      <x:c r="J8" s="21"/>
      <x:c r="K8" s="21"/>
      <x:c r="L8" s="21"/>
    </x:row>
    <x:row r="9">
      <x:c r="A9" s="21" t="str">
        <x:v>TCVN 10304 benchmark</x:v>
      </x:c>
      <x:c r="B9" s="23" t="str">
        <x:v>12 numeric + 1 method</x:v>
      </x:c>
      <x:c r="C9" s="21" t="str">
        <x:v>PASS</x:v>
      </x:c>
      <x:c r="D9" s="21" t="str">
        <x:v>12 numeric HNL↔Excel; bè-cọc PASS-METHOD.</x:v>
      </x:c>
      <x:c r="E9" s="21"/>
      <x:c r="F9" s="21"/>
      <x:c r="G9" s="21"/>
      <x:c r="H9" s="21"/>
      <x:c r="I9" s="21"/>
      <x:c r="J9" s="21"/>
      <x:c r="K9" s="21"/>
      <x:c r="L9" s="21"/>
    </x:row>
    <x:row r="10">
      <x:c r="A10" s="21" t="str">
        <x:v>TCVN 5574 benchmark</x:v>
      </x:c>
      <x:c r="B10" s="23" t="str">
        <x:v>20 numeric</x:v>
      </x:c>
      <x:c r="C10" s="21" t="str">
        <x:v>PASS</x:v>
      </x:c>
      <x:c r="D10" s="21" t="str">
        <x:v>Workbook production v1.22 benchmark.</x:v>
      </x:c>
      <x:c r="E10" s="21"/>
      <x:c r="F10" s="21"/>
      <x:c r="G10" s="21"/>
      <x:c r="H10" s="21"/>
      <x:c r="I10" s="21"/>
      <x:c r="J10" s="21"/>
      <x:c r="K10" s="21"/>
      <x:c r="L10" s="21"/>
    </x:row>
    <x:row r="11">
      <x:c r="A11" s="21" t="str">
        <x:v>Formula error scan</x:v>
      </x:c>
      <x:c r="B11" s="23" t="str">
        <x:v>0</x:v>
      </x:c>
      <x:c r="C11" s="21" t="str">
        <x:v>PASS</x:v>
      </x:c>
      <x:c r="D11" s="21" t="str">
        <x:v>Workbook mới không có lỗi công thức trong vùng kiểm.</x:v>
      </x:c>
      <x:c r="E11" s="21"/>
      <x:c r="F11" s="21"/>
      <x:c r="G11" s="21"/>
      <x:c r="H11" s="21"/>
      <x:c r="I11" s="21"/>
      <x:c r="J11" s="21"/>
      <x:c r="K11" s="21"/>
      <x:c r="L11" s="21"/>
    </x:row>
    <x:row r="12">
      <x:c r="A12" s="21" t="str">
        <x:v>Build Web</x:v>
      </x:c>
      <x:c r="B12" s="23" t="str">
        <x:v>vite: not found</x:v>
      </x:c>
      <x:c r="C12" s="21" t="str">
        <x:v>BLOCKED</x:v>
      </x:c>
      <x:c r="D12" s="21" t="str">
        <x:v>Không báo PASS giả; cần npm ci/GitHub Actions/Windows runner.</x:v>
      </x:c>
      <x:c r="E12" s="21"/>
      <x:c r="F12" s="21"/>
      <x:c r="G12" s="21"/>
      <x:c r="H12" s="21"/>
      <x:c r="I12" s="21"/>
      <x:c r="J12" s="21"/>
      <x:c r="K12" s="21"/>
      <x:c r="L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</x:row>
    <x:row r="52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</x:row>
  </x:sheetData>
  <x:mergeCells>
    <x:mergeCell ref="A1:H1"/>
  </x:mergeCells>
  <x:conditionalFormatting sqref="C4:C12">
    <x:cfRule type="expression" dxfId="0" priority="1">
      <x:formula>C4="PASS"</x:formula>
    </x:cfRule>
    <x:cfRule type="expression" dxfId="1" priority="2">
      <x:formula>C4="BLOCKED"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0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6" hidden="0" customWidth="1"/>
    <x:col min="10" max="10" width="52" hidden="0" customWidth="1"/>
  </x:cols>
  <x:sheetData>
    <x:row r="1">
      <x:c r="A1" s="20" t="str">
        <x:v>01 · END-TO-END MATRIX – ĐỀ BÀI → WORKFLOW → ENGINE → EXCEL → NGUỒN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1"/>
      <x:c r="L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>
      <x:c r="A3" s="22" t="str">
        <x:v>Tiêu chuẩn</x:v>
      </x:c>
      <x:c r="B3" s="22" t="str">
        <x:v>Golden Case</x:v>
      </x:c>
      <x:c r="C3" s="22" t="str">
        <x:v>Nhận dạng</x:v>
      </x:c>
      <x:c r="D3" s="22" t="str">
        <x:v>Engine</x:v>
      </x:c>
      <x:c r="E3" s="22" t="str">
        <x:v>Excel</x:v>
      </x:c>
      <x:c r="F3" s="22" t="str">
        <x:v>Nguồn</x:v>
      </x:c>
      <x:c r="G3" s="22" t="str">
        <x:v>Safety Gate</x:v>
      </x:c>
      <x:c r="H3" s="22" t="str">
        <x:v>Kết quả</x:v>
      </x:c>
      <x:c r="I3" s="22" t="str">
        <x:v>UI/Export</x:v>
      </x:c>
      <x:c r="J3" s="22" t="str">
        <x:v>Ghi chú</x:v>
      </x:c>
      <x:c r="K3" s="21"/>
      <x:c r="L3" s="21"/>
    </x:row>
    <x:row r="4">
      <x:c r="A4" s="21" t="str">
        <x:v>TCVN 7888:2014</x:v>
      </x:c>
      <x:c r="B4" s="21" t="str">
        <x:v>PHC D600-B L20 σcu80</x:v>
      </x:c>
      <x:c r="C4" s="21" t="str">
        <x:v>7888-material</x:v>
      </x:c>
      <x:c r="D4" s="21" t="str">
        <x:v>PASS</x:v>
      </x:c>
      <x:c r="E4" s="21" t="str">
        <x:v>PASS</x:v>
      </x:c>
      <x:c r="F4" s="21" t="str">
        <x:v>PASS</x:v>
      </x:c>
      <x:c r="G4" s="21" t="str">
        <x:v>PASS</x:v>
      </x:c>
      <x:c r="H4" s="21" t="str">
        <x:v>PASS</x:v>
      </x:c>
      <x:c r="I4" s="21" t="str">
        <x:v>PASS</x:v>
      </x:c>
      <x:c r="J4" s="21" t="str">
        <x:v>Bảng1 → B.4/B.5 → Pmax</x:v>
      </x:c>
      <x:c r="K4" s="21"/>
      <x:c r="L4" s="21"/>
    </x:row>
    <x:row r="5">
      <x:c r="A5" s="21" t="str">
        <x:v>TCVN 7888:2014</x:v>
      </x:c>
      <x:c r="B5" s="21" t="str">
        <x:v>PC D400-A L12 σcu60</x:v>
      </x:c>
      <x:c r="C5" s="21" t="str">
        <x:v>7888-material</x:v>
      </x:c>
      <x:c r="D5" s="21" t="str">
        <x:v>PASS</x:v>
      </x:c>
      <x:c r="E5" s="21" t="str">
        <x:v>PASS</x:v>
      </x:c>
      <x:c r="F5" s="21" t="str">
        <x:v>PASS</x:v>
      </x:c>
      <x:c r="G5" s="21" t="str">
        <x:v>PASS</x:v>
      </x:c>
      <x:c r="H5" s="21" t="str">
        <x:v>PASS</x:v>
      </x:c>
      <x:c r="I5" s="21" t="str">
        <x:v>PASS</x:v>
      </x:c>
      <x:c r="J5" s="21" t="str">
        <x:v>B.2/B.3; không gán bền cắt PC</x:v>
      </x:c>
      <x:c r="K5" s="21"/>
      <x:c r="L5" s="21"/>
    </x:row>
    <x:row r="6">
      <x:c r="A6" s="21" t="str">
        <x:v>TCVN 7888:2014</x:v>
      </x:c>
      <x:c r="B6" s="21" t="str">
        <x:v>NPH 800-600-B L20 σcu80</x:v>
      </x:c>
      <x:c r="C6" s="21" t="str">
        <x:v>7888-material</x:v>
      </x:c>
      <x:c r="D6" s="21" t="str">
        <x:v>PASS</x:v>
      </x:c>
      <x:c r="E6" s="21" t="str">
        <x:v>PASS</x:v>
      </x:c>
      <x:c r="F6" s="21" t="str">
        <x:v>PASS</x:v>
      </x:c>
      <x:c r="G6" s="21" t="str">
        <x:v>PASS</x:v>
      </x:c>
      <x:c r="H6" s="21" t="str">
        <x:v>PASS</x:v>
      </x:c>
      <x:c r="I6" s="21" t="str">
        <x:v>PASS</x:v>
      </x:c>
      <x:c r="J6" s="21" t="str">
        <x:v>Bảng2, không mượn Bảng1</x:v>
      </x:c>
      <x:c r="K6" s="21"/>
      <x:c r="L6" s="21"/>
    </x:row>
    <x:row r="7">
      <x:c r="A7" s="21" t="str">
        <x:v>TCVN 7888:2014</x:v>
      </x:c>
      <x:c r="B7" s="21" t="str">
        <x:v>NPH D600-AB</x:v>
      </x:c>
      <x:c r="C7" s="21" t="str">
        <x:v>7888-material</x:v>
      </x:c>
      <x:c r="D7" s="21" t="str">
        <x:v>PASS</x:v>
      </x:c>
      <x:c r="E7" s="21" t="str">
        <x:v>BLOCKED</x:v>
      </x:c>
      <x:c r="F7" s="21" t="str">
        <x:v>N/A</x:v>
      </x:c>
      <x:c r="G7" s="21" t="str">
        <x:v>PASS</x:v>
      </x:c>
      <x:c r="H7" s="21" t="str">
        <x:v>PASS</x:v>
      </x:c>
      <x:c r="I7" s="21" t="str">
        <x:v>PASS</x:v>
      </x:c>
      <x:c r="J7" s="21" t="str">
        <x:v>Từ chối AB đúng chuẩn</x:v>
      </x:c>
      <x:c r="K7" s="21"/>
      <x:c r="L7" s="21"/>
    </x:row>
    <x:row r="8">
      <x:c r="A8" s="21" t="str">
        <x:v>TCVN 7888:2014</x:v>
      </x:c>
      <x:c r="B8" s="21" t="str">
        <x:v>PHC D600-B σcu70</x:v>
      </x:c>
      <x:c r="C8" s="21" t="str">
        <x:v>7888-material</x:v>
      </x:c>
      <x:c r="D8" s="21" t="str">
        <x:v>PASS</x:v>
      </x:c>
      <x:c r="E8" s="21" t="str">
        <x:v>BLOCKED</x:v>
      </x:c>
      <x:c r="F8" s="21" t="str">
        <x:v>N/A</x:v>
      </x:c>
      <x:c r="G8" s="21" t="str">
        <x:v>PASS</x:v>
      </x:c>
      <x:c r="H8" s="21" t="str">
        <x:v>PASS</x:v>
      </x:c>
      <x:c r="I8" s="21" t="str">
        <x:v>PASS</x:v>
      </x:c>
      <x:c r="J8" s="21" t="str">
        <x:v>Khóa σcu&lt;80</x:v>
      </x:c>
      <x:c r="K8" s="21"/>
      <x:c r="L8" s="21"/>
    </x:row>
    <x:row r="9">
      <x:c r="A9" s="21" t="str">
        <x:v>TCVN 10304:2025</x:v>
      </x:c>
      <x:c r="B9" s="21" t="str">
        <x:v>Cọc đóng nhiều lớp</x:v>
      </x:c>
      <x:c r="C9" s="21" t="str">
        <x:v>10304-driven</x:v>
      </x:c>
      <x:c r="D9" s="21" t="str">
        <x:v>PASS</x:v>
      </x:c>
      <x:c r="E9" s="21" t="str">
        <x:v>PASS</x:v>
      </x:c>
      <x:c r="F9" s="21" t="str">
        <x:v>PASS</x:v>
      </x:c>
      <x:c r="G9" s="21" t="str">
        <x:v>PASS</x:v>
      </x:c>
      <x:c r="H9" s="21" t="str">
        <x:v>PASS</x:v>
      </x:c>
      <x:c r="I9" s="21" t="str">
        <x:v>PASS</x:v>
      </x:c>
      <x:c r="J9" s="21" t="str">
        <x:v>Bảng2/3/4 + CT9</x:v>
      </x:c>
      <x:c r="K9" s="21"/>
      <x:c r="L9" s="21"/>
    </x:row>
    <x:row r="10">
      <x:c r="A10" s="21" t="str">
        <x:v>TCVN 10304:2025</x:v>
      </x:c>
      <x:c r="B10" s="21" t="str">
        <x:v>Cọc chống</x:v>
      </x:c>
      <x:c r="C10" s="21" t="str">
        <x:v>10304-end-bearing</x:v>
      </x:c>
      <x:c r="D10" s="21" t="str">
        <x:v>PASS</x:v>
      </x:c>
      <x:c r="E10" s="21" t="str">
        <x:v>PASS</x:v>
      </x:c>
      <x:c r="F10" s="21" t="str">
        <x:v>PASS</x:v>
      </x:c>
      <x:c r="G10" s="21" t="str">
        <x:v>PASS</x:v>
      </x:c>
      <x:c r="H10" s="21" t="str">
        <x:v>PASS</x:v>
      </x:c>
      <x:c r="I10" s="21" t="str">
        <x:v>PASS</x:v>
      </x:c>
      <x:c r="J10" s="21" t="str">
        <x:v>CT5–8</x:v>
      </x:c>
      <x:c r="K10" s="21"/>
      <x:c r="L10" s="21"/>
    </x:row>
    <x:row r="11">
      <x:c r="A11" s="21" t="str">
        <x:v>TCVN 10304:2025</x:v>
      </x:c>
      <x:c r="B11" s="21" t="str">
        <x:v>CPT/SPT</x:v>
      </x:c>
      <x:c r="C11" s="21" t="str">
        <x:v>10304-cpt/spt</x:v>
      </x:c>
      <x:c r="D11" s="21" t="str">
        <x:v>PASS</x:v>
      </x:c>
      <x:c r="E11" s="21" t="str">
        <x:v>PASS</x:v>
      </x:c>
      <x:c r="F11" s="21" t="str">
        <x:v>PASS</x:v>
      </x:c>
      <x:c r="G11" s="21" t="str">
        <x:v>PASS</x:v>
      </x:c>
      <x:c r="H11" s="21" t="str">
        <x:v>PASS</x:v>
      </x:c>
      <x:c r="I11" s="21" t="str">
        <x:v>PASS</x:v>
      </x:c>
      <x:c r="J11" s="21" t="str">
        <x:v>Đã có numeric benchmark</x:v>
      </x:c>
      <x:c r="K11" s="21"/>
      <x:c r="L11" s="21"/>
    </x:row>
    <x:row r="12">
      <x:c r="A12" s="21" t="str">
        <x:v>TCVN 10304:2025</x:v>
      </x:c>
      <x:c r="B12" s="21" t="str">
        <x:v>Lún đơn/nhóm/khối</x:v>
      </x:c>
      <x:c r="C12" s="21" t="str">
        <x:v>10304-settlement-*</x:v>
      </x:c>
      <x:c r="D12" s="21" t="str">
        <x:v>PASS</x:v>
      </x:c>
      <x:c r="E12" s="21" t="str">
        <x:v>PASS</x:v>
      </x:c>
      <x:c r="F12" s="21" t="str">
        <x:v>PASS</x:v>
      </x:c>
      <x:c r="G12" s="21" t="str">
        <x:v>PASS</x:v>
      </x:c>
      <x:c r="H12" s="21" t="str">
        <x:v>PASS</x:v>
      </x:c>
      <x:c r="I12" s="21" t="str">
        <x:v>PASS</x:v>
      </x:c>
      <x:c r="J12" s="21" t="str">
        <x:v>CT30–46</x:v>
      </x:c>
      <x:c r="K12" s="21"/>
      <x:c r="L12" s="21"/>
    </x:row>
    <x:row r="13">
      <x:c r="A13" s="21" t="str">
        <x:v>TCVN 10304:2025</x:v>
      </x:c>
      <x:c r="B13" s="21" t="str">
        <x:v>Bè-cọc</x:v>
      </x:c>
      <x:c r="C13" s="21" t="str">
        <x:v>10304-piled-raft</x:v>
      </x:c>
      <x:c r="D13" s="21" t="str">
        <x:v>PASS</x:v>
      </x:c>
      <x:c r="E13" s="21" t="str">
        <x:v>METHOD</x:v>
      </x:c>
      <x:c r="F13" s="21" t="str">
        <x:v>METHOD</x:v>
      </x:c>
      <x:c r="G13" s="21" t="str">
        <x:v>PASS</x:v>
      </x:c>
      <x:c r="H13" s="21" t="str">
        <x:v>PASS-METHOD</x:v>
      </x:c>
      <x:c r="I13" s="21" t="str">
        <x:v>PASS</x:v>
      </x:c>
      <x:c r="J13" s="21" t="str">
        <x:v>Không bịa mô hình số</x:v>
      </x:c>
      <x:c r="K13" s="21"/>
      <x:c r="L13" s="21"/>
    </x:row>
    <x:row r="14">
      <x:c r="A14" s="21" t="str">
        <x:v>TCVN 5574:2018</x:v>
      </x:c>
      <x:c r="B14" s="21" t="str">
        <x:v>Uốn/nén/cắt/xoắn/chọc thủng</x:v>
      </x:c>
      <x:c r="C14" s="21" t="str">
        <x:v>5574-*</x:v>
      </x:c>
      <x:c r="D14" s="21" t="str">
        <x:v>PASS</x:v>
      </x:c>
      <x:c r="E14" s="21" t="str">
        <x:v>PASS</x:v>
      </x:c>
      <x:c r="F14" s="21" t="str">
        <x:v>PASS</x:v>
      </x:c>
      <x:c r="G14" s="21" t="str">
        <x:v>PASS</x:v>
      </x:c>
      <x:c r="H14" s="21" t="str">
        <x:v>PASS</x:v>
      </x:c>
      <x:c r="I14" s="21" t="str">
        <x:v>PASS</x:v>
      </x:c>
      <x:c r="J14" s="21" t="str">
        <x:v>Regression + production workbook</x:v>
      </x:c>
      <x:c r="K14" s="21"/>
      <x:c r="L14" s="21"/>
    </x:row>
    <x:row r="15">
      <x:c r="A15" s="21" t="str">
        <x:v>TCVN 5574:2018</x:v>
      </x:c>
      <x:c r="B15" s="21" t="str">
        <x:v>Nứt/biến dạng/UST</x:v>
      </x:c>
      <x:c r="C15" s="21" t="str">
        <x:v>5574-crack/deformation/prestress</x:v>
      </x:c>
      <x:c r="D15" s="21" t="str">
        <x:v>PASS</x:v>
      </x:c>
      <x:c r="E15" s="21" t="str">
        <x:v>PASS</x:v>
      </x:c>
      <x:c r="F15" s="21" t="str">
        <x:v>PASS</x:v>
      </x:c>
      <x:c r="G15" s="21" t="str">
        <x:v>PASS</x:v>
      </x:c>
      <x:c r="H15" s="21" t="str">
        <x:v>PASS</x:v>
      </x:c>
      <x:c r="I15" s="21" t="str">
        <x:v>PASS</x:v>
      </x:c>
      <x:c r="J15" s="21" t="str">
        <x:v>SLS sâu</x:v>
      </x:c>
      <x:c r="K15" s="21"/>
      <x:c r="L15" s="21"/>
    </x:row>
    <x:row r="16">
      <x:c r="A16" s="21" t="str">
        <x:v>TCVN 5574:2018</x:v>
      </x:c>
      <x:c r="B16" s="21" t="str">
        <x:v>Neo/nối/F/G/H</x:v>
      </x:c>
      <x:c r="C16" s="21" t="str">
        <x:v>5574-*</x:v>
      </x:c>
      <x:c r="D16" s="21" t="str">
        <x:v>PASS</x:v>
      </x:c>
      <x:c r="E16" s="21" t="str">
        <x:v>PASS</x:v>
      </x:c>
      <x:c r="F16" s="21" t="str">
        <x:v>PASS</x:v>
      </x:c>
      <x:c r="G16" s="21" t="str">
        <x:v>PASS</x:v>
      </x:c>
      <x:c r="H16" s="21" t="str">
        <x:v>PASS</x:v>
      </x:c>
      <x:c r="I16" s="21" t="str">
        <x:v>PASS</x:v>
      </x:c>
      <x:c r="J16" s="21" t="str">
        <x:v>Cấu tạo + phụ lục</x:v>
      </x:c>
      <x:c r="K16" s="21"/>
      <x:c r="L16" s="21"/>
    </x:row>
    <x:row r="17">
      <x:c r="A17" s="21" t="str">
        <x:v>TCVN 5574:2018</x:v>
      </x:c>
      <x:c r="B17" s="21" t="str">
        <x:v>D/L/M</x:v>
      </x:c>
      <x:c r="C17" s="21" t="str">
        <x:v>5574-annex-*</x:v>
      </x:c>
      <x:c r="D17" s="21" t="str">
        <x:v>PASS</x:v>
      </x:c>
      <x:c r="E17" s="21" t="str">
        <x:v>BRANCH</x:v>
      </x:c>
      <x:c r="F17" s="21" t="str">
        <x:v>PASS</x:v>
      </x:c>
      <x:c r="G17" s="21" t="str">
        <x:v>PASS</x:v>
      </x:c>
      <x:c r="H17" s="21" t="str">
        <x:v>PASS</x:v>
      </x:c>
      <x:c r="I17" s="21" t="str">
        <x:v>PASS</x:v>
      </x:c>
      <x:c r="J17" s="21" t="str">
        <x:v>Chỉ nhánh đã benchmark</x:v>
      </x:c>
      <x:c r="K17" s="21"/>
      <x:c r="L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</x:row>
    <x:row r="52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</x:row>
  </x:sheetData>
  <x:mergeCells>
    <x:mergeCell ref="A1:J1"/>
  </x:mergeCells>
  <x:conditionalFormatting sqref="D4:D17">
    <x:cfRule type="expression" dxfId="2" priority="1">
      <x:formula>D4="PASS"</x:formula>
    </x:cfRule>
    <x:cfRule type="expression" dxfId="3" priority="2">
      <x:formula>OR(D4="BLOCKED",D4="METHOD",D4="BRANCH",D4="PASS-METHOD")</x:formula>
    </x:cfRule>
  </x:conditionalFormatting>
  <x:conditionalFormatting sqref="E4:E17">
    <x:cfRule type="expression" dxfId="4" priority="3">
      <x:formula>E4="PASS"</x:formula>
    </x:cfRule>
    <x:cfRule type="expression" dxfId="5" priority="4">
      <x:formula>OR(E4="BLOCKED",E4="METHOD",E4="BRANCH",E4="PASS-METHOD")</x:formula>
    </x:cfRule>
  </x:conditionalFormatting>
  <x:conditionalFormatting sqref="F4:F17">
    <x:cfRule type="expression" dxfId="6" priority="5">
      <x:formula>F4="PASS"</x:formula>
    </x:cfRule>
    <x:cfRule type="expression" dxfId="7" priority="6">
      <x:formula>OR(F4="BLOCKED",F4="METHOD",F4="BRANCH",F4="PASS-METHOD")</x:formula>
    </x:cfRule>
  </x:conditionalFormatting>
  <x:conditionalFormatting sqref="G4:G17">
    <x:cfRule type="expression" dxfId="8" priority="7">
      <x:formula>G4="PASS"</x:formula>
    </x:cfRule>
    <x:cfRule type="expression" dxfId="9" priority="8">
      <x:formula>OR(G4="BLOCKED",G4="METHOD",G4="BRANCH",G4="PASS-METHOD")</x:formula>
    </x:cfRule>
  </x:conditionalFormatting>
  <x:conditionalFormatting sqref="H4:H17">
    <x:cfRule type="expression" dxfId="10" priority="9">
      <x:formula>H4="PASS"</x:formula>
    </x:cfRule>
    <x:cfRule type="expression" dxfId="11" priority="10">
      <x:formula>OR(H4="BLOCKED",H4="METHOD",H4="BRANCH",H4="PASS-METHOD")</x:formula>
    </x:cfRule>
  </x:conditionalFormatting>
  <x:conditionalFormatting sqref="I4:I17">
    <x:cfRule type="expression" dxfId="12" priority="11">
      <x:formula>I4="PASS"</x:formula>
    </x:cfRule>
    <x:cfRule type="expression" dxfId="13" priority="12">
      <x:formula>OR(I4="BLOCKED",I4="METHOD",I4="BRANCH",I4="PASS-METHOD")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4" hidden="0" customWidth="1"/>
    <x:col min="6" max="6" width="14" hidden="0" customWidth="1"/>
    <x:col min="7" max="7" width="12" hidden="0" customWidth="1"/>
    <x:col min="8" max="8" width="28" hidden="0" customWidth="1"/>
    <x:col min="9" max="9" width="28" hidden="0" customWidth="1"/>
  </x:cols>
  <x:sheetData>
    <x:row r="1">
      <x:c r="A1" s="20" t="str">
        <x:v>02 · TCVN 7888:2014 GOLDEN CASES</x:v>
      </x:c>
      <x:c r="B1" s="20"/>
      <x:c r="C1" s="20"/>
      <x:c r="D1" s="20"/>
      <x:c r="E1" s="20"/>
      <x:c r="F1" s="20"/>
      <x:c r="G1" s="20"/>
      <x:c r="H1" s="20"/>
      <x:c r="I1" s="20"/>
      <x:c r="J1" s="21"/>
      <x:c r="K1" s="21"/>
      <x:c r="L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>
      <x:c r="A3" s="22" t="str">
        <x:v>Case</x:v>
      </x:c>
      <x:c r="B3" s="22" t="str">
        <x:v>HNL expected</x:v>
      </x:c>
      <x:c r="C3" s="22" t="str">
        <x:v>Excel result</x:v>
      </x:c>
      <x:c r="D3" s="22" t="str">
        <x:v>Sai lệch</x:v>
      </x:c>
      <x:c r="E3" s="22" t="str">
        <x:v>Tol</x:v>
      </x:c>
      <x:c r="F3" s="22" t="str">
        <x:v>Kết quả</x:v>
      </x:c>
      <x:c r="G3" s="22" t="str">
        <x:v>Đơn vị</x:v>
      </x:c>
      <x:c r="H3" s="22" t="str">
        <x:v>Nguồn</x:v>
      </x:c>
      <x:c r="I3" s="22" t="str">
        <x:v>Safety</x:v>
      </x:c>
      <x:c r="J3" s="21"/>
      <x:c r="K3" s="21"/>
      <x:c r="L3" s="21"/>
    </x:row>
    <x:row r="4">
      <x:c r="A4" s="21" t="str">
        <x:v>PHC D600-B Ra dài</x:v>
      </x:c>
      <x:c r="B4" s="21" t="n">
        <x:v>3007.581286966663</x:v>
      </x:c>
      <x:c r="C4" s="21" t="n">
        <x:v>3007.581286966663</x:v>
      </x:c>
      <x:c r="D4" s="21" t="n">
        <x:v>0</x:v>
      </x:c>
      <x:c r="E4" s="21" t="n">
        <x:v>1e-8</x:v>
      </x:c>
      <x:c r="F4" s="21" t="str">
        <x:v>PASS</x:v>
      </x:c>
      <x:c r="G4" s="21" t="str">
        <x:v>kN</x:v>
      </x:c>
      <x:c r="H4" s="21" t="str">
        <x:v>Bảng1 + B.4</x:v>
      </x:c>
      <x:c r="I4" s="21" t="str">
        <x:v>σcu=80</x:v>
      </x:c>
      <x:c r="J4" s="21"/>
      <x:c r="K4" s="21"/>
      <x:c r="L4" s="21"/>
    </x:row>
    <x:row r="5">
      <x:c r="A5" s="21" t="str">
        <x:v>PHC D600-B Pmax</x:v>
      </x:c>
      <x:c r="B5" s="21" t="n">
        <x:v>4812.130059146661</x:v>
      </x:c>
      <x:c r="C5" s="21" t="n">
        <x:v>4812.130059146661</x:v>
      </x:c>
      <x:c r="D5" s="21" t="n">
        <x:v>0</x:v>
      </x:c>
      <x:c r="E5" s="21" t="n">
        <x:v>1e-8</x:v>
      </x:c>
      <x:c r="F5" s="21" t="str">
        <x:v>PASS</x:v>
      </x:c>
      <x:c r="G5" s="21" t="str">
        <x:v>kN</x:v>
      </x:c>
      <x:c r="H5" s="21" t="str">
        <x:v>B.5 + 80%</x:v>
      </x:c>
      <x:c r="I5" s="21" t="str"/>
      <x:c r="J5" s="21"/>
      <x:c r="K5" s="21"/>
      <x:c r="L5" s="21"/>
    </x:row>
    <x:row r="6">
      <x:c r="A6" s="21" t="str">
        <x:v>PC D400-A Ra dài</x:v>
      </x:c>
      <x:c r="B6" s="21" t="n">
        <x:v>957.7145204468484</x:v>
      </x:c>
      <x:c r="C6" s="21" t="n">
        <x:v>957.7145204468484</x:v>
      </x:c>
      <x:c r="D6" s="21" t="n">
        <x:v>0</x:v>
      </x:c>
      <x:c r="E6" s="21" t="n">
        <x:v>1e-8</x:v>
      </x:c>
      <x:c r="F6" s="21" t="str">
        <x:v>PASS</x:v>
      </x:c>
      <x:c r="G6" s="21" t="str">
        <x:v>kN</x:v>
      </x:c>
      <x:c r="H6" s="21" t="str">
        <x:v>Bảng1 + B.2</x:v>
      </x:c>
      <x:c r="I6" s="21" t="str">
        <x:v>σcu=60</x:v>
      </x:c>
      <x:c r="J6" s="21"/>
      <x:c r="K6" s="21"/>
      <x:c r="L6" s="21"/>
    </x:row>
    <x:row r="7">
      <x:c r="A7" s="21" t="str">
        <x:v>NPH 800-600-B Ra dài</x:v>
      </x:c>
      <x:c r="B7" s="21" t="n">
        <x:v>3007.581286966663</x:v>
      </x:c>
      <x:c r="C7" s="21" t="n">
        <x:v>3007.581286966663</x:v>
      </x:c>
      <x:c r="D7" s="21" t="n">
        <x:v>0</x:v>
      </x:c>
      <x:c r="E7" s="21" t="n">
        <x:v>1e-8</x:v>
      </x:c>
      <x:c r="F7" s="21" t="str">
        <x:v>PASS</x:v>
      </x:c>
      <x:c r="G7" s="21" t="str">
        <x:v>kN</x:v>
      </x:c>
      <x:c r="H7" s="21" t="str">
        <x:v>Bảng2 + B.4</x:v>
      </x:c>
      <x:c r="I7" s="21" t="str">
        <x:v>NPH không AB</x:v>
      </x:c>
      <x:c r="J7" s="21"/>
      <x:c r="K7" s="21"/>
      <x:c r="L7" s="21"/>
    </x:row>
    <x:row r="8">
      <x:c r="A8" s="21" t="str">
        <x:v>NPH-AB reject</x:v>
      </x:c>
      <x:c r="B8" s="21" t="str">
        <x:v>BLOCKED</x:v>
      </x:c>
      <x:c r="C8" s="21" t="str">
        <x:v>BLOCKED</x:v>
      </x:c>
      <x:c r="D8" s="21" t="str">
        <x:v>N/A</x:v>
      </x:c>
      <x:c r="E8" s="21" t="str">
        <x:v>N/A</x:v>
      </x:c>
      <x:c r="F8" s="21" t="str">
        <x:v>PASS</x:v>
      </x:c>
      <x:c r="G8" s="21" t="str">
        <x:v>-</x:v>
      </x:c>
      <x:c r="H8" s="21" t="str">
        <x:v>4.2.2/Bảng2</x:v>
      </x:c>
      <x:c r="I8" s="21" t="str">
        <x:v>Reject</x:v>
      </x:c>
      <x:c r="J8" s="21"/>
      <x:c r="K8" s="21"/>
      <x:c r="L8" s="21"/>
    </x:row>
    <x:row r="9">
      <x:c r="A9" s="21" t="str">
        <x:v>PHC σcu70 reject</x:v>
      </x:c>
      <x:c r="B9" s="21" t="str">
        <x:v>BLOCKED</x:v>
      </x:c>
      <x:c r="C9" s="21" t="str">
        <x:v>BLOCKED</x:v>
      </x:c>
      <x:c r="D9" s="21" t="str">
        <x:v>N/A</x:v>
      </x:c>
      <x:c r="E9" s="21" t="str">
        <x:v>N/A</x:v>
      </x:c>
      <x:c r="F9" s="21" t="str">
        <x:v>PASS</x:v>
      </x:c>
      <x:c r="G9" s="21" t="str">
        <x:v>-</x:v>
      </x:c>
      <x:c r="H9" s="21" t="str">
        <x:v>6.2</x:v>
      </x:c>
      <x:c r="I9" s="21" t="str">
        <x:v>σcu&lt;80</x:v>
      </x:c>
      <x:c r="J9" s="21"/>
      <x:c r="K9" s="21"/>
      <x:c r="L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</x:row>
    <x:row r="52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18" hidden="0" customWidth="1"/>
    <x:col min="5" max="5" width="14" hidden="0" customWidth="1"/>
    <x:col min="6" max="6" width="18" hidden="0" customWidth="1"/>
    <x:col min="7" max="7" width="12" hidden="0" customWidth="1"/>
    <x:col min="8" max="8" width="30" hidden="0" customWidth="1"/>
  </x:cols>
  <x:sheetData>
    <x:row r="1">
      <x:c r="A1" s="20" t="str">
        <x:v>03 · TCVN 10304:2025 – HNL ↔ EXCEL</x:v>
      </x:c>
      <x:c r="B1" s="20"/>
      <x:c r="C1" s="20"/>
      <x:c r="D1" s="20"/>
      <x:c r="E1" s="20"/>
      <x:c r="F1" s="20"/>
      <x:c r="G1" s="20"/>
      <x:c r="H1" s="20"/>
      <x:c r="I1" s="21"/>
      <x:c r="J1" s="21"/>
      <x:c r="K1" s="21"/>
      <x:c r="L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>
      <x:c r="A3" s="22" t="str">
        <x:v>Workflow</x:v>
      </x:c>
      <x:c r="B3" s="22" t="str">
        <x:v>HNL</x:v>
      </x:c>
      <x:c r="C3" s="22" t="str">
        <x:v>Excel</x:v>
      </x:c>
      <x:c r="D3" s="22" t="str">
        <x:v>Sai lệch</x:v>
      </x:c>
      <x:c r="E3" s="22" t="str">
        <x:v>Tol</x:v>
      </x:c>
      <x:c r="F3" s="22" t="str">
        <x:v>Kết quả</x:v>
      </x:c>
      <x:c r="G3" s="22" t="str">
        <x:v>Đơn vị</x:v>
      </x:c>
      <x:c r="H3" s="22" t="str">
        <x:v>Nguồn</x:v>
      </x:c>
      <x:c r="I3" s="21"/>
      <x:c r="J3" s="21"/>
      <x:c r="K3" s="21"/>
      <x:c r="L3" s="21"/>
    </x:row>
    <x:row r="4">
      <x:c r="A4" s="21" t="str">
        <x:v>Cọc chống</x:v>
      </x:c>
      <x:c r="B4" s="21" t="n">
        <x:v>800</x:v>
      </x:c>
      <x:c r="C4" s="21" t="n">
        <x:v>800</x:v>
      </x:c>
      <x:c r="D4" s="21" t="n">
        <x:v>0</x:v>
      </x:c>
      <x:c r="E4" s="21" t="n">
        <x:v>0.000001</x:v>
      </x:c>
      <x:c r="F4" s="21" t="str">
        <x:v>PASS</x:v>
      </x:c>
      <x:c r="G4" s="21" t="str">
        <x:v>kN</x:v>
      </x:c>
      <x:c r="H4" s="21" t="str">
        <x:v>CT5–8</x:v>
      </x:c>
      <x:c r="I4" s="21"/>
      <x:c r="J4" s="21"/>
      <x:c r="K4" s="21"/>
      <x:c r="L4" s="21"/>
    </x:row>
    <x:row r="5">
      <x:c r="A5" s="21" t="str">
        <x:v>Cọc đóng</x:v>
      </x:c>
      <x:c r="B5" s="21" t="n">
        <x:v>1264</x:v>
      </x:c>
      <x:c r="C5" s="21" t="n">
        <x:v>1264</x:v>
      </x:c>
      <x:c r="D5" s="21" t="n">
        <x:v>0</x:v>
      </x:c>
      <x:c r="E5" s="21" t="n">
        <x:v>0.000001</x:v>
      </x:c>
      <x:c r="F5" s="21" t="str">
        <x:v>PASS</x:v>
      </x:c>
      <x:c r="G5" s="21" t="str">
        <x:v>kN</x:v>
      </x:c>
      <x:c r="H5" s="21" t="str">
        <x:v>CT9 + Bảng2–4</x:v>
      </x:c>
      <x:c r="I5" s="21"/>
      <x:c r="J5" s="21"/>
      <x:c r="K5" s="21"/>
      <x:c r="L5" s="21"/>
    </x:row>
    <x:row r="6">
      <x:c r="A6" s="21" t="str">
        <x:v>Cọc nhồi</x:v>
      </x:c>
      <x:c r="B6" s="21" t="n">
        <x:v>3187.1</x:v>
      </x:c>
      <x:c r="C6" s="21" t="n">
        <x:v>3187.1</x:v>
      </x:c>
      <x:c r="D6" s="21" t="n">
        <x:v>0</x:v>
      </x:c>
      <x:c r="E6" s="21" t="n">
        <x:v>0.000001</x:v>
      </x:c>
      <x:c r="F6" s="21" t="str">
        <x:v>PASS</x:v>
      </x:c>
      <x:c r="G6" s="21" t="str">
        <x:v>kN</x:v>
      </x:c>
      <x:c r="H6" s="21" t="str">
        <x:v>CT13</x:v>
      </x:c>
      <x:c r="I6" s="21"/>
      <x:c r="J6" s="21"/>
      <x:c r="K6" s="21"/>
      <x:c r="L6" s="21"/>
    </x:row>
    <x:row r="7">
      <x:c r="A7" s="21" t="str">
        <x:v>Cọc vít</x:v>
      </x:c>
      <x:c r="B7" s="21" t="n">
        <x:v>1566.72</x:v>
      </x:c>
      <x:c r="C7" s="21" t="n">
        <x:v>1566.72</x:v>
      </x:c>
      <x:c r="D7" s="21" t="n">
        <x:v>0</x:v>
      </x:c>
      <x:c r="E7" s="21" t="n">
        <x:v>0.000001</x:v>
      </x:c>
      <x:c r="F7" s="21" t="str">
        <x:v>PASS</x:v>
      </x:c>
      <x:c r="G7" s="21" t="str">
        <x:v>kN</x:v>
      </x:c>
      <x:c r="H7" s="21" t="str">
        <x:v>CT17–19</x:v>
      </x:c>
      <x:c r="I7" s="21"/>
      <x:c r="J7" s="21"/>
      <x:c r="K7" s="21"/>
      <x:c r="L7" s="21"/>
    </x:row>
    <x:row r="8">
      <x:c r="A8" s="21" t="str">
        <x:v>Tải tĩnh</x:v>
      </x:c>
      <x:c r="B8" s="21" t="n">
        <x:v>1090.9090909090908</x:v>
      </x:c>
      <x:c r="C8" s="21" t="n">
        <x:v>1090.9090909090908</x:v>
      </x:c>
      <x:c r="D8" s="21" t="n">
        <x:v>0</x:v>
      </x:c>
      <x:c r="E8" s="21" t="n">
        <x:v>0.000001</x:v>
      </x:c>
      <x:c r="F8" s="21" t="str">
        <x:v>PASS</x:v>
      </x:c>
      <x:c r="G8" s="21" t="str">
        <x:v>kN</x:v>
      </x:c>
      <x:c r="H8" s="21" t="str">
        <x:v>CT20</x:v>
      </x:c>
      <x:c r="I8" s="21"/>
      <x:c r="J8" s="21"/>
      <x:c r="K8" s="21"/>
      <x:c r="L8" s="21"/>
    </x:row>
    <x:row r="9">
      <x:c r="A9" s="21" t="str">
        <x:v>Thử động</x:v>
      </x:c>
      <x:c r="B9" s="21" t="n">
        <x:v>1449.2036196746424</x:v>
      </x:c>
      <x:c r="C9" s="21" t="n">
        <x:v>1449.2036196746424</x:v>
      </x:c>
      <x:c r="D9" s="21" t="n">
        <x:v>0</x:v>
      </x:c>
      <x:c r="E9" s="21" t="n">
        <x:v>0.000001</x:v>
      </x:c>
      <x:c r="F9" s="21" t="str">
        <x:v>PASS</x:v>
      </x:c>
      <x:c r="G9" s="21" t="str">
        <x:v>kN</x:v>
      </x:c>
      <x:c r="H9" s="21" t="str">
        <x:v>CT22</x:v>
      </x:c>
      <x:c r="I9" s="21"/>
      <x:c r="J9" s="21"/>
      <x:c r="K9" s="21"/>
      <x:c r="L9" s="21"/>
    </x:row>
    <x:row r="10">
      <x:c r="A10" s="21" t="str">
        <x:v>CPT</x:v>
      </x:c>
      <x:c r="B10" s="21" t="n">
        <x:v>880</x:v>
      </x:c>
      <x:c r="C10" s="21" t="n">
        <x:v>880</x:v>
      </x:c>
      <x:c r="D10" s="21" t="n">
        <x:v>0</x:v>
      </x:c>
      <x:c r="E10" s="21" t="n">
        <x:v>0.000001</x:v>
      </x:c>
      <x:c r="F10" s="21" t="str">
        <x:v>PASS</x:v>
      </x:c>
      <x:c r="G10" s="21" t="str">
        <x:v>kN</x:v>
      </x:c>
      <x:c r="H10" s="21" t="str">
        <x:v>CT25–28</x:v>
      </x:c>
      <x:c r="I10" s="21"/>
      <x:c r="J10" s="21"/>
      <x:c r="K10" s="21"/>
      <x:c r="L10" s="21"/>
    </x:row>
    <x:row r="11">
      <x:c r="A11" s="21" t="str">
        <x:v>SPT</x:v>
      </x:c>
      <x:c r="B11" s="21" t="n">
        <x:v>496</x:v>
      </x:c>
      <x:c r="C11" s="21" t="n">
        <x:v>496</x:v>
      </x:c>
      <x:c r="D11" s="21" t="n">
        <x:v>0</x:v>
      </x:c>
      <x:c r="E11" s="21" t="n">
        <x:v>0.000001</x:v>
      </x:c>
      <x:c r="F11" s="21" t="str">
        <x:v>PASS</x:v>
      </x:c>
      <x:c r="G11" s="21" t="str">
        <x:v>kN</x:v>
      </x:c>
      <x:c r="H11" s="21" t="str">
        <x:v>Phụ lục D</x:v>
      </x:c>
      <x:c r="I11" s="21"/>
      <x:c r="J11" s="21"/>
      <x:c r="K11" s="21"/>
      <x:c r="L11" s="21"/>
    </x:row>
    <x:row r="12">
      <x:c r="A12" s="21" t="str">
        <x:v>Lún cọc đơn</x:v>
      </x:c>
      <x:c r="B12" s="21" t="n">
        <x:v>0.0025903059797355065</x:v>
      </x:c>
      <x:c r="C12" s="21" t="n">
        <x:v>0.0025903059797355065</x:v>
      </x:c>
      <x:c r="D12" s="21" t="n">
        <x:v>0</x:v>
      </x:c>
      <x:c r="E12" s="21" t="n">
        <x:v>1e-8</x:v>
      </x:c>
      <x:c r="F12" s="21" t="str">
        <x:v>PASS</x:v>
      </x:c>
      <x:c r="G12" s="21" t="str">
        <x:v>m</x:v>
      </x:c>
      <x:c r="H12" s="21" t="str">
        <x:v>CT30–33</x:v>
      </x:c>
      <x:c r="I12" s="21"/>
      <x:c r="J12" s="21"/>
      <x:c r="K12" s="21"/>
      <x:c r="L12" s="21"/>
    </x:row>
    <x:row r="13">
      <x:c r="A13" s="21" t="str">
        <x:v>Lún nhóm</x:v>
      </x:c>
      <x:c r="B13" s="21" t="n">
        <x:v>0.010997576886752153</x:v>
      </x:c>
      <x:c r="C13" s="21" t="n">
        <x:v>0.010997576886752153</x:v>
      </x:c>
      <x:c r="D13" s="21" t="n">
        <x:v>0</x:v>
      </x:c>
      <x:c r="E13" s="21" t="n">
        <x:v>1e-8</x:v>
      </x:c>
      <x:c r="F13" s="21" t="str">
        <x:v>PASS</x:v>
      </x:c>
      <x:c r="G13" s="21" t="str">
        <x:v>m</x:v>
      </x:c>
      <x:c r="H13" s="21" t="str">
        <x:v>CT36–40</x:v>
      </x:c>
      <x:c r="I13" s="21"/>
      <x:c r="J13" s="21"/>
      <x:c r="K13" s="21"/>
      <x:c r="L13" s="21"/>
    </x:row>
    <x:row r="14">
      <x:c r="A14" s="21" t="str">
        <x:v>Khối quy ước</x:v>
      </x:c>
      <x:c r="B14" s="21" t="n">
        <x:v>0.02224648205766266</x:v>
      </x:c>
      <x:c r="C14" s="21" t="n">
        <x:v>0.02224648205766266</x:v>
      </x:c>
      <x:c r="D14" s="21" t="n">
        <x:v>0</x:v>
      </x:c>
      <x:c r="E14" s="21" t="n">
        <x:v>1e-8</x:v>
      </x:c>
      <x:c r="F14" s="21" t="str">
        <x:v>PASS</x:v>
      </x:c>
      <x:c r="G14" s="21" t="str">
        <x:v>m</x:v>
      </x:c>
      <x:c r="H14" s="21" t="str">
        <x:v>CT41–45</x:v>
      </x:c>
      <x:c r="I14" s="21"/>
      <x:c r="J14" s="21"/>
      <x:c r="K14" s="21"/>
      <x:c r="L14" s="21"/>
    </x:row>
    <x:row r="15">
      <x:c r="A15" s="21" t="str">
        <x:v>Ảnh hưởng thi công</x:v>
      </x:c>
      <x:c r="B15" s="21" t="n">
        <x:v>1.2566370614359172</x:v>
      </x:c>
      <x:c r="C15" s="21" t="n">
        <x:v>1.2566370614359172</x:v>
      </x:c>
      <x:c r="D15" s="21" t="n">
        <x:v>0</x:v>
      </x:c>
      <x:c r="E15" s="21" t="n">
        <x:v>0.000001</x:v>
      </x:c>
      <x:c r="F15" s="21" t="str">
        <x:v>PASS</x:v>
      </x:c>
      <x:c r="G15" s="21" t="str">
        <x:v>cm/s</x:v>
      </x:c>
      <x:c r="H15" s="21" t="str">
        <x:v>CT47–48</x:v>
      </x:c>
      <x:c r="I15" s="21"/>
      <x:c r="J15" s="21"/>
      <x:c r="K15" s="21"/>
      <x:c r="L15" s="21"/>
    </x:row>
    <x:row r="16">
      <x:c r="A16" s="21" t="str">
        <x:v>Bè-cọc</x:v>
      </x:c>
      <x:c r="B16" s="21" t="str">
        <x:v>VERIFIED_METHOD</x:v>
      </x:c>
      <x:c r="C16" s="21" t="str">
        <x:v>N/A</x:v>
      </x:c>
      <x:c r="D16" s="21" t="str">
        <x:v>N/A</x:v>
      </x:c>
      <x:c r="E16" s="21" t="str">
        <x:v>N/A</x:v>
      </x:c>
      <x:c r="F16" s="21" t="str">
        <x:v>PASS-METHOD</x:v>
      </x:c>
      <x:c r="G16" s="21" t="str">
        <x:v>-</x:v>
      </x:c>
      <x:c r="H16" s="21" t="str">
        <x:v>7.4.5</x:v>
      </x:c>
      <x:c r="I16" s="21"/>
      <x:c r="J16" s="21"/>
      <x:c r="K16" s="21"/>
      <x:c r="L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</x:row>
    <x:row r="52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2" hidden="0" customWidth="1"/>
    <x:col min="4" max="4" width="20" hidden="0" customWidth="1"/>
    <x:col min="5" max="5" width="14" hidden="0" customWidth="1"/>
    <x:col min="6" max="6" width="14" hidden="0" customWidth="1"/>
    <x:col min="7" max="7" width="12" hidden="0" customWidth="1"/>
    <x:col min="8" max="8" width="34" hidden="0" customWidth="1"/>
  </x:cols>
  <x:sheetData>
    <x:row r="1">
      <x:c r="A1" s="20" t="str">
        <x:v>04 · TCVN 5574:2018 – HNL ↔ EXCEL</x:v>
      </x:c>
      <x:c r="B1" s="20"/>
      <x:c r="C1" s="20"/>
      <x:c r="D1" s="20"/>
      <x:c r="E1" s="20"/>
      <x:c r="F1" s="20"/>
      <x:c r="G1" s="20"/>
      <x:c r="H1" s="20"/>
      <x:c r="I1" s="21"/>
      <x:c r="J1" s="21"/>
      <x:c r="K1" s="21"/>
      <x:c r="L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>
      <x:c r="A3" s="22" t="str">
        <x:v>Workflow</x:v>
      </x:c>
      <x:c r="B3" s="22" t="str">
        <x:v>HNL</x:v>
      </x:c>
      <x:c r="C3" s="22" t="str">
        <x:v>Excel</x:v>
      </x:c>
      <x:c r="D3" s="22" t="str">
        <x:v>Sai lệch</x:v>
      </x:c>
      <x:c r="E3" s="22" t="str">
        <x:v>Tol</x:v>
      </x:c>
      <x:c r="F3" s="22" t="str">
        <x:v>Kết quả</x:v>
      </x:c>
      <x:c r="G3" s="22" t="str">
        <x:v>Đơn vị</x:v>
      </x:c>
      <x:c r="H3" s="22" t="str">
        <x:v>Nguồn</x:v>
      </x:c>
      <x:c r="I3" s="21"/>
      <x:c r="J3" s="21"/>
      <x:c r="K3" s="21"/>
      <x:c r="L3" s="21"/>
    </x:row>
    <x:row r="4">
      <x:c r="A4" s="21" t="str">
        <x:v>Nứt acrc</x:v>
      </x:c>
      <x:c r="B4" s="21" t="n">
        <x:v>0.19643377985660346</x:v>
      </x:c>
      <x:c r="C4" s="21" t="n">
        <x:v>0.19643377985660346</x:v>
      </x:c>
      <x:c r="D4" s="21" t="n">
        <x:v>0</x:v>
      </x:c>
      <x:c r="E4" s="21" t="n">
        <x:v>1e-8</x:v>
      </x:c>
      <x:c r="F4" s="21" t="str">
        <x:v>PASS</x:v>
      </x:c>
      <x:c r="G4" s="21" t="str">
        <x:v>mm</x:v>
      </x:c>
      <x:c r="H4" s="21" t="str">
        <x:v>Bảng6/12/17 + CT166</x:v>
      </x:c>
      <x:c r="I4" s="21"/>
      <x:c r="J4" s="21"/>
      <x:c r="K4" s="21"/>
      <x:c r="L4" s="21"/>
    </x:row>
    <x:row r="5">
      <x:c r="A5" s="21" t="str">
        <x:v>Độ võng uốn có nứt</x:v>
      </x:c>
      <x:c r="B5" s="21" t="n">
        <x:v>21.312845185308635</x:v>
      </x:c>
      <x:c r="C5" s="21" t="n">
        <x:v>21.312845185308635</x:v>
      </x:c>
      <x:c r="D5" s="21" t="n">
        <x:v>0</x:v>
      </x:c>
      <x:c r="E5" s="21" t="n">
        <x:v>1e-8</x:v>
      </x:c>
      <x:c r="F5" s="21" t="str">
        <x:v>PASS</x:v>
      </x:c>
      <x:c r="G5" s="21" t="str">
        <x:v>mm</x:v>
      </x:c>
      <x:c r="H5" s="21" t="str">
        <x:v>CT186 + CT193–204</x:v>
      </x:c>
      <x:c r="I5" s="21"/>
      <x:c r="J5" s="21"/>
      <x:c r="K5" s="21"/>
      <x:c r="L5" s="21"/>
    </x:row>
    <x:row r="6">
      <x:c r="A6" s="21" t="str">
        <x:v>Biến dạng trượt</x:v>
      </x:c>
      <x:c r="B6" s="21" t="n">
        <x:v>0.20307692307692304</x:v>
      </x:c>
      <x:c r="C6" s="21" t="n">
        <x:v>0.20307692307692304</x:v>
      </x:c>
      <x:c r="D6" s="21" t="n">
        <x:v>0</x:v>
      </x:c>
      <x:c r="E6" s="21" t="n">
        <x:v>1e-10</x:v>
      </x:c>
      <x:c r="F6" s="21" t="str">
        <x:v>PASS</x:v>
      </x:c>
      <x:c r="G6" s="21" t="str">
        <x:v>mm</x:v>
      </x:c>
      <x:c r="H6" s="21" t="str">
        <x:v>CT181–184</x:v>
      </x:c>
      <x:c r="I6" s="21"/>
      <x:c r="J6" s="21"/>
      <x:c r="K6" s="21"/>
      <x:c r="L6" s="21"/>
    </x:row>
    <x:row r="7">
      <x:c r="A7" s="21" t="str">
        <x:v>Hao tổn ma sát CT214</x:v>
      </x:c>
      <x:c r="B7" s="21" t="n">
        <x:v>109.71411217149483</x:v>
      </x:c>
      <x:c r="C7" s="21" t="n">
        <x:v>109.71411217149483</x:v>
      </x:c>
      <x:c r="D7" s="21" t="n">
        <x:v>0</x:v>
      </x:c>
      <x:c r="E7" s="21" t="n">
        <x:v>1e-8</x:v>
      </x:c>
      <x:c r="F7" s="21" t="str">
        <x:v>PASS</x:v>
      </x:c>
      <x:c r="G7" s="21" t="str">
        <x:v>MPa</x:v>
      </x:c>
      <x:c r="H7" s="21" t="str">
        <x:v>CT214+B18</x:v>
      </x:c>
      <x:c r="I7" s="21"/>
      <x:c r="J7" s="21"/>
      <x:c r="K7" s="21"/>
      <x:c r="L7" s="21"/>
    </x:row>
    <x:row r="8">
      <x:c r="A8" s="21" t="str">
        <x:v>Hao tổn từ biến CT216</x:v>
      </x:c>
      <x:c r="B8" s="21" t="n">
        <x:v>85.16378158928313</x:v>
      </x:c>
      <x:c r="C8" s="21" t="n">
        <x:v>85.16378158928313</x:v>
      </x:c>
      <x:c r="D8" s="21" t="n">
        <x:v>0</x:v>
      </x:c>
      <x:c r="E8" s="21" t="n">
        <x:v>1e-8</x:v>
      </x:c>
      <x:c r="F8" s="21" t="str">
        <x:v>PASS</x:v>
      </x:c>
      <x:c r="G8" s="21" t="str">
        <x:v>MPa</x:v>
      </x:c>
      <x:c r="H8" s="21" t="str">
        <x:v>CT216+B11</x:v>
      </x:c>
      <x:c r="I8" s="21"/>
      <x:c r="J8" s="21"/>
      <x:c r="K8" s="21"/>
      <x:c r="L8" s="21"/>
    </x:row>
    <x:row r="9">
      <x:c r="A9" s="21" t="str">
        <x:v>Neo Lan</x:v>
      </x:c>
      <x:c r="B9" s="21" t="n">
        <x:v>608.695652173913</x:v>
      </x:c>
      <x:c r="C9" s="21" t="n">
        <x:v>608.695652173913</x:v>
      </x:c>
      <x:c r="D9" s="21" t="n">
        <x:v>0</x:v>
      </x:c>
      <x:c r="E9" s="21" t="n">
        <x:v>1e-8</x:v>
      </x:c>
      <x:c r="F9" s="21" t="str">
        <x:v>PASS</x:v>
      </x:c>
      <x:c r="G9" s="21" t="str">
        <x:v>mm</x:v>
      </x:c>
      <x:c r="H9" s="21" t="str">
        <x:v>CT255–257</x:v>
      </x:c>
      <x:c r="I9" s="21"/>
      <x:c r="J9" s="21"/>
      <x:c r="K9" s="21"/>
      <x:c r="L9" s="21"/>
    </x:row>
    <x:row r="10">
      <x:c r="A10" s="21" t="str">
        <x:v>Nối Llap</x:v>
      </x:c>
      <x:c r="B10" s="21" t="n">
        <x:v>730.4347826086956</x:v>
      </x:c>
      <x:c r="C10" s="21" t="n">
        <x:v>730.4347826086956</x:v>
      </x:c>
      <x:c r="D10" s="21" t="n">
        <x:v>0</x:v>
      </x:c>
      <x:c r="E10" s="21" t="n">
        <x:v>1e-8</x:v>
      </x:c>
      <x:c r="F10" s="21" t="str">
        <x:v>PASS</x:v>
      </x:c>
      <x:c r="G10" s="21" t="str">
        <x:v>mm</x:v>
      </x:c>
      <x:c r="H10" s="21" t="str">
        <x:v>CT259</x:v>
      </x:c>
      <x:c r="I10" s="21"/>
      <x:c r="J10" s="21"/>
      <x:c r="K10" s="21"/>
      <x:c r="L10" s="21"/>
    </x:row>
    <x:row r="11">
      <x:c r="A11" s="21" t="str">
        <x:v>Vành khuyên Mu</x:v>
      </x:c>
      <x:c r="B11" s="21" t="n">
        <x:v>538.0081855371169</x:v>
      </x:c>
      <x:c r="C11" s="21" t="n">
        <x:v>538.0081855371169</x:v>
      </x:c>
      <x:c r="D11" s="21" t="n">
        <x:v>0</x:v>
      </x:c>
      <x:c r="E11" s="21" t="n">
        <x:v>1e-8</x:v>
      </x:c>
      <x:c r="F11" s="21" t="str">
        <x:v>PASS</x:v>
      </x:c>
      <x:c r="G11" s="21" t="str">
        <x:v>kN.m</x:v>
      </x:c>
      <x:c r="H11" s="21" t="str">
        <x:v>F.1–F.6</x:v>
      </x:c>
      <x:c r="I11" s="21"/>
      <x:c r="J11" s="21"/>
      <x:c r="K11" s="21"/>
      <x:c r="L11" s="21"/>
    </x:row>
    <x:row r="12">
      <x:c r="A12" s="21" t="str">
        <x:v>Tròn ξcir F.9</x:v>
      </x:c>
      <x:c r="B12" s="21" t="n">
        <x:v>0.4108754644924474</x:v>
      </x:c>
      <x:c r="C12" s="21" t="n">
        <x:v>0.4108754644919473</x:v>
      </x:c>
      <x:c r="D12" s="21" t="n">
        <x:v>5.000999614424018e-13</x:v>
      </x:c>
      <x:c r="E12" s="21" t="n">
        <x:v>1e-9</x:v>
      </x:c>
      <x:c r="F12" s="21" t="str">
        <x:v>PASS</x:v>
      </x:c>
      <x:c r="G12" s="21" t="str">
        <x:v>-</x:v>
      </x:c>
      <x:c r="H12" s="21" t="str">
        <x:v>F.8–F.10</x:v>
      </x:c>
      <x:c r="I12" s="21"/>
      <x:c r="J12" s="21"/>
      <x:c r="K12" s="21"/>
      <x:c r="L12" s="21"/>
    </x:row>
    <x:row r="13">
      <x:c r="A13" s="21" t="str">
        <x:v>Tròn Mu F.7</x:v>
      </x:c>
      <x:c r="B13" s="21" t="n">
        <x:v>414.5939702926483</x:v>
      </x:c>
      <x:c r="C13" s="21" t="n">
        <x:v>414.59397029230144</x:v>
      </x:c>
      <x:c r="D13" s="21" t="n">
        <x:v>3.468585418886505e-10</x:v>
      </x:c>
      <x:c r="E13" s="21" t="n">
        <x:v>1e-8</x:v>
      </x:c>
      <x:c r="F13" s="21" t="str">
        <x:v>PASS</x:v>
      </x:c>
      <x:c r="G13" s="21" t="str">
        <x:v>kN.m</x:v>
      </x:c>
      <x:c r="H13" s="21" t="str">
        <x:v>F.7</x:v>
      </x:c>
      <x:c r="I13" s="21"/>
      <x:c r="J13" s="21"/>
      <x:c r="K13" s="21"/>
      <x:c r="L13" s="21"/>
    </x:row>
    <x:row r="14">
      <x:c r="A14" s="21" t="str">
        <x:v>Chốt tk G.1</x:v>
      </x:c>
      <x:c r="B14" s="21" t="n">
        <x:v>19.607843137254903</x:v>
      </x:c>
      <x:c r="C14" s="21" t="n">
        <x:v>19.607843137254903</x:v>
      </x:c>
      <x:c r="D14" s="21" t="n">
        <x:v>0</x:v>
      </x:c>
      <x:c r="E14" s="21" t="n">
        <x:v>1e-9</x:v>
      </x:c>
      <x:c r="F14" s="21" t="str">
        <x:v>PASS</x:v>
      </x:c>
      <x:c r="G14" s="21" t="str">
        <x:v>mm</x:v>
      </x:c>
      <x:c r="H14" s="21" t="str">
        <x:v>G.1</x:v>
      </x:c>
      <x:c r="I14" s="21"/>
      <x:c r="J14" s="21"/>
      <x:c r="K14" s="21"/>
      <x:c r="L14" s="21"/>
    </x:row>
    <x:row r="15">
      <x:c r="A15" s="21" t="str">
        <x:v>Chốt hk G.3</x:v>
      </x:c>
      <x:c r="B15" s="21" t="n">
        <x:v>119.56521739130434</x:v>
      </x:c>
      <x:c r="C15" s="21" t="n">
        <x:v>119.56521739130434</x:v>
      </x:c>
      <x:c r="D15" s="21" t="n">
        <x:v>0</x:v>
      </x:c>
      <x:c r="E15" s="21" t="n">
        <x:v>1e-9</x:v>
      </x:c>
      <x:c r="F15" s="21" t="str">
        <x:v>PASS</x:v>
      </x:c>
      <x:c r="G15" s="21" t="str">
        <x:v>mm</x:v>
      </x:c>
      <x:c r="H15" s="21" t="str">
        <x:v>G.2/G.3</x:v>
      </x:c>
      <x:c r="I15" s="21"/>
      <x:c r="J15" s="21"/>
      <x:c r="K15" s="21"/>
      <x:c r="L15" s="21"/>
    </x:row>
    <x:row r="16">
      <x:c r="A16" s="21" t="str">
        <x:v>Công xôn H.1</x:v>
      </x:c>
      <x:c r="B16" s="21" t="n">
        <x:v>603.75</x:v>
      </x:c>
      <x:c r="C16" s="21" t="n">
        <x:v>603.7499999999999</x:v>
      </x:c>
      <x:c r="D16" s="21" t="n">
        <x:v>1.1368683772161603e-13</x:v>
      </x:c>
      <x:c r="E16" s="21" t="n">
        <x:v>1e-8</x:v>
      </x:c>
      <x:c r="F16" s="21" t="str">
        <x:v>PASS</x:v>
      </x:c>
      <x:c r="G16" s="21" t="str">
        <x:v>kN</x:v>
      </x:c>
      <x:c r="H16" s="21" t="str">
        <x:v>H.1</x:v>
      </x:c>
      <x:c r="I16" s="21"/>
      <x:c r="J16" s="21"/>
      <x:c r="K16" s="21"/>
      <x:c r="L16" s="21"/>
    </x:row>
    <x:row r="17">
      <x:c r="A17" s="21" t="str">
        <x:v>Phụ lục D D.1</x:v>
      </x:c>
      <x:c r="B17" s="21" t="n">
        <x:v>0.8732142857142857</x:v>
      </x:c>
      <x:c r="C17" s="21" t="n">
        <x:v>0.8732142857142857</x:v>
      </x:c>
      <x:c r="D17" s="21" t="n">
        <x:v>0</x:v>
      </x:c>
      <x:c r="E17" s="21" t="n">
        <x:v>1e-10</x:v>
      </x:c>
      <x:c r="F17" s="21" t="str">
        <x:v>PASS</x:v>
      </x:c>
      <x:c r="G17" s="21" t="str">
        <x:v>-</x:v>
      </x:c>
      <x:c r="H17" s="21" t="str">
        <x:v>D.1–D.6</x:v>
      </x:c>
      <x:c r="I17" s="21"/>
      <x:c r="J17" s="21"/>
      <x:c r="K17" s="21"/>
      <x:c r="L17" s="21"/>
    </x:row>
    <x:row r="18">
      <x:c r="A18" s="21" t="str">
        <x:v>Phụ lục D D.7</x:v>
      </x:c>
      <x:c r="B18" s="21" t="n">
        <x:v>528.5714285714286</x:v>
      </x:c>
      <x:c r="C18" s="21" t="n">
        <x:v>528.5714285714286</x:v>
      </x:c>
      <x:c r="D18" s="21" t="n">
        <x:v>0</x:v>
      </x:c>
      <x:c r="E18" s="21" t="n">
        <x:v>1e-8</x:v>
      </x:c>
      <x:c r="F18" s="21" t="str">
        <x:v>PASS</x:v>
      </x:c>
      <x:c r="G18" s="21" t="str">
        <x:v>mm²</x:v>
      </x:c>
      <x:c r="H18" s="21" t="str">
        <x:v>D.7</x:v>
      </x:c>
      <x:c r="I18" s="21"/>
      <x:c r="J18" s="21"/>
      <x:c r="K18" s="21"/>
      <x:c r="L18" s="21"/>
    </x:row>
    <x:row r="19">
      <x:c r="A19" s="21" t="str">
        <x:v>Phụ lục L γ</x:v>
      </x:c>
      <x:c r="B19" s="21" t="n">
        <x:v>1.2</x:v>
      </x:c>
      <x:c r="C19" s="21" t="n">
        <x:v>1.2</x:v>
      </x:c>
      <x:c r="D19" s="21" t="n">
        <x:v>0</x:v>
      </x:c>
      <x:c r="E19" s="21" t="n">
        <x:v>1e-12</x:v>
      </x:c>
      <x:c r="F19" s="21" t="str">
        <x:v>PASS</x:v>
      </x:c>
      <x:c r="G19" s="21" t="str">
        <x:v>-</x:v>
      </x:c>
      <x:c r="H19" s="21" t="str">
        <x:v>L.1 3c</x:v>
      </x:c>
      <x:c r="I19" s="21"/>
      <x:c r="J19" s="21"/>
      <x:c r="K19" s="21"/>
      <x:c r="L19" s="21"/>
    </x:row>
    <x:row r="20">
      <x:c r="A20" s="21" t="str">
        <x:v>Phụ lục M generic</x:v>
      </x:c>
      <x:c r="B20" s="21" t="n">
        <x:v>40</x:v>
      </x:c>
      <x:c r="C20" s="21" t="n">
        <x:v>40</x:v>
      </x:c>
      <x:c r="D20" s="21" t="n">
        <x:v>0</x:v>
      </x:c>
      <x:c r="E20" s="21" t="n">
        <x:v>1e-10</x:v>
      </x:c>
      <x:c r="F20" s="21" t="str">
        <x:v>PASS</x:v>
      </x:c>
      <x:c r="G20" s="21" t="str">
        <x:v>mm</x:v>
      </x:c>
      <x:c r="H20" s="21" t="str">
        <x:v>M.4.1.3</x:v>
      </x:c>
      <x:c r="I20" s="21"/>
      <x:c r="J20" s="21"/>
      <x:c r="K20" s="21"/>
      <x:c r="L20" s="21"/>
    </x:row>
    <x:row r="21">
      <x:c r="A21" s="21" t="str">
        <x:v>Phụ lục M M.2</x:v>
      </x:c>
      <x:c r="B21" s="21" t="n">
        <x:v>2.40140625</x:v>
      </x:c>
      <x:c r="C21" s="21" t="n">
        <x:v>2.40140625</x:v>
      </x:c>
      <x:c r="D21" s="21" t="n">
        <x:v>0</x:v>
      </x:c>
      <x:c r="E21" s="21" t="n">
        <x:v>1e-10</x:v>
      </x:c>
      <x:c r="F21" s="21" t="str">
        <x:v>PASS</x:v>
      </x:c>
      <x:c r="G21" s="21" t="str">
        <x:v>mm</x:v>
      </x:c>
      <x:c r="H21" s="21" t="str">
        <x:v>M.2</x:v>
      </x:c>
      <x:c r="I21" s="21"/>
      <x:c r="J21" s="21"/>
      <x:c r="K21" s="21"/>
      <x:c r="L21" s="21"/>
    </x:row>
    <x:row r="22">
      <x:c r="A22" s="21" t="str">
        <x:v>Phụ lục M M.3</x:v>
      </x:c>
      <x:c r="B22" s="21" t="n">
        <x:v>12</x:v>
      </x:c>
      <x:c r="C22" s="21" t="n">
        <x:v>12</x:v>
      </x:c>
      <x:c r="D22" s="21" t="n">
        <x:v>0</x:v>
      </x:c>
      <x:c r="E22" s="21" t="n">
        <x:v>1e-10</x:v>
      </x:c>
      <x:c r="F22" s="21" t="str">
        <x:v>PASS</x:v>
      </x:c>
      <x:c r="G22" s="21" t="str">
        <x:v>mm</x:v>
      </x:c>
      <x:c r="H22" s="21" t="str">
        <x:v>M.3</x:v>
      </x:c>
      <x:c r="I22" s="21"/>
      <x:c r="J22" s="21"/>
      <x:c r="K22" s="21"/>
      <x:c r="L22" s="21"/>
    </x:row>
    <x:row r="23">
      <x:c r="A23" s="21" t="str">
        <x:v>Phụ lục M M.4</x:v>
      </x:c>
      <x:c r="B23" s="21" t="n">
        <x:v>75</x:v>
      </x:c>
      <x:c r="C23" s="21" t="n">
        <x:v>75</x:v>
      </x:c>
      <x:c r="D23" s="21" t="n">
        <x:v>0</x:v>
      </x:c>
      <x:c r="E23" s="21" t="n">
        <x:v>1e-10</x:v>
      </x:c>
      <x:c r="F23" s="21" t="str">
        <x:v>PASS</x:v>
      </x:c>
      <x:c r="G23" s="21" t="str">
        <x:v>mm</x:v>
      </x:c>
      <x:c r="H23" s="21" t="str">
        <x:v>M.4</x:v>
      </x:c>
      <x:c r="I23" s="21"/>
      <x:c r="J23" s="21"/>
      <x:c r="K23" s="21"/>
      <x:c r="L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</x:row>
    <x:row r="52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22" hidden="0" customWidth="1"/>
    <x:col min="4" max="4" width="22" hidden="0" customWidth="1"/>
    <x:col min="5" max="5" width="24" hidden="0" customWidth="1"/>
    <x:col min="6" max="6" width="24" hidden="0" customWidth="1"/>
    <x:col min="7" max="7" width="24" hidden="0" customWidth="1"/>
    <x:col min="8" max="8" width="64" hidden="0" customWidth="1"/>
  </x:cols>
  <x:sheetData>
    <x:row r="1">
      <x:c r="A1" s="20" t="str">
        <x:v>05 · REVIEW / METHOD / BLOCKED – KHÔNG ĐƯỢC GIẢ PASS</x:v>
      </x:c>
      <x:c r="B1" s="20"/>
      <x:c r="C1" s="20"/>
      <x:c r="D1" s="20"/>
      <x:c r="E1" s="20"/>
      <x:c r="F1" s="20"/>
      <x:c r="G1" s="20"/>
      <x:c r="H1" s="20"/>
      <x:c r="I1" s="21"/>
      <x:c r="J1" s="21"/>
      <x:c r="K1" s="21"/>
      <x:c r="L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>
      <x:c r="A3" s="22" t="str">
        <x:v>Tiêu chuẩn</x:v>
      </x:c>
      <x:c r="B3" s="22" t="str">
        <x:v>Module</x:v>
      </x:c>
      <x:c r="C3" s="22" t="str">
        <x:v>Trạng thái</x:v>
      </x:c>
      <x:c r="D3" s="22" t="str">
        <x:v>Được AI giải thích?</x:v>
      </x:c>
      <x:c r="E3" s="22" t="str">
        <x:v>Được tính số?</x:v>
      </x:c>
      <x:c r="F3" s="22" t="str">
        <x:v>Được Excel numeric?</x:v>
      </x:c>
      <x:c r="G3" s="22" t="str">
        <x:v>Nguồn</x:v>
      </x:c>
      <x:c r="H3" s="22" t="str">
        <x:v>Lý do</x:v>
      </x:c>
      <x:c r="I3" s="21"/>
      <x:c r="J3" s="21"/>
      <x:c r="K3" s="21"/>
      <x:c r="L3" s="21"/>
    </x:row>
    <x:row r="4">
      <x:c r="A4" s="21" t="str">
        <x:v>TCVN 10304</x:v>
      </x:c>
      <x:c r="B4" s="21" t="str">
        <x:v>Bè-cọc</x:v>
      </x:c>
      <x:c r="C4" s="21" t="str">
        <x:v>VERIFIED_METHOD</x:v>
      </x:c>
      <x:c r="D4" s="21" t="str">
        <x:v>Có</x:v>
      </x:c>
      <x:c r="E4" s="21" t="str">
        <x:v>Không đóng công thức</x:v>
      </x:c>
      <x:c r="F4" s="21" t="str">
        <x:v>Checklist/model</x:v>
      </x:c>
      <x:c r="G4" s="21" t="str">
        <x:v>7.4.5</x:v>
      </x:c>
      <x:c r="H4" s="21" t="str">
        <x:v>Tiêu chuẩn yêu cầu mô hình tương tác/số.</x:v>
      </x:c>
      <x:c r="I4" s="21"/>
      <x:c r="J4" s="21"/>
      <x:c r="K4" s="21"/>
      <x:c r="L4" s="21"/>
    </x:row>
    <x:row r="5">
      <x:c r="A5" s="21" t="str">
        <x:v>TCVN 5574</x:v>
      </x:c>
      <x:c r="B5" s="21" t="str">
        <x:v>Phụ lục D D.5</x:v>
      </x:c>
      <x:c r="C5" s="21" t="str">
        <x:v>REVIEW</x:v>
      </x:c>
      <x:c r="D5" s="21" t="str">
        <x:v>Có</x:v>
      </x:c>
      <x:c r="E5" s="21" t="str">
        <x:v>Không</x:v>
      </x:c>
      <x:c r="F5" s="21" t="str">
        <x:v>Không</x:v>
      </x:c>
      <x:c r="G5" s="21" t="str">
        <x:v>Phụ lục D</x:v>
      </x:c>
      <x:c r="H5" s="21" t="str">
        <x:v>Extraction chưa đủ rõ; Qan0 phải input provenance.</x:v>
      </x:c>
      <x:c r="I5" s="21"/>
      <x:c r="J5" s="21"/>
      <x:c r="K5" s="21"/>
      <x:c r="L5" s="21"/>
    </x:row>
    <x:row r="6">
      <x:c r="A6" s="21" t="str">
        <x:v>TCVN 5574</x:v>
      </x:c>
      <x:c r="B6" s="21" t="str">
        <x:v>Phụ lục L phần chưa số hóa</x:v>
      </x:c>
      <x:c r="C6" s="21" t="str">
        <x:v>INDEXED</x:v>
      </x:c>
      <x:c r="D6" s="21" t="str">
        <x:v>Có</x:v>
      </x:c>
      <x:c r="E6" s="21" t="str">
        <x:v>Không</x:v>
      </x:c>
      <x:c r="F6" s="21" t="str">
        <x:v>Không</x:v>
      </x:c>
      <x:c r="G6" s="21" t="str">
        <x:v>Phụ lục L</x:v>
      </x:c>
      <x:c r="H6" s="21" t="str">
        <x:v>Chỉ mục 1–3 benchmark.</x:v>
      </x:c>
      <x:c r="I6" s="21"/>
      <x:c r="J6" s="21"/>
      <x:c r="K6" s="21"/>
      <x:c r="L6" s="21"/>
    </x:row>
    <x:row r="7">
      <x:c r="A7" s="21" t="str">
        <x:v>TCVN 5574</x:v>
      </x:c>
      <x:c r="B7" s="21" t="str">
        <x:v>Phụ lục M phần ngoài branch</x:v>
      </x:c>
      <x:c r="C7" s="21" t="str">
        <x:v>INDEXED</x:v>
      </x:c>
      <x:c r="D7" s="21" t="str">
        <x:v>Có</x:v>
      </x:c>
      <x:c r="E7" s="21" t="str">
        <x:v>Không</x:v>
      </x:c>
      <x:c r="F7" s="21" t="str">
        <x:v>Không</x:v>
      </x:c>
      <x:c r="G7" s="21" t="str">
        <x:v>Phụ lục M</x:v>
      </x:c>
      <x:c r="H7" s="21" t="str">
        <x:v>Không suy đoán hàng bảng chưa đối chiếu.</x:v>
      </x:c>
      <x:c r="I7" s="21"/>
      <x:c r="J7" s="21"/>
      <x:c r="K7" s="21"/>
      <x:c r="L7" s="21"/>
    </x:row>
    <x:row r="8">
      <x:c r="A8" s="21" t="str">
        <x:v>Build</x:v>
      </x:c>
      <x:c r="B8" s="21" t="str">
        <x:v>Web/Windows</x:v>
      </x:c>
      <x:c r="C8" s="21" t="str">
        <x:v>BLOCKED</x:v>
      </x:c>
      <x:c r="D8" s="21" t="str">
        <x:v>N/A</x:v>
      </x:c>
      <x:c r="E8" s="21" t="str">
        <x:v>N/A</x:v>
      </x:c>
      <x:c r="F8" s="21" t="str">
        <x:v>N/A</x:v>
      </x:c>
      <x:c r="G8" s="21" t="str">
        <x:v>vite</x:v>
      </x:c>
      <x:c r="H8" s="21" t="str">
        <x:v>Môi trường hiện tại thiếu vite; cần runner build thực.</x:v>
      </x:c>
      <x:c r="I8" s="21"/>
      <x:c r="J8" s="21"/>
      <x:c r="K8" s="21"/>
      <x:c r="L8" s="21"/>
    </x:row>
    <x:row r="9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</x:row>
    <x:row r="52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6" hidden="0" customWidth="1"/>
    <x:col min="3" max="3" width="62" hidden="0" customWidth="1"/>
    <x:col min="4" max="4" width="24" hidden="0" customWidth="1"/>
    <x:col min="5" max="5" width="22" hidden="0" customWidth="1"/>
    <x:col min="6" max="6" width="18" hidden="0" customWidth="1"/>
    <x:col min="7" max="7" width="64" hidden="0" customWidth="1"/>
  </x:cols>
  <x:sheetData>
    <x:row r="1">
      <x:c r="A1" s="20" t="str">
        <x:v>06 · SOURCE MAP – 3 PDF GỐC</x:v>
      </x:c>
      <x:c r="B1" s="20"/>
      <x:c r="C1" s="20"/>
      <x:c r="D1" s="20"/>
      <x:c r="E1" s="20"/>
      <x:c r="F1" s="20"/>
      <x:c r="G1" s="20"/>
      <x:c r="H1" s="21"/>
      <x:c r="I1" s="21"/>
      <x:c r="J1" s="21"/>
      <x:c r="K1" s="21"/>
      <x:c r="L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>
      <x:c r="A3" s="22" t="str">
        <x:v>Tiêu chuẩn</x:v>
      </x:c>
      <x:c r="B3" s="22" t="str">
        <x:v>Nguồn PDF</x:v>
      </x:c>
      <x:c r="C3" s="22" t="str">
        <x:v>Phạm vi audit</x:v>
      </x:c>
      <x:c r="D3" s="22" t="str">
        <x:v>Trang chuẩn chính</x:v>
      </x:c>
      <x:c r="E3" s="22" t="str">
        <x:v>Trang PDF</x:v>
      </x:c>
      <x:c r="F3" s="22" t="str">
        <x:v>Trạng thái</x:v>
      </x:c>
      <x:c r="G3" s="22" t="str">
        <x:v>Ghi chú</x:v>
      </x:c>
      <x:c r="H3" s="21"/>
      <x:c r="I3" s="21"/>
      <x:c r="J3" s="21"/>
      <x:c r="K3" s="21"/>
      <x:c r="L3" s="21"/>
    </x:row>
    <x:row r="4">
      <x:c r="A4" s="21" t="str">
        <x:v>TCVN 7888:2014</x:v>
      </x:c>
      <x:c r="B4" s="21" t="str">
        <x:v>tcvn-7888-2014-coc-be-tong-ly-tam-ust.pdf</x:v>
      </x:c>
      <x:c r="C4" s="21" t="str">
        <x:v>Điều 3/4/6; Bảng1/2; Phụ lục B</x:v>
      </x:c>
      <x:c r="D4" s="21" t="str">
        <x:v>6–12;32–33</x:v>
      </x:c>
      <x:c r="E4" s="21" t="str">
        <x:v>6–12;32–33</x:v>
      </x:c>
      <x:c r="F4" s="21" t="str">
        <x:v>AUDITED</x:v>
      </x:c>
      <x:c r="G4" s="21" t="str">
        <x:v>PDF 36 trang, trang chuẩn khớp PDF ở vùng dùng.</x:v>
      </x:c>
      <x:c r="H4" s="21"/>
      <x:c r="I4" s="21"/>
      <x:c r="J4" s="21"/>
      <x:c r="K4" s="21"/>
      <x:c r="L4" s="21"/>
    </x:row>
    <x:row r="5">
      <x:c r="A5" s="21" t="str">
        <x:v>TCVN 10304:2025</x:v>
      </x:c>
      <x:c r="B5" s="21" t="str">
        <x:v>TCVN 10304:2025 PDF</x:v>
      </x:c>
      <x:c r="C5" s="21" t="str">
        <x:v>Toàn workflow registry numeric + method</x:v>
      </x:c>
      <x:c r="D5" s="21" t="str">
        <x:v>28–69; phụ lục D</x:v>
      </x:c>
      <x:c r="E5" s="21" t="str">
        <x:v>28–69;110–111</x:v>
      </x:c>
      <x:c r="F5" s="21" t="str">
        <x:v>AUDITED</x:v>
      </x:c>
      <x:c r="G5" s="21" t="str">
        <x:v>Bè-cọc giữ METHOD.</x:v>
      </x:c>
      <x:c r="H5" s="21"/>
      <x:c r="I5" s="21"/>
      <x:c r="J5" s="21"/>
      <x:c r="K5" s="21"/>
      <x:c r="L5" s="21"/>
    </x:row>
    <x:row r="6">
      <x:c r="A6" s="21" t="str">
        <x:v>TCVN 5574:2018</x:v>
      </x:c>
      <x:c r="B6" s="21" t="str">
        <x:v>TCVN 5574:2018 PDF</x:v>
      </x:c>
      <x:c r="C6" s="21" t="str">
        <x:v>Material → Annex D/L/M branches</x:v>
      </x:c>
      <x:c r="D6" s="21" t="str">
        <x:v>33–190</x:v>
      </x:c>
      <x:c r="E6" s="21" t="str">
        <x:v>31–188</x:v>
      </x:c>
      <x:c r="F6" s="21" t="str">
        <x:v>AUDITED</x:v>
      </x:c>
      <x:c r="G6" s="21" t="str">
        <x:v>Trang chuẩn/PDF có offset, provenance phải giữ riêng.</x:v>
      </x:c>
      <x:c r="H6" s="21"/>
      <x:c r="I6" s="21"/>
      <x:c r="J6" s="21"/>
      <x:c r="K6" s="21"/>
      <x:c r="L6" s="21"/>
    </x:row>
    <x:row r="7">
      <x:c r="A7" s="21"/>
      <x:c r="B7" s="21"/>
      <x:c r="C7" s="21"/>
      <x:c r="D7" s="21"/>
      <x:c r="E7" s="21"/>
      <x:c r="F7" s="21"/>
      <x:c r="G7" s="21"/>
      <x:c r="H7" s="21"/>
      <x:c r="I7" s="21"/>
      <x:c r="J7" s="21"/>
      <x:c r="K7" s="21"/>
      <x:c r="L7" s="21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1"/>
    </x:row>
    <x:row r="9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</x:row>
    <x:row r="52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</x:row>
  </x:sheetData>
  <x:mergeCells>
    <x:mergeCell ref="A1:G1"/>
  </x:mergeCells>
  <x:pageMargins left="0.7" right="0.7" top="0.75" bottom="0.75" header="0.3" footer="0.3"/>
</x:worksheet>
</file>