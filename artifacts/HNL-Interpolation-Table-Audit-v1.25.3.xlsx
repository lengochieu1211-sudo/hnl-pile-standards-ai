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3281f3f6c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ỔNG_HỢP" sheetId="1" r:id="R23e39d71b4dc4eb7"/>
    <x:sheet xmlns:r="http://schemas.openxmlformats.org/officeDocument/2006/relationships" name="01_BẢNG_2_3" sheetId="2" r:id="R7b1be7c12eac4b88"/>
    <x:sheet xmlns:r="http://schemas.openxmlformats.org/officeDocument/2006/relationships" name="02_BẢNG_7_8" sheetId="3" r:id="R0d9e37adca1d443d"/>
    <x:sheet xmlns:r="http://schemas.openxmlformats.org/officeDocument/2006/relationships" name="03_BẢNG_12_15_16_17" sheetId="4" r:id="R6b911786d89346f1"/>
    <x:sheet xmlns:r="http://schemas.openxmlformats.org/officeDocument/2006/relationships" name="04_TCVN5574" sheetId="5" r:id="R76d014aa675345d8"/>
    <x:sheet xmlns:r="http://schemas.openxmlformats.org/officeDocument/2006/relationships" name="90_KẾT_LUẬN" sheetId="6" r:id="Refd6f8e78361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2F2F2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b145c5b894bd0" /><Relationship Type="http://schemas.openxmlformats.org/officeDocument/2006/relationships/theme" Target="/xl/theme/theme1.xml" Id="R3c4ad11bcb8e438c" /><Relationship Type="http://schemas.openxmlformats.org/officeDocument/2006/relationships/sharedStrings" Target="/xl/sharedStrings.xml" Id="Rba1033ba96634003" /><Relationship Type="http://schemas.openxmlformats.org/officeDocument/2006/relationships/worksheet" Target="/xl/worksheets/sheet1.xml" Id="R23e39d71b4dc4eb7" /><Relationship Type="http://schemas.openxmlformats.org/officeDocument/2006/relationships/worksheet" Target="/xl/worksheets/sheet2.xml" Id="R7b1be7c12eac4b88" /><Relationship Type="http://schemas.openxmlformats.org/officeDocument/2006/relationships/worksheet" Target="/xl/worksheets/sheet3.xml" Id="R0d9e37adca1d443d" /><Relationship Type="http://schemas.openxmlformats.org/officeDocument/2006/relationships/worksheet" Target="/xl/worksheets/sheet4.xml" Id="R6b911786d89346f1" /><Relationship Type="http://schemas.openxmlformats.org/officeDocument/2006/relationships/worksheet" Target="/xl/worksheets/sheet5.xml" Id="R76d014aa675345d8" /><Relationship Type="http://schemas.openxmlformats.org/officeDocument/2006/relationships/worksheet" Target="/xl/worksheets/sheet6.xml" Id="Refd6f8e7836144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abd7ff249443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Bảng 2 – hai đường bao dùng cho nội suy</a:t>
            </a:r>
          </a:p>
        </c:rich>
      </c:tx>
    </c:title>
    <c:plotArea>
      <c:lineChart>
        <c:grouping val="standard"/>
        <c:ser>
          <c:idx val="0"/>
          <c:order val="0"/>
          <c:tx>
            <c:v>q_b IL=0,3</c:v>
          </c:tx>
          <c:marker>
            <c:symbol val="none"/>
          </c:marker>
          <c:cat>
            <c:strRef>
              <c:f>'01_BẢNG_2_3'!$N$4:$N$5</c:f>
              <c:strCache>
                <c:ptCount val="0"/>
              </c:strCache>
            </c:strRef>
          </c:cat>
          <c:val>
            <c:numRef>
              <c:f>'01_BẢNG_2_3'!$O$4:$O$5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q_b IL=0,4</c:v>
          </c:tx>
          <c:marker>
            <c:symbol val="none"/>
          </c:marker>
          <c:cat>
            <c:strRef>
              <c:f>'01_BẢNG_2_3'!$N$4:$N$5</c:f>
              <c:strCache>
                <c:ptCount val="0"/>
              </c:strCache>
            </c:strRef>
          </c:cat>
          <c:val>
            <c:numRef>
              <c:f>'01_BẢNG_2_3'!$P$4:$P$5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6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abd7ff2494436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f6c7642399c464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20" hidden="0" customWidth="1"/>
    <x:col min="5" max="5" width="32" hidden="0" customWidth="1"/>
    <x:col min="6" max="6" width="45" hidden="0" customWidth="1"/>
    <x:col min="7" max="7" width="20" hidden="0" customWidth="1"/>
    <x:col min="8" max="8" width="20" hidden="0" customWidth="1"/>
    <x:col min="9" max="9" width="42" hidden="0" customWidth="1"/>
    <x:col min="10" max="10" width="14" hidden="0" customWidth="1"/>
  </x:cols>
  <x:sheetData>
    <x:row r="1" ht="30" customHeight="1">
      <x:c r="A1" s="36" t="str">
        <x:v>HNL v1.25.3 · INTERPOLATION &amp; TABLE AUDIT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8" t="str">
        <x:v>Bảng</x:v>
      </x:c>
      <x:c r="B3" s="38" t="str">
        <x:v>Thông số</x:v>
      </x:c>
      <x:c r="C3" s="38" t="str">
        <x:v>Chính sách</x:v>
      </x:c>
      <x:c r="D3" s="38" t="str">
        <x:v>Trục nội suy</x:v>
      </x:c>
      <x:c r="E3" s="38" t="str">
        <x:v>Biên được phép</x:v>
      </x:c>
      <x:c r="F3" s="38" t="str">
        <x:v>Ngoài biên / ô trống</x:v>
      </x:c>
      <x:c r="G3" s="38" t="str">
        <x:v>HNL Engine</x:v>
      </x:c>
      <x:c r="H3" s="38" t="str">
        <x:v>Excel</x:v>
      </x:c>
      <x:c r="I3" s="38" t="str">
        <x:v>Nguồn</x:v>
      </x:c>
      <x:c r="J3" s="38" t="str">
        <x:v>Kết luận</x:v>
      </x:c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 t="str">
        <x:v>Bảng 2</x:v>
      </x:c>
      <x:c r="B4" s="37" t="str">
        <x:v>q_b cọc đóng/ép</x:v>
      </x:c>
      <x:c r="C4" s="37" t="str">
        <x:v>LINEAR-1D / BILINEAR-2D</x:v>
      </x:c>
      <x:c r="D4" s="37" t="str">
        <x:v>z + IL</x:v>
      </x:c>
      <x:c r="E4" s="37" t="str">
        <x:v>z&gt;40 → hàng 40</x:v>
      </x:c>
      <x:c r="F4" s="37" t="str">
        <x:v>z&lt;3; IL&lt;0 hoặc &gt;0,6 → BLOCK</x:v>
      </x:c>
      <x:c r="G4" s="37" t="str">
        <x:v>Đã đồng bộ</x:v>
      </x:c>
      <x:c r="H4" s="37" t="str">
        <x:v>Đã đồng bộ</x:v>
      </x:c>
      <x:c r="I4" s="37" t="str">
        <x:v>TCVN 10304:2025 · tr.32–33 · Chú thích 1,4</x:v>
      </x:c>
      <x:c r="J4" s="39" t="str">
        <x:v>PASS</x:v>
      </x:c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Bảng 3</x:v>
      </x:c>
      <x:c r="B5" s="37" t="str">
        <x:v>f_i thân cọc</x:v>
      </x:c>
      <x:c r="C5" s="37" t="str">
        <x:v>LINEAR-1D / BILINEAR-2D</x:v>
      </x:c>
      <x:c r="D5" s="37" t="str">
        <x:v>z_tb + IL</x:v>
      </x:c>
      <x:c r="E5" s="37" t="str">
        <x:v>IL≤0,2 → cột ≤0,2</x:v>
      </x:c>
      <x:c r="F5" s="37" t="str">
        <x:v>z ngoài 1–40; IL&gt;1 → BLOCK</x:v>
      </x:c>
      <x:c r="G5" s="37" t="str">
        <x:v>Đã đồng bộ</x:v>
      </x:c>
      <x:c r="H5" s="37" t="str">
        <x:v>Đã đồng bộ</x:v>
      </x:c>
      <x:c r="I5" s="37" t="str">
        <x:v>tr.33–34 · Chú thích 2 + Chú thích 4 Bảng 2</x:v>
      </x:c>
      <x:c r="J5" s="39" t="str">
        <x:v>PASS</x:v>
      </x:c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Bảng 4</x:v>
      </x:c>
      <x:c r="B6" s="37" t="str">
        <x:v>γR,R; γR,f</x:v>
      </x:c>
      <x:c r="C6" s="37" t="str">
        <x:v>DISCRETE</x:v>
      </x:c>
      <x:c r="D6" s="37" t="str">
        <x:v>Phương pháp + loại đất</x:v>
      </x:c>
      <x:c r="E6" s="37" t="str">
        <x:v>Không</x:v>
      </x:c>
      <x:c r="F6" s="37" t="str">
        <x:v>Không nội suy</x:v>
      </x:c>
      <x:c r="G6" s="37" t="str">
        <x:v>Đã đồng bộ</x:v>
      </x:c>
      <x:c r="H6" s="37" t="str">
        <x:v>Đã đồng bộ</x:v>
      </x:c>
      <x:c r="I6" s="37" t="str">
        <x:v>tr.34–35</x:v>
      </x:c>
      <x:c r="J6" s="39" t="str">
        <x:v>PASS</x:v>
      </x:c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Bảng 6</x:v>
      </x:c>
      <x:c r="B7" s="37" t="str">
        <x:v>γR,f cọc khoan</x:v>
      </x:c>
      <x:c r="C7" s="37" t="str">
        <x:v>DISCRETE</x:v>
      </x:c>
      <x:c r="D7" s="37" t="str">
        <x:v>Phương pháp thi công + nhóm đất</x:v>
      </x:c>
      <x:c r="E7" s="37" t="str">
        <x:v>Không</x:v>
      </x:c>
      <x:c r="F7" s="37" t="str">
        <x:v>Không nội suy</x:v>
      </x:c>
      <x:c r="G7" s="37" t="str">
        <x:v>Đã đồng bộ policy</x:v>
      </x:c>
      <x:c r="H7" s="37" t="str">
        <x:v>Đã đồng bộ policy</x:v>
      </x:c>
      <x:c r="I7" s="37" t="str">
        <x:v>tr.39</x:v>
      </x:c>
      <x:c r="J7" s="39" t="str">
        <x:v>PASS</x:v>
      </x:c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Bảng 7</x:v>
      </x:c>
      <x:c r="B8" s="37" t="str">
        <x:v>α1…α4</x:v>
      </x:c>
      <x:c r="C8" s="37" t="str">
        <x:v>1D / BILINEAR-2D</x:v>
      </x:c>
      <x:c r="D8" s="37" t="str">
        <x:v>φ; h/d; d</x:v>
      </x:c>
      <x:c r="E8" s="37" t="str">
        <x:v>h/d≥25; d≤0,8 theo hàng biên</x:v>
      </x:c>
      <x:c r="F8" s="37" t="str">
        <x:v>φ ngoài 23–39; h/d&lt;4; d&gt;4 → BLOCK</x:v>
      </x:c>
      <x:c r="G8" s="37" t="str">
        <x:v>Đã đồng bộ</x:v>
      </x:c>
      <x:c r="H8" s="37" t="str">
        <x:v>Đã đồng bộ</x:v>
      </x:c>
      <x:c r="I8" s="37" t="str">
        <x:v>tr.41 · Chú thích 2</x:v>
      </x:c>
      <x:c r="J8" s="39" t="str">
        <x:v>PASS</x:v>
      </x:c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Bảng 8</x:v>
      </x:c>
      <x:c r="B9" s="37" t="str">
        <x:v>q_b cọc khoan trong sét</x:v>
      </x:c>
      <x:c r="C9" s="37" t="str">
        <x:v>BILINEAR-2D</x:v>
      </x:c>
      <x:c r="D9" s="37" t="str">
        <x:v>z + IL</x:v>
      </x:c>
      <x:c r="E9" s="37" t="str">
        <x:v>z≥40 → hàng ≥40</x:v>
      </x:c>
      <x:c r="F9" s="37" t="str">
        <x:v>z&lt;3; IL ngoài 0–0,6; ô “–” → BLOCK</x:v>
      </x:c>
      <x:c r="G9" s="37" t="str">
        <x:v>Đã đồng bộ</x:v>
      </x:c>
      <x:c r="H9" s="37" t="str">
        <x:v>Đã đồng bộ</x:v>
      </x:c>
      <x:c r="I9" s="37" t="str">
        <x:v>tr.41–42 · Chú thích 2</x:v>
      </x:c>
      <x:c r="J9" s="39" t="str">
        <x:v>PASS</x:v>
      </x:c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Bảng 12</x:v>
      </x:c>
      <x:c r="B10" s="37" t="str">
        <x:v>M thử động</x:v>
      </x:c>
      <x:c r="C10" s="37" t="str">
        <x:v>DISCRETE</x:v>
      </x:c>
      <x:c r="D10" s="37" t="str">
        <x:v>Loại đất</x:v>
      </x:c>
      <x:c r="E10" s="37" t="str">
        <x:v>Cát chặt hàng 2–4 ×1,6</x:v>
      </x:c>
      <x:c r="F10" s="37" t="str">
        <x:v>Không nội suy</x:v>
      </x:c>
      <x:c r="G10" s="37" t="str">
        <x:v>Đã đồng bộ</x:v>
      </x:c>
      <x:c r="H10" s="37" t="str">
        <x:v>Input/tra rời rạc</x:v>
      </x:c>
      <x:c r="I10" s="37" t="str">
        <x:v>tr.54 · Chú thích</x:v>
      </x:c>
      <x:c r="J10" s="39" t="str">
        <x:v>PASS</x:v>
      </x:c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Bảng 15</x:v>
      </x:c>
      <x:c r="B11" s="37" t="str">
        <x:v>β1, β2, βi CPT</x:v>
      </x:c>
      <x:c r="C11" s="37" t="str">
        <x:v>EXACT / EDGE-BAND</x:v>
      </x:c>
      <x:c r="D11" s="37" t="str">
        <x:v>q_s hoặc f_s</x:v>
      </x:c>
      <x:c r="E11" s="37" t="str">
        <x:v>Chỉ mốc có dấu ≤ / ≥</x:v>
      </x:c>
      <x:c r="F11" s="37" t="str">
        <x:v>Mốc giữa → BLOCK, yêu cầu override có nguồn</x:v>
      </x:c>
      <x:c r="G11" s="37" t="str">
        <x:v>Đã đồng bộ</x:v>
      </x:c>
      <x:c r="H11" s="37" t="str">
        <x:v>Đã đồng bộ</x:v>
      </x:c>
      <x:c r="I11" s="37" t="str">
        <x:v>tr.57 · không có chú thích nội suy</x:v>
      </x:c>
      <x:c r="J11" s="39" t="str">
        <x:v>PASS</x:v>
      </x:c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Bảng 16</x:v>
      </x:c>
      <x:c r="B12" s="37" t="str">
        <x:v>q_b, f_i theo q_c</x:v>
      </x:c>
      <x:c r="C12" s="37" t="str">
        <x:v>LINEAR-1D</x:v>
      </x:c>
      <x:c r="D12" s="37" t="str">
        <x:v>q_c</x:v>
      </x:c>
      <x:c r="E12" s="37" t="str">
        <x:v>Không</x:v>
      </x:c>
      <x:c r="F12" s="37" t="str">
        <x:v>Không qua ô “–”; không ngoại suy</x:v>
      </x:c>
      <x:c r="G12" s="37" t="str">
        <x:v>Đã đồng bộ</x:v>
      </x:c>
      <x:c r="H12" s="37" t="str">
        <x:v>Đã đồng bộ</x:v>
      </x:c>
      <x:c r="I12" s="37" t="str">
        <x:v>tr.58 · Chú thích 1</x:v>
      </x:c>
      <x:c r="J12" s="39" t="str">
        <x:v>PASS</x:v>
      </x:c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Bảng 17</x:v>
      </x:c>
      <x:c r="B13" s="37" t="str">
        <x:v>k_v, ζ0, m_v</x:v>
      </x:c>
      <x:c r="C13" s="37" t="str">
        <x:v>FORMULA + LINEAR-1D</x:v>
      </x:c>
      <x:c r="D13" s="37" t="str">
        <x:v>ν</x:v>
      </x:c>
      <x:c r="E13" s="37" t="str">
        <x:v>ν=0,5: ζ0=0,25</x:v>
      </x:c>
      <x:c r="F13" s="37" t="str">
        <x:v>ν ngoài 0–0,5 → BLOCK</x:v>
      </x:c>
      <x:c r="G13" s="37" t="str">
        <x:v>Đã đồng bộ</x:v>
      </x:c>
      <x:c r="H13" s="37" t="str">
        <x:v>Đã đồng bộ</x:v>
      </x:c>
      <x:c r="I13" s="37" t="str">
        <x:v>tr.60 · CT (33),(34)</x:v>
      </x:c>
      <x:c r="J13" s="39" t="str">
        <x:v>PASS</x:v>
      </x:c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mergeCells>
    <x:mergeCell ref="A1:J1"/>
  </x:mergeCells>
  <x:conditionalFormatting sqref="C4:C13">
    <x:cfRule type="expression" dxfId="0" priority="1">
      <x:formula>C4="DISCRETE"</x:formula>
    </x:cfRule>
    <x:cfRule type="expression" dxfId="1" priority="2">
      <x:formula>ISNUMBER(SEARCH("BILINEAR",C4))</x:formula>
    </x:cfRule>
    <x:cfRule type="expression" dxfId="2" priority="3">
      <x:formula>ISNUMBER(SEARCH("LINEAR",C4))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</x:cols>
  <x:sheetData>
    <x:row r="1" ht="30" customHeight="1">
      <x:c r="A1" s="36" t="str">
        <x:v>TCVN 10304:2025 · BẢNG 2 &amp; 3 · NỘI SUY + PHÂN ĐOẠN ≤2 m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8" t="str">
        <x:v>Case</x:v>
      </x:c>
      <x:c r="B3" s="38" t="str">
        <x:v>z / ztb</x:v>
      </x:c>
      <x:c r="C3" s="38" t="str">
        <x:v>IL</x:v>
      </x:c>
      <x:c r="D3" s="38" t="str">
        <x:v>Mốc z1</x:v>
      </x:c>
      <x:c r="E3" s="38" t="str">
        <x:v>Mốc z2</x:v>
      </x:c>
      <x:c r="F3" s="38" t="str">
        <x:v>Mốc IL1</x:v>
      </x:c>
      <x:c r="G3" s="38" t="str">
        <x:v>Mốc IL2</x:v>
      </x:c>
      <x:c r="H3" s="38" t="str">
        <x:v>Y11</x:v>
      </x:c>
      <x:c r="I3" s="38" t="str">
        <x:v>Y12</x:v>
      </x:c>
      <x:c r="J3" s="38" t="str">
        <x:v>Y21</x:v>
      </x:c>
      <x:c r="K3" s="38" t="str">
        <x:v>Y22</x:v>
      </x:c>
      <x:c r="L3" s="38" t="str">
        <x:v>Kết quả</x:v>
      </x:c>
      <x:c r="M3" s="37"/>
      <x:c r="N3" s="38" t="str">
        <x:v>Độ sâu</x:v>
      </x:c>
      <x:c r="O3" s="38" t="str">
        <x:v>q_b IL=0,3</x:v>
      </x:c>
      <x:c r="P3" s="38" t="str">
        <x:v>q_b IL=0,4</x:v>
      </x:c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 t="str">
        <x:v>B2 q_b – bilinear</x:v>
      </x:c>
      <x:c r="B4" s="48" t="n">
        <x:v>12</x:v>
      </x:c>
      <x:c r="C4" s="48" t="n">
        <x:v>0.35</x:v>
      </x:c>
      <x:c r="D4" s="37" t="n">
        <x:v>10</x:v>
      </x:c>
      <x:c r="E4" s="37" t="n">
        <x:v>15</x:v>
      </x:c>
      <x:c r="F4" s="37" t="n">
        <x:v>0.3</x:v>
      </x:c>
      <x:c r="G4" s="37" t="n">
        <x:v>0.4</x:v>
      </x:c>
      <x:c r="H4" s="37" t="n">
        <x:v>3500</x:v>
      </x:c>
      <x:c r="I4" s="37" t="n">
        <x:v>2400</x:v>
      </x:c>
      <x:c r="J4" s="37" t="n">
        <x:v>4000</x:v>
      </x:c>
      <x:c r="K4" s="37" t="n">
        <x:v>2900</x:v>
      </x:c>
      <x:c r="L4" s="49" t="n">
        <x:f>((H4+(C4-F4)*(I4-H4)/(G4-F4))+(B4-D4)/(E4-D4)*((J4+(C4-F4)*(K4-J4)/(G4-F4))-(H4+(C4-F4)*(I4-H4)/(G4-F4))))</x:f>
        <x:v>3150.0000000000005</x:v>
      </x:c>
      <x:c r="M4" s="37"/>
      <x:c r="N4" s="37" t="n">
        <x:v>10</x:v>
      </x:c>
      <x:c r="O4" s="37" t="n">
        <x:v>3500</x:v>
      </x:c>
      <x:c r="P4" s="37" t="n">
        <x:v>2400</x:v>
      </x:c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B3 f_i – z linear</x:v>
      </x:c>
      <x:c r="B5" s="48" t="n">
        <x:v>2.5</x:v>
      </x:c>
      <x:c r="C5" s="48" t="n">
        <x:v>0.7</x:v>
      </x:c>
      <x:c r="D5" s="37" t="n">
        <x:v>2</x:v>
      </x:c>
      <x:c r="E5" s="37" t="n">
        <x:v>3</x:v>
      </x:c>
      <x:c r="F5" s="37" t="n">
        <x:v>0.7</x:v>
      </x:c>
      <x:c r="G5" s="37" t="n">
        <x:v>0.7</x:v>
      </x:c>
      <x:c r="H5" s="37" t="n">
        <x:v>7</x:v>
      </x:c>
      <x:c r="I5" s="37" t="n">
        <x:v>7</x:v>
      </x:c>
      <x:c r="J5" s="37" t="n">
        <x:v>8</x:v>
      </x:c>
      <x:c r="K5" s="37" t="n">
        <x:v>8</x:v>
      </x:c>
      <x:c r="L5" s="49" t="n">
        <x:f>H5+(B5-D5)*(J5-H5)/(E5-D5)</x:f>
        <x:v>7.5</x:v>
      </x:c>
      <x:c r="M5" s="37"/>
      <x:c r="N5" s="37" t="n">
        <x:v>15</x:v>
      </x:c>
      <x:c r="O5" s="37" t="n">
        <x:v>4000</x:v>
      </x:c>
      <x:c r="P5" s="37" t="n">
        <x:v>2900</x:v>
      </x:c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8" t="str">
        <x:v>Lớp gốc</x:v>
      </x:c>
      <x:c r="B8" s="38" t="str">
        <x:v>Từ</x:v>
      </x:c>
      <x:c r="C8" s="38" t="str">
        <x:v>Đến</x:v>
      </x:c>
      <x:c r="D8" s="38" t="str">
        <x:v>IL</x:v>
      </x:c>
      <x:c r="E8" s="38" t="str">
        <x:v>Phân đoạn</x:v>
      </x:c>
      <x:c r="F8" s="38" t="str">
        <x:v>Từ</x:v>
      </x:c>
      <x:c r="G8" s="38" t="str">
        <x:v>Đến</x:v>
      </x:c>
      <x:c r="H8" s="38" t="str">
        <x:v>h≤2m</x:v>
      </x:c>
      <x:c r="I8" s="37"/>
      <x:c r="J8" s="38" t="str">
        <x:v>Kiểm tra</x:v>
      </x:c>
      <x:c r="K8" s="38" t="str">
        <x:v>Giá trị</x:v>
      </x:c>
      <x:c r="L8" s="38" t="str">
        <x:v>Trạng thái</x:v>
      </x:c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Lớp 1</x:v>
      </x:c>
      <x:c r="B9" s="37" t="n">
        <x:v>0</x:v>
      </x:c>
      <x:c r="C9" s="37" t="n">
        <x:v>3</x:v>
      </x:c>
      <x:c r="D9" s="37" t="n">
        <x:v>0.7</x:v>
      </x:c>
      <x:c r="E9" s="37" t="str">
        <x:v>1.1</x:v>
      </x:c>
      <x:c r="F9" s="37" t="n">
        <x:v>0</x:v>
      </x:c>
      <x:c r="G9" s="37" t="n">
        <x:v>2</x:v>
      </x:c>
      <x:c r="H9" s="37" t="n">
        <x:v>2</x:v>
      </x:c>
      <x:c r="I9" s="37"/>
      <x:c r="J9" s="37" t="str">
        <x:v>B2 z=12, IL=0,35 – HNL</x:v>
      </x:c>
      <x:c r="K9" s="37" t="n">
        <x:v>3150</x:v>
      </x:c>
      <x:c r="L9" s="39" t="str">
        <x:f>IF(ABS(K9-L4)&lt;1E-9,"PASS","FAIL")</x:f>
        <x:v>PASS</x:v>
      </x:c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Lớp 2</x:v>
      </x:c>
      <x:c r="B10" s="37" t="n">
        <x:v>3</x:v>
      </x:c>
      <x:c r="C10" s="37" t="n">
        <x:v>8</x:v>
      </x:c>
      <x:c r="D10" s="37" t="n">
        <x:v>0.5</x:v>
      </x:c>
      <x:c r="E10" s="37" t="str">
        <x:v>1.2</x:v>
      </x:c>
      <x:c r="F10" s="37" t="n">
        <x:v>2</x:v>
      </x:c>
      <x:c r="G10" s="37" t="n">
        <x:v>3</x:v>
      </x:c>
      <x:c r="H10" s="37" t="n">
        <x:v>1</x:v>
      </x:c>
      <x:c r="I10" s="37"/>
      <x:c r="J10" s="37" t="str">
        <x:v>B3 ztb=2,5, IL=0,7 – HNL</x:v>
      </x:c>
      <x:c r="K10" s="37" t="n">
        <x:v>7.5</x:v>
      </x:c>
      <x:c r="L10" s="39" t="str">
        <x:f>IF(ABS(K10-L5)&lt;1E-9,"PASS","FAIL")</x:f>
        <x:v>PASS</x:v>
      </x:c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Lớp 3</x:v>
      </x:c>
      <x:c r="B11" s="37" t="n">
        <x:v>8</x:v>
      </x:c>
      <x:c r="C11" s="37" t="n">
        <x:v>15</x:v>
      </x:c>
      <x:c r="D11" s="37" t="n">
        <x:v>0.3</x:v>
      </x:c>
      <x:c r="E11" s="37" t="str">
        <x:v>2.1</x:v>
      </x:c>
      <x:c r="F11" s="37" t="n">
        <x:v>3</x:v>
      </x:c>
      <x:c r="G11" s="37" t="n">
        <x:v>5</x:v>
      </x:c>
      <x:c r="H11" s="37" t="n">
        <x:v>2</x:v>
      </x:c>
      <x:c r="I11" s="37"/>
      <x:c r="J11" s="37" t="str">
        <x:v>Số đoạn đến z=12</x:v>
      </x:c>
      <x:c r="K11" s="37" t="n">
        <x:v>7</x:v>
      </x:c>
      <x:c r="L11" s="39" t="str">
        <x:v>PASS</x:v>
      </x:c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/>
      <x:c r="E12" s="37" t="str">
        <x:v>2.2</x:v>
      </x:c>
      <x:c r="F12" s="37" t="n">
        <x:v>5</x:v>
      </x:c>
      <x:c r="G12" s="37" t="n">
        <x:v>7</x:v>
      </x:c>
      <x:c r="H12" s="37" t="n">
        <x:v>2</x:v>
      </x:c>
      <x:c r="I12" s="37"/>
      <x:c r="J12" s="37" t="str">
        <x:v>Tổng chiều dài phân đoạn</x:v>
      </x:c>
      <x:c r="K12" s="37" t="n">
        <x:v>12</x:v>
      </x:c>
      <x:c r="L12" s="39" t="str">
        <x:v>PASS</x:v>
      </x:c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 t="str">
        <x:v>2.3</x:v>
      </x:c>
      <x:c r="F13" s="37" t="n">
        <x:v>7</x:v>
      </x:c>
      <x:c r="G13" s="37" t="n">
        <x:v>8</x:v>
      </x:c>
      <x:c r="H13" s="37" t="n">
        <x:v>1</x:v>
      </x:c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 t="str">
        <x:v>3.1</x:v>
      </x:c>
      <x:c r="F14" s="37" t="n">
        <x:v>8</x:v>
      </x:c>
      <x:c r="G14" s="37" t="n">
        <x:v>10</x:v>
      </x:c>
      <x:c r="H14" s="37" t="n">
        <x:v>2</x:v>
      </x:c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 t="str">
        <x:v>3.2</x:v>
      </x:c>
      <x:c r="F15" s="37" t="n">
        <x:v>10</x:v>
      </x:c>
      <x:c r="G15" s="37" t="n">
        <x:v>12</x:v>
      </x:c>
      <x:c r="H15" s="37" t="n">
        <x:v>2</x:v>
      </x:c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mergeCells>
    <x:mergeCell ref="A1:L1"/>
  </x:mergeCells>
  <x:conditionalFormatting sqref="H9:H15">
    <x:cfRule type="cellIs" dxfId="3" priority="1" operator="greaterThan">
      <x:formula>2</x:formula>
    </x:cfRule>
  </x:conditionalFormatting>
  <x:pageMargins left="0.7" right="0.7" top="0.75" bottom="0.75" header="0.3" footer="0.3"/>
  <x:drawing xmlns:r="http://schemas.openxmlformats.org/officeDocument/2006/relationships" r:id="R9f6c7642399c464e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</x:cols>
  <x:sheetData>
    <x:row r="1" ht="30" customHeight="1">
      <x:c r="A1" s="36" t="str">
        <x:v>TCVN 10304:2025 · BẢNG 7 &amp; 8 · NỘI SUY 1D / SONG TUYẾN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8" t="str">
        <x:v>Bảng</x:v>
      </x:c>
      <x:c r="B3" s="38" t="str">
        <x:v>Tham số</x:v>
      </x:c>
      <x:c r="C3" s="38" t="str">
        <x:v>x</x:v>
      </x:c>
      <x:c r="D3" s="38" t="str">
        <x:v>y</x:v>
      </x:c>
      <x:c r="E3" s="38" t="str">
        <x:v>x1</x:v>
      </x:c>
      <x:c r="F3" s="38" t="str">
        <x:v>x2</x:v>
      </x:c>
      <x:c r="G3" s="38" t="str">
        <x:v>y1</x:v>
      </x:c>
      <x:c r="H3" s="38" t="str">
        <x:v>y2</x:v>
      </x:c>
      <x:c r="I3" s="38" t="str">
        <x:v>Giá trị dưới</x:v>
      </x:c>
      <x:c r="J3" s="38" t="str">
        <x:v>Giá trị trên</x:v>
      </x:c>
      <x:c r="K3" s="38" t="str">
        <x:v>Kết quả HNL</x:v>
      </x:c>
      <x:c r="L3" s="38" t="str">
        <x:v>Kết quả Excel</x:v>
      </x:c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 t="str">
        <x:v>7</x:v>
      </x:c>
      <x:c r="B4" s="37" t="str">
        <x:v>α1</x:v>
      </x:c>
      <x:c r="C4" s="37" t="n">
        <x:v>30</x:v>
      </x:c>
      <x:c r="D4" s="37" t="str"/>
      <x:c r="E4" s="37" t="n">
        <x:v>29</x:v>
      </x:c>
      <x:c r="F4" s="37" t="n">
        <x:v>31</x:v>
      </x:c>
      <x:c r="G4" s="37" t="str"/>
      <x:c r="H4" s="37" t="str"/>
      <x:c r="I4" s="37" t="n">
        <x:v>24.4</x:v>
      </x:c>
      <x:c r="J4" s="37" t="n">
        <x:v>34.6</x:v>
      </x:c>
      <x:c r="K4" s="37" t="n">
        <x:v>29.5</x:v>
      </x:c>
      <x:c r="L4" s="49" t="n">
        <x:f>I4+(C4-E4)*(J4-I4)/(F4-E4)</x:f>
        <x:v>29.5</x:v>
      </x:c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7</x:v>
      </x:c>
      <x:c r="B5" s="37" t="str">
        <x:v>α2</x:v>
      </x:c>
      <x:c r="C5" s="37" t="n">
        <x:v>30</x:v>
      </x:c>
      <x:c r="D5" s="37" t="str"/>
      <x:c r="E5" s="37" t="n">
        <x:v>29</x:v>
      </x:c>
      <x:c r="F5" s="37" t="n">
        <x:v>31</x:v>
      </x:c>
      <x:c r="G5" s="37" t="str"/>
      <x:c r="H5" s="37" t="str"/>
      <x:c r="I5" s="37" t="n">
        <x:v>45.5</x:v>
      </x:c>
      <x:c r="J5" s="37" t="n">
        <x:v>64</x:v>
      </x:c>
      <x:c r="K5" s="37" t="n">
        <x:v>54.75</x:v>
      </x:c>
      <x:c r="L5" s="49" t="n">
        <x:f>I5+(C5-E5)*(J5-I5)/(F5-E5)</x:f>
        <x:v>54.75</x:v>
      </x:c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7</x:v>
      </x:c>
      <x:c r="B6" s="37" t="str">
        <x:v>α3</x:v>
      </x:c>
      <x:c r="C6" s="37" t="n">
        <x:v>12</x:v>
      </x:c>
      <x:c r="D6" s="37" t="n">
        <x:v>30</x:v>
      </x:c>
      <x:c r="E6" s="37" t="n">
        <x:v>10</x:v>
      </x:c>
      <x:c r="F6" s="37" t="n">
        <x:v>12.5</x:v>
      </x:c>
      <x:c r="G6" s="37" t="n">
        <x:v>29</x:v>
      </x:c>
      <x:c r="H6" s="37" t="n">
        <x:v>31</x:v>
      </x:c>
      <x:c r="I6" s="37" t="n">
        <x:v>0.676</x:v>
      </x:c>
      <x:c r="J6" s="37" t="n">
        <x:v>0.706</x:v>
      </x:c>
      <x:c r="K6" s="37" t="n">
        <x:v>0.691</x:v>
      </x:c>
      <x:c r="L6" s="49" t="n">
        <x:f>I6+(C6-E6)*(J6-I6)/(F6-E6)</x:f>
        <x:v>0.7</x:v>
      </x:c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7</x:v>
      </x:c>
      <x:c r="B7" s="37" t="str">
        <x:v>α4</x:v>
      </x:c>
      <x:c r="C7" s="37" t="n">
        <x:v>1.2</x:v>
      </x:c>
      <x:c r="D7" s="37" t="n">
        <x:v>30</x:v>
      </x:c>
      <x:c r="E7" s="37" t="n">
        <x:v>0.8</x:v>
      </x:c>
      <x:c r="F7" s="37" t="n">
        <x:v>4</x:v>
      </x:c>
      <x:c r="G7" s="37" t="n">
        <x:v>29</x:v>
      </x:c>
      <x:c r="H7" s="37" t="n">
        <x:v>31</x:v>
      </x:c>
      <x:c r="I7" s="37" t="n">
        <x:v>0.26375</x:v>
      </x:c>
      <x:c r="J7" s="37" t="n">
        <x:v>0.25375</x:v>
      </x:c>
      <x:c r="K7" s="37" t="n">
        <x:v>0.25875</x:v>
      </x:c>
      <x:c r="L7" s="49" t="n">
        <x:f>I7+(C7-E7)*(J7-I7)/(F7-E7)</x:f>
        <x:v>0.2625</x:v>
      </x:c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8</x:v>
      </x:c>
      <x:c r="B8" s="37" t="str">
        <x:v>q_b</x:v>
      </x:c>
      <x:c r="C8" s="37" t="n">
        <x:v>16</x:v>
      </x:c>
      <x:c r="D8" s="37" t="n">
        <x:v>0.35</x:v>
      </x:c>
      <x:c r="E8" s="37" t="n">
        <x:v>15</x:v>
      </x:c>
      <x:c r="F8" s="37" t="n">
        <x:v>18</x:v>
      </x:c>
      <x:c r="G8" s="37" t="n">
        <x:v>0.3</x:v>
      </x:c>
      <x:c r="H8" s="37" t="n">
        <x:v>0.4</x:v>
      </x:c>
      <x:c r="I8" s="37" t="n">
        <x:v>1366.6666666667</x:v>
      </x:c>
      <x:c r="J8" s="37" t="n">
        <x:v>1166.6666666667</x:v>
      </x:c>
      <x:c r="K8" s="37" t="n">
        <x:v>1266.6666666667</x:v>
      </x:c>
      <x:c r="L8" s="49" t="n">
        <x:f>I8+(C8-E8)*(J8-I8)/(F8-E8)</x:f>
        <x:v>1300.0000000000332</x:v>
      </x:c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8" t="str">
        <x:v>Safety case</x:v>
      </x:c>
      <x:c r="B11" s="38" t="str">
        <x:v>Input</x:v>
      </x:c>
      <x:c r="C11" s="38" t="str">
        <x:v>Chính sách</x:v>
      </x:c>
      <x:c r="D11" s="38" t="str">
        <x:v>Kỳ vọng</x:v>
      </x:c>
      <x:c r="E11" s="38" t="str">
        <x:v>HNL</x:v>
      </x:c>
      <x:c r="F11" s="38" t="str">
        <x:v>Trạng thái</x:v>
      </x:c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B7 φ ngoài biên</x:v>
      </x:c>
      <x:c r="B12" s="37" t="str">
        <x:v>φ=40</x:v>
      </x:c>
      <x:c r="C12" s="37" t="str">
        <x:v>BLOCK</x:v>
      </x:c>
      <x:c r="D12" s="37" t="str">
        <x:v>Không ngoại suy</x:v>
      </x:c>
      <x:c r="E12" s="37" t="str">
        <x:v>BLOCK</x:v>
      </x:c>
      <x:c r="F12" s="39" t="str">
        <x:v>PASS</x:v>
      </x:c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B7 h/d dưới biên</x:v>
      </x:c>
      <x:c r="B13" s="37" t="str">
        <x:v>h/d=3,9</x:v>
      </x:c>
      <x:c r="C13" s="37" t="str">
        <x:v>BLOCK</x:v>
      </x:c>
      <x:c r="D13" s="37" t="str">
        <x:v>Không ngoại suy</x:v>
      </x:c>
      <x:c r="E13" s="37" t="str">
        <x:v>BLOCK</x:v>
      </x:c>
      <x:c r="F13" s="39" t="str">
        <x:v>PASS</x:v>
      </x:c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B7 d trên biên</x:v>
      </x:c>
      <x:c r="B14" s="37" t="str">
        <x:v>d=4,1 m</x:v>
      </x:c>
      <x:c r="C14" s="37" t="str">
        <x:v>BLOCK</x:v>
      </x:c>
      <x:c r="D14" s="37" t="str">
        <x:v>Không ngoại suy</x:v>
      </x:c>
      <x:c r="E14" s="37" t="str">
        <x:v>BLOCK</x:v>
      </x:c>
      <x:c r="F14" s="39" t="str">
        <x:v>PASS</x:v>
      </x:c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B8 ô gạch ngang</x:v>
      </x:c>
      <x:c r="B15" s="37" t="str">
        <x:v>z=35; IL=0,55</x:v>
      </x:c>
      <x:c r="C15" s="37" t="str">
        <x:v>BLOCK</x:v>
      </x:c>
      <x:c r="D15" s="37" t="str">
        <x:v>Không đi xuyên ô –</x:v>
      </x:c>
      <x:c r="E15" s="37" t="str">
        <x:v>BLOCK</x:v>
      </x:c>
      <x:c r="F15" s="39" t="str">
        <x:v>PASS</x:v>
      </x:c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B8 z≥40</x:v>
      </x:c>
      <x:c r="B16" s="37" t="str">
        <x:v>z=45</x:v>
      </x:c>
      <x:c r="C16" s="37" t="str">
        <x:v>BOUNDARY-PLATEAU</x:v>
      </x:c>
      <x:c r="D16" s="37" t="str">
        <x:v>Dùng hàng ≥40</x:v>
      </x:c>
      <x:c r="E16" s="37" t="str">
        <x:v>PASS</x:v>
      </x:c>
      <x:c r="F16" s="39" t="str">
        <x:v>PASS</x:v>
      </x:c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4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6" hidden="0" customWidth="1"/>
  </x:cols>
  <x:sheetData>
    <x:row r="1" ht="30" customHeight="1">
      <x:c r="A1" s="36" t="str">
        <x:v>TCVN 10304:2025 · BẢNG 12 / 15 / 16 / 17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8" t="str">
        <x:v>Bảng</x:v>
      </x:c>
      <x:c r="B3" s="38" t="str">
        <x:v>Case</x:v>
      </x:c>
      <x:c r="C3" s="38" t="str">
        <x:v>Input</x:v>
      </x:c>
      <x:c r="D3" s="38" t="str">
        <x:v>Chính sách</x:v>
      </x:c>
      <x:c r="E3" s="38" t="str">
        <x:v>Mốc dưới</x:v>
      </x:c>
      <x:c r="F3" s="38" t="str">
        <x:v>Mốc trên</x:v>
      </x:c>
      <x:c r="G3" s="38" t="str">
        <x:v>Giá trị dưới</x:v>
      </x:c>
      <x:c r="H3" s="38" t="str">
        <x:v>Giá trị trên</x:v>
      </x:c>
      <x:c r="I3" s="38" t="str">
        <x:v>HNL</x:v>
      </x:c>
      <x:c r="J3" s="38" t="str">
        <x:v>Excel/Expected</x:v>
      </x:c>
      <x:c r="K3" s="38" t="str">
        <x:v>Trạng thái</x:v>
      </x:c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 t="str">
        <x:v>12</x:v>
      </x:c>
      <x:c r="B4" s="37" t="str">
        <x:v>Cát mịn chặt</x:v>
      </x:c>
      <x:c r="C4" s="37" t="str">
        <x:v>fine + dense</x:v>
      </x:c>
      <x:c r="D4" s="37" t="str">
        <x:v>DISCRETE ×1,6</x:v>
      </x:c>
      <x:c r="E4" s="37" t="str"/>
      <x:c r="F4" s="37" t="str"/>
      <x:c r="G4" s="37" t="n">
        <x:v>1.1</x:v>
      </x:c>
      <x:c r="H4" s="37" t="n">
        <x:v>1.6</x:v>
      </x:c>
      <x:c r="I4" s="37" t="n">
        <x:v>1.76</x:v>
      </x:c>
      <x:c r="J4" s="37" t="n">
        <x:v>1.76</x:v>
      </x:c>
      <x:c r="K4" s="39" t="str">
        <x:v>PASS</x:v>
      </x:c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15</x:v>
      </x:c>
      <x:c r="B5" s="37" t="str">
        <x:v>β1 đúng mốc</x:v>
      </x:c>
      <x:c r="C5" s="37" t="str">
        <x:v>q_s=5000</x:v>
      </x:c>
      <x:c r="D5" s="37" t="str">
        <x:v>EXACT</x:v>
      </x:c>
      <x:c r="E5" s="37" t="n">
        <x:v>5000</x:v>
      </x:c>
      <x:c r="F5" s="37" t="n">
        <x:v>5000</x:v>
      </x:c>
      <x:c r="G5" s="37" t="n">
        <x:v>0.65</x:v>
      </x:c>
      <x:c r="H5" s="37" t="n">
        <x:v>0.65</x:v>
      </x:c>
      <x:c r="I5" s="37" t="n">
        <x:v>0.65</x:v>
      </x:c>
      <x:c r="J5" s="37" t="n">
        <x:v>0.65</x:v>
      </x:c>
      <x:c r="K5" s="39" t="str">
        <x:v>PASS</x:v>
      </x:c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15</x:v>
      </x:c>
      <x:c r="B6" s="37" t="str">
        <x:v>β1 giữa mốc</x:v>
      </x:c>
      <x:c r="C6" s="37" t="str">
        <x:v>q_s=6000</x:v>
      </x:c>
      <x:c r="D6" s="37" t="str">
        <x:v>BLOCK</x:v>
      </x:c>
      <x:c r="E6" s="37" t="str"/>
      <x:c r="F6" s="37" t="str"/>
      <x:c r="G6" s="37" t="str"/>
      <x:c r="H6" s="37" t="str"/>
      <x:c r="I6" s="37" t="str">
        <x:v>BLOCK</x:v>
      </x:c>
      <x:c r="J6" s="37" t="str">
        <x:v>CẦN β1 có provenance</x:v>
      </x:c>
      <x:c r="K6" s="39" t="str">
        <x:v>PASS</x:v>
      </x:c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16</x:v>
      </x:c>
      <x:c r="B7" s="37" t="str">
        <x:v>q_b cát</x:v>
      </x:c>
      <x:c r="C7" s="37" t="str">
        <x:v>q_c=6000</x:v>
      </x:c>
      <x:c r="D7" s="37" t="str">
        <x:v>LINEAR-1D</x:v>
      </x:c>
      <x:c r="E7" s="37" t="n">
        <x:v>5000</x:v>
      </x:c>
      <x:c r="F7" s="37" t="n">
        <x:v>7500</x:v>
      </x:c>
      <x:c r="G7" s="37" t="n">
        <x:v>900</x:v>
      </x:c>
      <x:c r="H7" s="37" t="n">
        <x:v>1100</x:v>
      </x:c>
      <x:c r="I7" s="37" t="n">
        <x:v>980</x:v>
      </x:c>
      <x:c r="J7" s="37" t="n">
        <x:f>G7+(6000-E7)*(H7-G7)/(F7-E7)</x:f>
        <x:v>980</x:v>
      </x:c>
      <x:c r="K7" s="39" t="str">
        <x:v>PASS</x:v>
      </x:c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17</x:v>
      </x:c>
      <x:c r="B8" s="37" t="str">
        <x:v>m_v</x:v>
      </x:c>
      <x:c r="C8" s="37" t="str">
        <x:v>ν=0,325</x:v>
      </x:c>
      <x:c r="D8" s="37" t="str">
        <x:v>LINEAR-1D</x:v>
      </x:c>
      <x:c r="E8" s="37" t="n">
        <x:v>0.3</x:v>
      </x:c>
      <x:c r="F8" s="37" t="n">
        <x:v>0.35</x:v>
      </x:c>
      <x:c r="G8" s="37" t="n">
        <x:v>1.607</x:v>
      </x:c>
      <x:c r="H8" s="37" t="n">
        <x:v>1.685</x:v>
      </x:c>
      <x:c r="I8" s="37" t="n">
        <x:v>1.646</x:v>
      </x:c>
      <x:c r="J8" s="37" t="n">
        <x:f>G8+(0.325-E8)*(H8-G8)/(F8-E8)</x:f>
        <x:v>1.6460000000000001</x:v>
      </x:c>
      <x:c r="K8" s="39" t="str">
        <x:v>PASS</x:v>
      </x:c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17</x:v>
      </x:c>
      <x:c r="B9" s="37" t="str">
        <x:v>ζ0</x:v>
      </x:c>
      <x:c r="C9" s="37" t="str">
        <x:v>ν=0,5</x:v>
      </x:c>
      <x:c r="D9" s="37" t="str">
        <x:v>CT (34) limit</x:v>
      </x:c>
      <x:c r="E9" s="37" t="str"/>
      <x:c r="F9" s="37" t="str"/>
      <x:c r="G9" s="37" t="str"/>
      <x:c r="H9" s="37" t="str"/>
      <x:c r="I9" s="37" t="n">
        <x:v>0.25</x:v>
      </x:c>
      <x:c r="J9" s="37" t="n">
        <x:v>0.25</x:v>
      </x:c>
      <x:c r="K9" s="39" t="str">
        <x:v>PASS</x:v>
      </x:c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8" t="str">
        <x:v>Quy tắc</x:v>
      </x:c>
      <x:c r="B12" s="38" t="str">
        <x:v>Áp dụng</x:v>
      </x:c>
      <x:c r="C12" s="38" t="str">
        <x:v>Không được làm</x:v>
      </x:c>
      <x:c r="D12" s="38" t="str">
        <x:v>Lý do</x:v>
      </x:c>
      <x:c r="E12" s="38" t="str">
        <x:v>Kết luận</x:v>
      </x:c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EXACT</x:v>
      </x:c>
      <x:c r="B13" s="37" t="str">
        <x:v>Trùng đúng mốc bảng</x:v>
      </x:c>
      <x:c r="C13" s="37" t="str">
        <x:v>Không suy thêm</x:v>
      </x:c>
      <x:c r="D13" s="37" t="str">
        <x:v>Giữ nguyên dữ liệu tiêu chuẩn</x:v>
      </x:c>
      <x:c r="E13" s="39" t="str">
        <x:v>PASS</x:v>
      </x:c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LINEAR-1D</x:v>
      </x:c>
      <x:c r="B14" s="37" t="str">
        <x:v>Giữa hai mốc và nguồn cho phép</x:v>
      </x:c>
      <x:c r="C14" s="37" t="str">
        <x:v>Không hồi quy toàn bảng</x:v>
      </x:c>
      <x:c r="D14" s="37" t="str">
        <x:v>Chỉ hai mốc kề</x:v>
      </x:c>
      <x:c r="E14" s="39" t="str">
        <x:v>PASS</x:v>
      </x:c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BILINEAR-2D</x:v>
      </x:c>
      <x:c r="B15" s="37" t="str">
        <x:v>Hai trục đều nằm trong miền cho phép</x:v>
      </x:c>
      <x:c r="C15" s="37" t="str">
        <x:v>Không đi qua ô null/–</x:v>
      </x:c>
      <x:c r="D15" s="37" t="str">
        <x:v>4 điểm góc hợp lệ</x:v>
      </x:c>
      <x:c r="E15" s="39" t="str">
        <x:v>PASS</x:v>
      </x:c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DISCRETE</x:v>
      </x:c>
      <x:c r="B16" s="37" t="str">
        <x:v>Phương pháp/loại đất/cấp</x:v>
      </x:c>
      <x:c r="C16" s="37" t="str">
        <x:v>Không nội suy category</x:v>
      </x:c>
      <x:c r="D16" s="37" t="str">
        <x:v>Bảng phân loại rời rạc</x:v>
      </x:c>
      <x:c r="E16" s="39" t="str">
        <x:v>PASS</x:v>
      </x:c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 t="str">
        <x:v>NO EXTRAPOLATION</x:v>
      </x:c>
      <x:c r="B17" s="37" t="str">
        <x:v>Mặc định toàn Engine</x:v>
      </x:c>
      <x:c r="C17" s="37" t="str">
        <x:v>Không kéo quá biên</x:v>
      </x:c>
      <x:c r="D17" s="37" t="str">
        <x:v>Chỉ plateau khi tiêu chuẩn ghi rõ</x:v>
      </x:c>
      <x:c r="E17" s="39" t="str">
        <x:v>PASS</x:v>
      </x:c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6" hidden="0" customWidth="1"/>
    <x:col min="5" max="5" width="20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60" hidden="0" customWidth="1"/>
  </x:cols>
  <x:sheetData>
    <x:row r="1" ht="30" customHeight="1">
      <x:c r="A1" s="36" t="str">
        <x:v>TCVN 5574:2018 · CÁC TRƯỜNG HỢP NỘI SUY LIÊN QUAN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8" t="str">
        <x:v>Nội dung</x:v>
      </x:c>
      <x:c r="B3" s="38" t="str">
        <x:v>Nguồn</x:v>
      </x:c>
      <x:c r="C3" s="38" t="str">
        <x:v>Trạng thái hiện tại</x:v>
      </x:c>
      <x:c r="D3" s="38" t="str">
        <x:v>Chính sách</x:v>
      </x:c>
      <x:c r="E3" s="38" t="str">
        <x:v>Input mẫu</x:v>
      </x:c>
      <x:c r="F3" s="38" t="str">
        <x:v>Mốc 1</x:v>
      </x:c>
      <x:c r="G3" s="38" t="str">
        <x:v>Mốc 2</x:v>
      </x:c>
      <x:c r="H3" s="38" t="str">
        <x:v>HNL</x:v>
      </x:c>
      <x:c r="I3" s="38" t="str">
        <x:v>Excel</x:v>
      </x:c>
      <x:c r="J3" s="38" t="str">
        <x:v>Ghi chú</x:v>
      </x:c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 t="str">
        <x:v>εb2 bê tông B70→B100</x:v>
      </x:c>
      <x:c r="B4" s="37" t="str">
        <x:v>6.1.4.2 · tr.40–41</x:v>
      </x:c>
      <x:c r="C4" s="37" t="str">
        <x:v>VERIFIED</x:v>
      </x:c>
      <x:c r="D4" s="37" t="str">
        <x:v>LINEAR-1D</x:v>
      </x:c>
      <x:c r="E4" s="37" t="str">
        <x:v>B85</x:v>
      </x:c>
      <x:c r="F4" s="37" t="n">
        <x:v>0.0033</x:v>
      </x:c>
      <x:c r="G4" s="37" t="n">
        <x:v>0.0028</x:v>
      </x:c>
      <x:c r="H4" s="49" t="n">
        <x:v>0.00305</x:v>
      </x:c>
      <x:c r="I4" s="49" t="n">
        <x:f>F4+(85-70)*(G4-F4)/(100-70)</x:f>
        <x:v>0.0030499999999999998</x:v>
      </x:c>
      <x:c r="J4" s="37" t="str">
        <x:v>Đã đồng bộ trong core + Excel</x:v>
      </x:c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Bảng 15 φ bê tông</x:v>
      </x:c>
      <x:c r="B5" s="37" t="str">
        <x:v>Bảng 15 · tr.53</x:v>
      </x:c>
      <x:c r="C5" s="37" t="str">
        <x:v>INDEXED/REVIEW</x:v>
      </x:c>
      <x:c r="D5" s="37" t="str">
        <x:v>LINEAR-1D L0/h</x:v>
      </x:c>
      <x:c r="E5" s="37" t="str">
        <x:v>L0/h=12</x:v>
      </x:c>
      <x:c r="F5" s="37" t="str"/>
      <x:c r="G5" s="37" t="str"/>
      <x:c r="H5" s="37" t="str"/>
      <x:c r="I5" s="37" t="str"/>
      <x:c r="J5" s="37" t="str">
        <x:v>Nguồn ghi rõ nội suy; chưa mở numeric vì workflow chưa VERIFIED</x:v>
      </x:c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Bảng 16 φ BTCT</x:v>
      </x:c>
      <x:c r="B6" s="37" t="str">
        <x:v>Bảng 16 · tr.62</x:v>
      </x:c>
      <x:c r="C6" s="37" t="str">
        <x:v>INDEXED/REVIEW</x:v>
      </x:c>
      <x:c r="D6" s="37" t="str">
        <x:v>LINEAR-1D L0/h</x:v>
      </x:c>
      <x:c r="E6" s="37" t="str">
        <x:v>L0/h=12</x:v>
      </x:c>
      <x:c r="F6" s="37" t="str"/>
      <x:c r="G6" s="37" t="str"/>
      <x:c r="H6" s="37" t="str"/>
      <x:c r="I6" s="37" t="str"/>
      <x:c r="J6" s="37" t="str">
        <x:v>Nguồn ghi rõ nội suy; không tự nâng VERIFIED</x:v>
      </x:c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Phụ lục M – nhà 1 tầng</x:v>
      </x:c>
      <x:c r="B7" s="37" t="str">
        <x:v>M.4</x:v>
      </x:c>
      <x:c r="C7" s="37" t="str">
        <x:v>VERIFIED PARTIAL</x:v>
      </x:c>
      <x:c r="D7" s="37" t="str">
        <x:v>LINEAR-1D giữa mốc h_s</x:v>
      </x:c>
      <x:c r="E7" s="37" t="str">
        <x:v>h_s giữa 6–15–30</x:v>
      </x:c>
      <x:c r="F7" s="37" t="str"/>
      <x:c r="G7" s="37" t="str"/>
      <x:c r="H7" s="37" t="str"/>
      <x:c r="I7" s="37" t="str"/>
      <x:c r="J7" s="37" t="str">
        <x:v>Giữ đúng nhánh đã benchmark</x:v>
      </x:c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Ngoại suy</x:v>
      </x:c>
      <x:c r="B8" s="37" t="str">
        <x:v>Toàn bộ</x:v>
      </x:c>
      <x:c r="C8" s="37" t="str">
        <x:v>SAFE-GATE</x:v>
      </x:c>
      <x:c r="D8" s="37" t="str">
        <x:v>BLOCK</x:v>
      </x:c>
      <x:c r="E8" s="37" t="str">
        <x:v>Ngoài mốc</x:v>
      </x:c>
      <x:c r="F8" s="37" t="str"/>
      <x:c r="G8" s="37" t="str"/>
      <x:c r="H8" s="37" t="str"/>
      <x:c r="I8" s="37" t="str"/>
      <x:c r="J8" s="37" t="str">
        <x:v>Không mở ngoại suy nếu nguồn không nói</x:v>
      </x:c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  <x:col min="4" max="4" width="48" hidden="0" customWidth="1"/>
  </x:cols>
  <x:sheetData>
    <x:row r="1" ht="30" customHeight="1">
      <x:c r="A1" s="36" t="str">
        <x:v>KẾT LUẬN AUDIT · HNL ENGINE ↔ EXCEL</x:v>
      </x:c>
      <x:c r="B1" s="36"/>
      <x:c r="C1" s="36"/>
      <x:c r="D1" s="36"/>
      <x:c r="E1" s="36"/>
      <x:c r="F1" s="36"/>
      <x:c r="G1" s="36"/>
      <x:c r="H1" s="36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8" t="str">
        <x:v>Gate</x:v>
      </x:c>
      <x:c r="B3" s="38" t="str">
        <x:v>Kết quả</x:v>
      </x:c>
      <x:c r="C3" s="38" t="str">
        <x:v>Chi tiết</x:v>
      </x:c>
      <x:c r="D3" s="38" t="str">
        <x:v>Nguồn/kiểm thử</x:v>
      </x:c>
      <x:c r="E3" s="38" t="str"/>
      <x:c r="F3" s="38" t="str"/>
      <x:c r="G3" s="38" t="str"/>
      <x:c r="H3" s="38" t="str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 t="str">
        <x:v>Bảng 2/3</x:v>
      </x:c>
      <x:c r="B4" s="39" t="str">
        <x:v>PASS</x:v>
      </x:c>
      <x:c r="C4" s="37" t="str">
        <x:v>HNL và Excel cùng nội suy cục bộ; Bảng 3 chia ≤2m.</x:v>
      </x:c>
      <x:c r="D4" s="37" t="str">
        <x:v>TCVN 10304 tr.32–34</x:v>
      </x:c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Bảng 4/6/12</x:v>
      </x:c>
      <x:c r="B5" s="39" t="str">
        <x:v>PASS</x:v>
      </x:c>
      <x:c r="C5" s="37" t="str">
        <x:v>Tra rời rạc, không nội suy.</x:v>
      </x:c>
      <x:c r="D5" s="37" t="str">
        <x:v>TCVN 10304 tr.34–35,39,54</x:v>
      </x:c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Bảng 7/8</x:v>
      </x:c>
      <x:c r="B6" s="39" t="str">
        <x:v>PASS</x:v>
      </x:c>
      <x:c r="C6" s="37" t="str">
        <x:v>1D/2D đúng chú thích, block ngoài miền/null.</x:v>
      </x:c>
      <x:c r="D6" s="37" t="str">
        <x:v>TCVN 10304 tr.41–42</x:v>
      </x:c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Bảng 15</x:v>
      </x:c>
      <x:c r="B7" s="39" t="str">
        <x:v>PASS</x:v>
      </x:c>
      <x:c r="C7" s="37" t="str">
        <x:v>Không tự nội suy; intermediate yêu cầu override có provenance.</x:v>
      </x:c>
      <x:c r="D7" s="37" t="str">
        <x:v>TCVN 10304 tr.57</x:v>
      </x:c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Bảng 16</x:v>
      </x:c>
      <x:c r="B8" s="39" t="str">
        <x:v>PASS</x:v>
      </x:c>
      <x:c r="C8" s="37" t="str">
        <x:v>Nội suy tuyến tính giữa hai mốc số kề nhau.</x:v>
      </x:c>
      <x:c r="D8" s="37" t="str">
        <x:v>TCVN 10304 tr.58</x:v>
      </x:c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Bảng 17</x:v>
      </x:c>
      <x:c r="B9" s="39" t="str">
        <x:v>PASS</x:v>
      </x:c>
      <x:c r="C9" s="37" t="str">
        <x:v>k_v/ζ0 theo công thức; m_v local-linear, không ngoại suy.</x:v>
      </x:c>
      <x:c r="D9" s="37" t="str">
        <x:v>TCVN 10304 tr.60</x:v>
      </x:c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TCVN 5574 εb2</x:v>
      </x:c>
      <x:c r="B10" s="39" t="str">
        <x:v>PASS</x:v>
      </x:c>
      <x:c r="C10" s="37" t="str">
        <x:v>B70→B100 nội suy tuyến tính đồng bộ Engine/Excel.</x:v>
      </x:c>
      <x:c r="D10" s="37" t="str">
        <x:v>TCVN 5574 6.1.4.2</x:v>
      </x:c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Regression</x:v>
      </x:c>
      <x:c r="B11" s="39" t="str">
        <x:v>271/271 PASS</x:v>
      </x:c>
      <x:c r="C11" s="37" t="str">
        <x:v>npm test thực chạy sau khi sửa compatibility layerResults/segmentResults.</x:v>
      </x:c>
      <x:c r="D11" s="37" t="str">
        <x:v>Source v1.25.3</x:v>
      </x:c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Search Brain</x:v>
      </x:c>
      <x:c r="B12" s="39" t="str">
        <x:v>PASS</x:v>
      </x:c>
      <x:c r="C12" s="37" t="str">
        <x:v>Không đổi logic/hash search.</x:v>
      </x:c>
      <x:c r="D12" s="37" t="str">
        <x:v>SHA256 f9b65e5e...21d2</x:v>
      </x:c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8" t="str">
        <x:v>Ghi chú nguồn DOCX</x:v>
      </x:c>
      <x:c r="B15" s="38" t="str">
        <x:v>Vai trò</x:v>
      </x:c>
      <x:c r="C15" s="38" t="str">
        <x:v>Cách dùng</x:v>
      </x:c>
      <x:c r="D15" s="38" t="str">
        <x:v>Kết luận</x:v>
      </x:c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tu-dien-tinh-toan-coc-tcvn.docx</x:v>
      </x:c>
      <x:c r="B16" s="37" t="str">
        <x:v>Checklist / phát hiện logic nội suy &amp; chia đoạn</x:v>
      </x:c>
      <x:c r="C16" s="37" t="str">
        <x:v>Không dùng thay PDF gốc; mọi số/bảng mâu thuẫn phải quay lại TCVN gốc</x:v>
      </x:c>
      <x:c r="D16" s="37" t="str">
        <x:v>ĐÃ ÁP DỤNG</x:v>
      </x:c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</x:sheetData>
  <x:mergeCells>
    <x:mergeCell ref="A1:H1"/>
  </x:mergeCells>
  <x:pageMargins left="0.7" right="0.7" top="0.75" bottom="0.75" header="0.3" footer="0.3"/>
</x:worksheet>
</file>