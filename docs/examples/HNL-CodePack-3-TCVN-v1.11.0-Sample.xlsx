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eb7555482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56abe9ea3c9a4d0b"/>
    <x:sheet xmlns:r="http://schemas.openxmlformats.org/officeDocument/2006/relationships" name="TCVN7888_CALC" sheetId="2" r:id="Rdc2d9ba42e3b4d3f"/>
    <x:sheet xmlns:r="http://schemas.openxmlformats.org/officeDocument/2006/relationships" name="TCVN5574_MATERIAL" sheetId="3" r:id="Rb573a9da470f4808"/>
    <x:sheet xmlns:r="http://schemas.openxmlformats.org/officeDocument/2006/relationships" name="TCVN10304_INDEX" sheetId="4" r:id="Rdfaeee98093e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ED7D31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697bb46434c2b" /><Relationship Type="http://schemas.openxmlformats.org/officeDocument/2006/relationships/theme" Target="/xl/theme/theme1.xml" Id="R12eb86ec1f684989" /><Relationship Type="http://schemas.openxmlformats.org/officeDocument/2006/relationships/sharedStrings" Target="/xl/sharedStrings.xml" Id="R75f241e3457a4284" /><Relationship Type="http://schemas.openxmlformats.org/officeDocument/2006/relationships/worksheet" Target="/xl/worksheets/sheet1.xml" Id="R56abe9ea3c9a4d0b" /><Relationship Type="http://schemas.openxmlformats.org/officeDocument/2006/relationships/worksheet" Target="/xl/worksheets/sheet2.xml" Id="Rdc2d9ba42e3b4d3f" /><Relationship Type="http://schemas.openxmlformats.org/officeDocument/2006/relationships/worksheet" Target="/xl/worksheets/sheet3.xml" Id="Rb573a9da470f4808" /><Relationship Type="http://schemas.openxmlformats.org/officeDocument/2006/relationships/worksheet" Target="/xl/worksheets/sheet4.xml" Id="Rdfaeee98093e47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HNL CODE PACK – 3 TCVN – EXCEL MẪU v1.11.0</x:v>
      </x:c>
      <x:c r="B1" s="5"/>
      <x:c r="C1" s="5"/>
      <x:c r="D1" s="5"/>
      <x:c r="E1" s="5"/>
      <x:c r="F1" s="5"/>
    </x:row>
    <x:row r="3">
      <x:c r="A3" s="14" t="str">
        <x:v>Mục</x:v>
      </x:c>
      <x:c r="B3" s="14" t="str">
        <x:v>Nội dung</x:v>
      </x:c>
    </x:row>
    <x:row r="4">
      <x:c r="A4" s="15" t="str">
        <x:v>Mục đích</x:v>
      </x:c>
      <x:c r="B4" s="15" t="str">
        <x:v>Mẫu Excel cho HNL: nhập dữ liệu → công thức Excel tự tính → truy ngược tiêu chuẩn/Điều/Bảng/trang.</x:v>
      </x:c>
    </x:row>
    <x:row r="5">
      <x:c r="A5" s="15" t="str">
        <x:v>Nguyên tắc VERIFIED</x:v>
      </x:c>
      <x:c r="B5" s="15" t="str">
        <x:v>Chỉ công thức/bảng đã đối chiếu rõ mới được dùng số học tự động. Indexed/Review chỉ dùng hỏi đáp và mở nguồn.</x:v>
      </x:c>
    </x:row>
    <x:row r="6">
      <x:c r="A6" s="15" t="str">
        <x:v>TCVN 7888:2014</x:v>
      </x:c>
      <x:c r="B6" s="15" t="str">
        <x:v>Mẫu tính Phụ lục B – sức chịu tải theo vật liệu cọc PC/PHC/NPH.</x:v>
      </x:c>
    </x:row>
    <x:row r="7">
      <x:c r="A7" s="15" t="str">
        <x:v>TCVN 5574:2018</x:v>
      </x:c>
      <x:c r="B7" s="15" t="str">
        <x:v>Bảng vật liệu Verified: Rb/Rbt/Eb cho bê tông nặng; Rs/Rsc/Rsw cho thép thanh.</x:v>
      </x:c>
    </x:row>
    <x:row r="8">
      <x:c r="A8" s="15" t="str">
        <x:v>TCVN 10304:2025</x:v>
      </x:c>
      <x:c r="B8" s="15" t="str">
        <x:v>Danh mục 48 công thức chính + bảng tra đã Verified chọn lọc; các công thức scan chưa đủ rõ không tự tính.</x:v>
      </x:c>
    </x:row>
    <x:row r="9">
      <x:c r="A9" s="15" t="str">
        <x:v>Ô màu vàng</x:v>
      </x:c>
      <x:c r="B9" s="15" t="str">
        <x:v>Ô người dùng nhập hoặc có thể thay đổi.</x:v>
      </x:c>
    </x:row>
    <x:row r="10">
      <x:c r="A10" s="15" t="str">
        <x:v>Nguồn</x:v>
      </x:c>
      <x:c r="B10" s="15" t="str">
        <x:v>Luôn giữ tiêu chuẩn, Điều/Phụ lục, số công thức/Bảng và trang PDF.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38" hidden="0" customWidth="1"/>
    <x:col min="5" max="5" width="42" hidden="0" customWidth="1"/>
    <x:col min="6" max="6" width="16" hidden="0" customWidth="1"/>
    <x:col min="7" max="7" width="12" hidden="0" customWidth="1"/>
  </x:cols>
  <x:sheetData>
    <x:row r="1">
      <x:c r="A1" s="19" t="str">
        <x:v>TCVN 7888:2014 – SỨC CHỊU TẢI THEO VẬT LIỆU CỌC</x:v>
      </x:c>
      <x:c r="B1" s="19"/>
      <x:c r="C1" s="19"/>
      <x:c r="D1" s="19"/>
      <x:c r="E1" s="19"/>
      <x:c r="F1" s="19"/>
      <x:c r="G1" s="19"/>
    </x:row>
    <x:row r="3">
      <x:c r="A3" s="32" t="str">
        <x:v>Biến</x:v>
      </x:c>
      <x:c r="B3" s="32" t="str">
        <x:v>Giá trị</x:v>
      </x:c>
      <x:c r="C3" s="32" t="str">
        <x:v>Đơn vị</x:v>
      </x:c>
      <x:c r="D3" s="32" t="str">
        <x:v>Nguồn/điều kiện</x:v>
      </x:c>
      <x:c r="E3" s="32" t="str">
        <x:v>Công thức Excel / diễn giải</x:v>
      </x:c>
      <x:c r="F3" s="32" t="str">
        <x:v>Kết quả</x:v>
      </x:c>
      <x:c r="G3" s="32" t="str">
        <x:v>Đơn vị KQ</x:v>
      </x:c>
    </x:row>
    <x:row r="4">
      <x:c r="A4" s="15" t="str">
        <x:v>Loại cọc</x:v>
      </x:c>
      <x:c r="B4" s="33" t="str">
        <x:v>PHC</x:v>
      </x:c>
      <x:c r="C4" s="15" t="str"/>
      <x:c r="D4" s="15" t="str">
        <x:v>TCVN 7888:2014</x:v>
      </x:c>
      <x:c r="E4" s="15" t="str">
        <x:v>PC: α=4; PHC/NPH: α=3,5</x:v>
      </x:c>
      <x:c r="F4" s="15" t="str"/>
      <x:c r="G4" s="15" t="str"/>
    </x:row>
    <x:row r="5">
      <x:c r="A5" s="15" t="str">
        <x:v>D</x:v>
      </x:c>
      <x:c r="B5" s="33" t="n">
        <x:v>600</x:v>
      </x:c>
      <x:c r="C5" s="15" t="str">
        <x:v>mm</x:v>
      </x:c>
      <x:c r="D5" s="15" t="str">
        <x:v>Bảng 1/2</x:v>
      </x:c>
      <x:c r="E5" s="15" t="str">
        <x:v>Đường kính ngoài</x:v>
      </x:c>
      <x:c r="F5" s="15" t="str"/>
      <x:c r="G5" s="15" t="str"/>
    </x:row>
    <x:row r="6">
      <x:c r="A6" s="15" t="str">
        <x:v>t</x:v>
      </x:c>
      <x:c r="B6" s="33" t="n">
        <x:v>90</x:v>
      </x:c>
      <x:c r="C6" s="15" t="str">
        <x:v>mm</x:v>
      </x:c>
      <x:c r="D6" s="15" t="str">
        <x:v>Bảng 1/2</x:v>
      </x:c>
      <x:c r="E6" s="15" t="str">
        <x:v>Chiều dày thành cọc</x:v>
      </x:c>
      <x:c r="F6" s="15" t="str"/>
      <x:c r="G6" s="15" t="str"/>
    </x:row>
    <x:row r="7">
      <x:c r="A7" s="15" t="str">
        <x:v>σcu</x:v>
      </x:c>
      <x:c r="B7" s="33" t="n">
        <x:v>80</x:v>
      </x:c>
      <x:c r="C7" s="15" t="str">
        <x:v>MPa</x:v>
      </x:c>
      <x:c r="D7" s="15" t="str">
        <x:v>PC ≥60; PHC/NPH ≥80 MPa</x:v>
      </x:c>
      <x:c r="E7" s="15" t="str">
        <x:v>Cường độ chịu nén thiết kế</x:v>
      </x:c>
      <x:c r="F7" s="15" t="str"/>
      <x:c r="G7" s="15" t="str"/>
    </x:row>
    <x:row r="8">
      <x:c r="A8" s="15" t="str">
        <x:v>σce</x:v>
      </x:c>
      <x:c r="B8" s="33" t="n">
        <x:v>8</x:v>
      </x:c>
      <x:c r="C8" s="15" t="str">
        <x:v>MPa</x:v>
      </x:c>
      <x:c r="D8" s="15" t="str">
        <x:v>Bảng 1/2 / Phụ lục A</x:v>
      </x:c>
      <x:c r="E8" s="15" t="str">
        <x:v>Ứng suất hữu hiệu</x:v>
      </x:c>
      <x:c r="F8" s="15" t="str"/>
      <x:c r="G8" s="15" t="str"/>
    </x:row>
    <x:row r="9">
      <x:c r="A9" s="15" t="str">
        <x:v>α</x:v>
      </x:c>
      <x:c r="B9" s="33" t="n">
        <x:v>3.5</x:v>
      </x:c>
      <x:c r="C9" s="15" t="str">
        <x:v>—</x:v>
      </x:c>
      <x:c r="D9" s="15" t="str">
        <x:v>Phụ lục B</x:v>
      </x:c>
      <x:c r="E9" s="15" t="str">
        <x:v>Hệ số an toàn</x:v>
      </x:c>
      <x:c r="F9" s="15" t="str"/>
      <x:c r="G9" s="15" t="str"/>
    </x:row>
    <x:row r="10">
      <x:c r="A10" s="15" t="str">
        <x:v>A0</x:v>
      </x:c>
      <x:c r="B10" s="34" t="n">
        <x:f>PI()/4*(B5^2-(B5-2*B6)^2)</x:f>
        <x:v>144199.1027997715</x:v>
      </x:c>
      <x:c r="C10" s="15" t="str">
        <x:v>mm²</x:v>
      </x:c>
      <x:c r="D10" s="15" t="str">
        <x:v>Hình học cọc</x:v>
      </x:c>
      <x:c r="E10" s="15" t="str">
        <x:v>PI()/4*(D²-(D-2t)²)</x:v>
      </x:c>
      <x:c r="F10" s="15" t="str"/>
      <x:c r="G10" s="15" t="str"/>
    </x:row>
    <x:row r="11">
      <x:c r="A11" s="15" t="str">
        <x:v>Ra (B.1)</x:v>
      </x:c>
      <x:c r="B11" s="34" t="n">
        <x:f>(B7/B9-B8/4)*B10/1000</x:f>
        <x:v>3007.581286966663</x:v>
      </x:c>
      <x:c r="C11" s="15" t="str">
        <x:v>kN</x:v>
      </x:c>
      <x:c r="D11" s="15" t="str">
        <x:v>Phụ lục B · B.1 · trang PDF 32</x:v>
      </x:c>
      <x:c r="E11" s="15" t="str">
        <x:v>(σcu/α-σce/4)*A0 /1000</x:v>
      </x:c>
      <x:c r="F11" s="15" t="str"/>
      <x:c r="G11" s="15" t="str"/>
    </x:row>
    <x:row r="12">
      <x:c r="A12" s="15" t="str">
        <x:v>RaL (B.4)</x:v>
      </x:c>
      <x:c r="B12" s="34" t="n">
        <x:f>(B7/3.5-B8/4)*B10/1000</x:f>
        <x:v>3007.581286966663</x:v>
      </x:c>
      <x:c r="C12" s="15" t="str">
        <x:v>kN</x:v>
      </x:c>
      <x:c r="D12" s="15" t="str">
        <x:v>PHC/NPH · B.4 · trang PDF 33</x:v>
      </x:c>
      <x:c r="E12" s="15" t="str">
        <x:v>(σcu/3.5-σce/4)*A0 /1000</x:v>
      </x:c>
      <x:c r="F12" s="15" t="str"/>
      <x:c r="G12" s="15" t="str"/>
    </x:row>
    <x:row r="13">
      <x:c r="A13" s="15" t="str">
        <x:v>RaS (B.5)</x:v>
      </x:c>
      <x:c r="B13" s="34" t="n">
        <x:f>2*B12</x:f>
        <x:v>6015.162573933326</x:v>
      </x:c>
      <x:c r="C13" s="15" t="str">
        <x:v>kN</x:v>
      </x:c>
      <x:c r="D13" s="15" t="str">
        <x:v>PHC/NPH · B.5 · trang PDF 33</x:v>
      </x:c>
      <x:c r="E13" s="15" t="str">
        <x:v>2*RaL</x:v>
      </x:c>
      <x:c r="F13" s="15" t="str"/>
      <x:c r="G13" s="15" t="str"/>
    </x:row>
    <x:row r="14">
      <x:c r="A14" s="15" t="str">
        <x:v>Pmax</x:v>
      </x:c>
      <x:c r="B14" s="34" t="n">
        <x:f>0.8*B13</x:f>
        <x:v>4812.130059146661</x:v>
      </x:c>
      <x:c r="C14" s="15" t="str">
        <x:v>kN</x:v>
      </x:c>
      <x:c r="D14" s="15" t="str">
        <x:v>Không vượt quá 80% sức chịu tải ngắn hạn</x:v>
      </x:c>
      <x:c r="E14" s="15" t="str">
        <x:v>0.8*RaS</x:v>
      </x:c>
      <x:c r="F14" s="15" t="str"/>
      <x:c r="G14" s="15" t="str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6" hidden="0" customWidth="1"/>
    <x:col min="6" max="6" width="26" hidden="0" customWidth="1"/>
    <x:col min="8" max="8" width="16" hidden="0" customWidth="1"/>
    <x:col min="9" max="9" width="16" hidden="0" customWidth="1"/>
  </x:cols>
  <x:sheetData>
    <x:row r="1">
      <x:c r="A1" s="40" t="str">
        <x:v>TCVN 5574:2018 – BẢNG TRA VẬT LIỆU VERIFIED</x:v>
      </x:c>
      <x:c r="B1" s="40"/>
      <x:c r="C1" s="40"/>
      <x:c r="D1" s="40"/>
      <x:c r="E1" s="40"/>
      <x:c r="F1" s="40"/>
      <x:c r="G1" s="40"/>
      <x:c r="H1" s="40"/>
      <x:c r="I1" s="40"/>
    </x:row>
    <x:row r="3">
      <x:c r="A3" s="48" t="str">
        <x:v>Bê tông</x:v>
      </x:c>
      <x:c r="B3" s="48" t="str">
        <x:v>Rb (MPa)</x:v>
      </x:c>
      <x:c r="C3" s="48" t="str">
        <x:v>Rbt (MPa)</x:v>
      </x:c>
      <x:c r="D3" s="48" t="str">
        <x:v>Eb (MPa)</x:v>
      </x:c>
      <x:c r="E3" s="48" t="str">
        <x:v>Nguồn Rb/Rbt</x:v>
      </x:c>
      <x:c r="F3" s="48" t="str">
        <x:v>Nguồn Eb</x:v>
      </x:c>
      <x:c r="G3" s="15"/>
      <x:c r="H3" s="32" t="str">
        <x:v>Tra nhanh</x:v>
      </x:c>
      <x:c r="I3" s="32" t="str">
        <x:v>Giá trị</x:v>
      </x:c>
    </x:row>
    <x:row r="4">
      <x:c r="A4" s="15" t="str">
        <x:v>B3.5</x:v>
      </x:c>
      <x:c r="B4" s="15" t="n">
        <x:v>2.1</x:v>
      </x:c>
      <x:c r="C4" s="15" t="n">
        <x:v>0.26</x:v>
      </x:c>
      <x:c r="D4" s="15" t="n">
        <x:v>9500</x:v>
      </x:c>
      <x:c r="E4" s="15" t="str">
        <x:v>Bảng 7 · trang PDF 33</x:v>
      </x:c>
      <x:c r="F4" s="15" t="str">
        <x:v>Bảng 10 · trang PDF 36</x:v>
      </x:c>
      <x:c r="G4" s="15"/>
      <x:c r="H4" s="15" t="str">
        <x:v>Bê tông</x:v>
      </x:c>
      <x:c r="I4" s="33" t="str">
        <x:v>B30</x:v>
      </x:c>
    </x:row>
    <x:row r="5">
      <x:c r="A5" s="15" t="str">
        <x:v>B5</x:v>
      </x:c>
      <x:c r="B5" s="15" t="n">
        <x:v>2.8</x:v>
      </x:c>
      <x:c r="C5" s="15" t="n">
        <x:v>0.37</x:v>
      </x:c>
      <x:c r="D5" s="15" t="n">
        <x:v>13000</x:v>
      </x:c>
      <x:c r="E5" s="15" t="str">
        <x:v>Bảng 7 · trang PDF 33</x:v>
      </x:c>
      <x:c r="F5" s="15" t="str">
        <x:v>Bảng 10 · trang PDF 36</x:v>
      </x:c>
      <x:c r="G5" s="15"/>
      <x:c r="H5" s="15" t="str">
        <x:v>Rb</x:v>
      </x:c>
      <x:c r="I5" s="15" t="n">
        <x:f>VLOOKUP(I4,A4:D22,2,FALSE)</x:f>
        <x:v>17</x:v>
      </x:c>
    </x:row>
    <x:row r="6">
      <x:c r="A6" s="15" t="str">
        <x:v>B7.5</x:v>
      </x:c>
      <x:c r="B6" s="15" t="n">
        <x:v>4.5</x:v>
      </x:c>
      <x:c r="C6" s="15" t="n">
        <x:v>0.48</x:v>
      </x:c>
      <x:c r="D6" s="15" t="n">
        <x:v>16000</x:v>
      </x:c>
      <x:c r="E6" s="15" t="str">
        <x:v>Bảng 7 · trang PDF 33</x:v>
      </x:c>
      <x:c r="F6" s="15" t="str">
        <x:v>Bảng 10 · trang PDF 36</x:v>
      </x:c>
      <x:c r="G6" s="15"/>
      <x:c r="H6" s="15" t="str">
        <x:v>Rbt</x:v>
      </x:c>
      <x:c r="I6" s="15" t="n">
        <x:f>VLOOKUP(I4,A4:D22,3,FALSE)</x:f>
        <x:v>1.15</x:v>
      </x:c>
    </x:row>
    <x:row r="7">
      <x:c r="A7" s="15" t="str">
        <x:v>B10</x:v>
      </x:c>
      <x:c r="B7" s="15" t="n">
        <x:v>6</x:v>
      </x:c>
      <x:c r="C7" s="15" t="n">
        <x:v>0.56</x:v>
      </x:c>
      <x:c r="D7" s="15" t="n">
        <x:v>19000</x:v>
      </x:c>
      <x:c r="E7" s="15" t="str">
        <x:v>Bảng 7 · trang PDF 33</x:v>
      </x:c>
      <x:c r="F7" s="15" t="str">
        <x:v>Bảng 10 · trang PDF 36</x:v>
      </x:c>
      <x:c r="G7" s="15"/>
      <x:c r="H7" s="15" t="str">
        <x:v>Eb</x:v>
      </x:c>
      <x:c r="I7" s="15" t="n">
        <x:f>VLOOKUP(I4,A4:D22,4,FALSE)</x:f>
        <x:v>32500</x:v>
      </x:c>
    </x:row>
    <x:row r="8">
      <x:c r="A8" s="15" t="str">
        <x:v>B12.5</x:v>
      </x:c>
      <x:c r="B8" s="15" t="n">
        <x:v>7.5</x:v>
      </x:c>
      <x:c r="C8" s="15" t="n">
        <x:v>0.66</x:v>
      </x:c>
      <x:c r="D8" s="15" t="n">
        <x:v>21500</x:v>
      </x:c>
      <x:c r="E8" s="15" t="str">
        <x:v>Bảng 7 · trang PDF 33</x:v>
      </x:c>
      <x:c r="F8" s="15" t="str">
        <x:v>Bảng 10 · trang PDF 36</x:v>
      </x:c>
      <x:c r="G8" s="15"/>
      <x:c r="H8" s="15" t="str"/>
      <x:c r="I8" s="15" t="str"/>
    </x:row>
    <x:row r="9">
      <x:c r="A9" s="15" t="str">
        <x:v>B15</x:v>
      </x:c>
      <x:c r="B9" s="15" t="n">
        <x:v>8.5</x:v>
      </x:c>
      <x:c r="C9" s="15" t="n">
        <x:v>0.75</x:v>
      </x:c>
      <x:c r="D9" s="15" t="n">
        <x:v>24000</x:v>
      </x:c>
      <x:c r="E9" s="15" t="str">
        <x:v>Bảng 7 · trang PDF 33</x:v>
      </x:c>
      <x:c r="F9" s="15" t="str">
        <x:v>Bảng 10 · trang PDF 36</x:v>
      </x:c>
      <x:c r="G9" s="15"/>
      <x:c r="H9" s="15" t="str">
        <x:v>Thép</x:v>
      </x:c>
      <x:c r="I9" s="33" t="str">
        <x:v>CB400-V</x:v>
      </x:c>
    </x:row>
    <x:row r="10">
      <x:c r="A10" s="15" t="str">
        <x:v>B20</x:v>
      </x:c>
      <x:c r="B10" s="15" t="n">
        <x:v>11.5</x:v>
      </x:c>
      <x:c r="C10" s="15" t="n">
        <x:v>0.9</x:v>
      </x:c>
      <x:c r="D10" s="15" t="n">
        <x:v>27500</x:v>
      </x:c>
      <x:c r="E10" s="15" t="str">
        <x:v>Bảng 7 · trang PDF 33</x:v>
      </x:c>
      <x:c r="F10" s="15" t="str">
        <x:v>Bảng 10 · trang PDF 36</x:v>
      </x:c>
      <x:c r="G10" s="15"/>
      <x:c r="H10" s="15" t="str">
        <x:v>Rs</x:v>
      </x:c>
      <x:c r="I10" s="15" t="n">
        <x:f>VLOOKUP(I9,A26:D30,2,FALSE)</x:f>
        <x:v>350</x:v>
      </x:c>
    </x:row>
    <x:row r="11">
      <x:c r="A11" s="15" t="str">
        <x:v>B25</x:v>
      </x:c>
      <x:c r="B11" s="15" t="n">
        <x:v>14.5</x:v>
      </x:c>
      <x:c r="C11" s="15" t="n">
        <x:v>1.05</x:v>
      </x:c>
      <x:c r="D11" s="15" t="n">
        <x:v>30000</x:v>
      </x:c>
      <x:c r="E11" s="15" t="str">
        <x:v>Bảng 7 · trang PDF 33</x:v>
      </x:c>
      <x:c r="F11" s="15" t="str">
        <x:v>Bảng 10 · trang PDF 36</x:v>
      </x:c>
      <x:c r="G11" s="15"/>
      <x:c r="H11" s="15" t="str">
        <x:v>Rsc</x:v>
      </x:c>
      <x:c r="I11" s="15" t="n">
        <x:f>VLOOKUP(I9,A26:D30,3,FALSE)</x:f>
        <x:v>350</x:v>
      </x:c>
    </x:row>
    <x:row r="12">
      <x:c r="A12" s="15" t="str">
        <x:v>B30</x:v>
      </x:c>
      <x:c r="B12" s="15" t="n">
        <x:v>17</x:v>
      </x:c>
      <x:c r="C12" s="15" t="n">
        <x:v>1.15</x:v>
      </x:c>
      <x:c r="D12" s="15" t="n">
        <x:v>32500</x:v>
      </x:c>
      <x:c r="E12" s="15" t="str">
        <x:v>Bảng 7 · trang PDF 33</x:v>
      </x:c>
      <x:c r="F12" s="15" t="str">
        <x:v>Bảng 10 · trang PDF 36</x:v>
      </x:c>
      <x:c r="G12" s="15"/>
      <x:c r="H12" s="15" t="str">
        <x:v>Rsw</x:v>
      </x:c>
      <x:c r="I12" s="15" t="n">
        <x:f>VLOOKUP(I9,A26:D30,4,FALSE)</x:f>
        <x:v>280</x:v>
      </x:c>
    </x:row>
    <x:row r="13">
      <x:c r="A13" s="15" t="str">
        <x:v>B35</x:v>
      </x:c>
      <x:c r="B13" s="15" t="n">
        <x:v>19.5</x:v>
      </x:c>
      <x:c r="C13" s="15" t="n">
        <x:v>1.3</x:v>
      </x:c>
      <x:c r="D13" s="15" t="n">
        <x:v>34500</x:v>
      </x:c>
      <x:c r="E13" s="15" t="str">
        <x:v>Bảng 7 · trang PDF 33</x:v>
      </x:c>
      <x:c r="F13" s="15" t="str">
        <x:v>Bảng 10 · trang PDF 36</x:v>
      </x:c>
      <x:c r="G13" s="15"/>
      <x:c r="H13" s="15"/>
      <x:c r="I13" s="15"/>
    </x:row>
    <x:row r="14">
      <x:c r="A14" s="15" t="str">
        <x:v>B40</x:v>
      </x:c>
      <x:c r="B14" s="15" t="n">
        <x:v>22</x:v>
      </x:c>
      <x:c r="C14" s="15" t="n">
        <x:v>1.4</x:v>
      </x:c>
      <x:c r="D14" s="15" t="n">
        <x:v>36000</x:v>
      </x:c>
      <x:c r="E14" s="15" t="str">
        <x:v>Bảng 7 · trang PDF 33</x:v>
      </x:c>
      <x:c r="F14" s="15" t="str">
        <x:v>Bảng 10 · trang PDF 36</x:v>
      </x:c>
      <x:c r="G14" s="15"/>
      <x:c r="H14" s="15"/>
      <x:c r="I14" s="15"/>
    </x:row>
    <x:row r="15">
      <x:c r="A15" s="15" t="str">
        <x:v>B45</x:v>
      </x:c>
      <x:c r="B15" s="15" t="n">
        <x:v>25</x:v>
      </x:c>
      <x:c r="C15" s="15" t="n">
        <x:v>1.5</x:v>
      </x:c>
      <x:c r="D15" s="15" t="n">
        <x:v>37000</x:v>
      </x:c>
      <x:c r="E15" s="15" t="str">
        <x:v>Bảng 7 · trang PDF 33</x:v>
      </x:c>
      <x:c r="F15" s="15" t="str">
        <x:v>Bảng 10 · trang PDF 36</x:v>
      </x:c>
      <x:c r="G15" s="15"/>
      <x:c r="H15" s="15"/>
      <x:c r="I15" s="15"/>
    </x:row>
    <x:row r="16">
      <x:c r="A16" s="15" t="str">
        <x:v>B50</x:v>
      </x:c>
      <x:c r="B16" s="15" t="n">
        <x:v>27.5</x:v>
      </x:c>
      <x:c r="C16" s="15" t="n">
        <x:v>1.6</x:v>
      </x:c>
      <x:c r="D16" s="15" t="n">
        <x:v>38000</x:v>
      </x:c>
      <x:c r="E16" s="15" t="str">
        <x:v>Bảng 7 · trang PDF 33</x:v>
      </x:c>
      <x:c r="F16" s="15" t="str">
        <x:v>Bảng 10 · trang PDF 36</x:v>
      </x:c>
      <x:c r="G16" s="15"/>
      <x:c r="H16" s="15"/>
      <x:c r="I16" s="15"/>
    </x:row>
    <x:row r="17">
      <x:c r="A17" s="15" t="str">
        <x:v>B55</x:v>
      </x:c>
      <x:c r="B17" s="15" t="n">
        <x:v>30</x:v>
      </x:c>
      <x:c r="C17" s="15" t="n">
        <x:v>1.7</x:v>
      </x:c>
      <x:c r="D17" s="15" t="n">
        <x:v>39000</x:v>
      </x:c>
      <x:c r="E17" s="15" t="str">
        <x:v>Bảng 7 · trang PDF 33</x:v>
      </x:c>
      <x:c r="F17" s="15" t="str">
        <x:v>Bảng 10 · trang PDF 36</x:v>
      </x:c>
      <x:c r="G17" s="15"/>
      <x:c r="H17" s="15"/>
      <x:c r="I17" s="15"/>
    </x:row>
    <x:row r="18">
      <x:c r="A18" s="15" t="str">
        <x:v>B60</x:v>
      </x:c>
      <x:c r="B18" s="15" t="n">
        <x:v>33</x:v>
      </x:c>
      <x:c r="C18" s="15" t="n">
        <x:v>1.8</x:v>
      </x:c>
      <x:c r="D18" s="15" t="n">
        <x:v>39500</x:v>
      </x:c>
      <x:c r="E18" s="15" t="str">
        <x:v>Bảng 7 · trang PDF 33</x:v>
      </x:c>
      <x:c r="F18" s="15" t="str">
        <x:v>Bảng 10 · trang PDF 36</x:v>
      </x:c>
      <x:c r="G18" s="15"/>
      <x:c r="H18" s="15"/>
      <x:c r="I18" s="15"/>
    </x:row>
    <x:row r="19">
      <x:c r="A19" s="15" t="str">
        <x:v>B70</x:v>
      </x:c>
      <x:c r="B19" s="15" t="n">
        <x:v>37</x:v>
      </x:c>
      <x:c r="C19" s="15" t="n">
        <x:v>1.9</x:v>
      </x:c>
      <x:c r="D19" s="15" t="n">
        <x:v>41000</x:v>
      </x:c>
      <x:c r="E19" s="15" t="str">
        <x:v>Bảng 7 · trang PDF 33</x:v>
      </x:c>
      <x:c r="F19" s="15" t="str">
        <x:v>Bảng 10 · trang PDF 36</x:v>
      </x:c>
      <x:c r="G19" s="15"/>
      <x:c r="H19" s="15"/>
      <x:c r="I19" s="15"/>
    </x:row>
    <x:row r="20">
      <x:c r="A20" s="15" t="str">
        <x:v>B80</x:v>
      </x:c>
      <x:c r="B20" s="15" t="n">
        <x:v>41</x:v>
      </x:c>
      <x:c r="C20" s="15" t="n">
        <x:v>2.1</x:v>
      </x:c>
      <x:c r="D20" s="15" t="n">
        <x:v>42000</x:v>
      </x:c>
      <x:c r="E20" s="15" t="str">
        <x:v>Bảng 7 · trang PDF 33</x:v>
      </x:c>
      <x:c r="F20" s="15" t="str">
        <x:v>Bảng 10 · trang PDF 36</x:v>
      </x:c>
      <x:c r="G20" s="15"/>
      <x:c r="H20" s="15"/>
      <x:c r="I20" s="15"/>
    </x:row>
    <x:row r="21">
      <x:c r="A21" s="15" t="str">
        <x:v>B90</x:v>
      </x:c>
      <x:c r="B21" s="15" t="n">
        <x:v>44</x:v>
      </x:c>
      <x:c r="C21" s="15" t="n">
        <x:v>2.15</x:v>
      </x:c>
      <x:c r="D21" s="15" t="n">
        <x:v>42500</x:v>
      </x:c>
      <x:c r="E21" s="15" t="str">
        <x:v>Bảng 7 · trang PDF 33</x:v>
      </x:c>
      <x:c r="F21" s="15" t="str">
        <x:v>Bảng 10 · trang PDF 36</x:v>
      </x:c>
      <x:c r="G21" s="15"/>
      <x:c r="H21" s="15"/>
      <x:c r="I21" s="15"/>
    </x:row>
    <x:row r="22">
      <x:c r="A22" s="15" t="str">
        <x:v>B100</x:v>
      </x:c>
      <x:c r="B22" s="15" t="n">
        <x:v>47.5</x:v>
      </x:c>
      <x:c r="C22" s="15" t="n">
        <x:v>2.2</x:v>
      </x:c>
      <x:c r="D22" s="15" t="n">
        <x:v>43000</x:v>
      </x:c>
      <x:c r="E22" s="15" t="str">
        <x:v>Bảng 7 · trang PDF 33</x:v>
      </x:c>
      <x:c r="F22" s="15" t="str">
        <x:v>Bảng 10 · trang PDF 36</x:v>
      </x:c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48" t="str">
        <x:v>Thép</x:v>
      </x:c>
      <x:c r="B25" s="48" t="str">
        <x:v>Rs (MPa)</x:v>
      </x:c>
      <x:c r="C25" s="48" t="str">
        <x:v>Rsc (MPa)</x:v>
      </x:c>
      <x:c r="D25" s="48" t="str">
        <x:v>Rsw (MPa)</x:v>
      </x:c>
      <x:c r="E25" s="48" t="str">
        <x:v>Nguồn Rs/Rsc</x:v>
      </x:c>
      <x:c r="F25" s="48" t="str">
        <x:v>Nguồn Rsw</x:v>
      </x:c>
      <x:c r="G25" s="15"/>
      <x:c r="H25" s="15"/>
      <x:c r="I25" s="15"/>
    </x:row>
    <x:row r="26">
      <x:c r="A26" s="15" t="str">
        <x:v>CB240-T</x:v>
      </x:c>
      <x:c r="B26" s="15" t="n">
        <x:v>210</x:v>
      </x:c>
      <x:c r="C26" s="15" t="n">
        <x:v>210</x:v>
      </x:c>
      <x:c r="D26" s="15" t="n">
        <x:v>170</x:v>
      </x:c>
      <x:c r="E26" s="15" t="str">
        <x:v>Bảng 13 · trang PDF 45</x:v>
      </x:c>
      <x:c r="F26" s="15" t="str">
        <x:v>Bảng 14 · trang PDF 46</x:v>
      </x:c>
      <x:c r="G26" s="15"/>
      <x:c r="H26" s="15"/>
      <x:c r="I26" s="15"/>
    </x:row>
    <x:row r="27">
      <x:c r="A27" s="15" t="str">
        <x:v>CB300-T</x:v>
      </x:c>
      <x:c r="B27" s="15" t="n">
        <x:v>260</x:v>
      </x:c>
      <x:c r="C27" s="15" t="n">
        <x:v>260</x:v>
      </x:c>
      <x:c r="D27" s="15" t="n">
        <x:v>210</x:v>
      </x:c>
      <x:c r="E27" s="15" t="str">
        <x:v>Bảng 13 · trang PDF 45</x:v>
      </x:c>
      <x:c r="F27" s="15" t="str">
        <x:v>Bảng 14 · trang PDF 46</x:v>
      </x:c>
      <x:c r="G27" s="15"/>
      <x:c r="H27" s="15"/>
      <x:c r="I27" s="15"/>
    </x:row>
    <x:row r="28">
      <x:c r="A28" s="15" t="str">
        <x:v>CB300-V</x:v>
      </x:c>
      <x:c r="B28" s="15" t="n">
        <x:v>260</x:v>
      </x:c>
      <x:c r="C28" s="15" t="n">
        <x:v>260</x:v>
      </x:c>
      <x:c r="D28" s="15" t="n">
        <x:v>210</x:v>
      </x:c>
      <x:c r="E28" s="15" t="str">
        <x:v>Bảng 13 · trang PDF 45</x:v>
      </x:c>
      <x:c r="F28" s="15" t="str">
        <x:v>Bảng 14 · trang PDF 46</x:v>
      </x:c>
      <x:c r="G28" s="15"/>
      <x:c r="H28" s="15"/>
      <x:c r="I28" s="15"/>
    </x:row>
    <x:row r="29">
      <x:c r="A29" s="15" t="str">
        <x:v>CB400-V</x:v>
      </x:c>
      <x:c r="B29" s="15" t="n">
        <x:v>350</x:v>
      </x:c>
      <x:c r="C29" s="15" t="n">
        <x:v>350</x:v>
      </x:c>
      <x:c r="D29" s="15" t="n">
        <x:v>280</x:v>
      </x:c>
      <x:c r="E29" s="15" t="str">
        <x:v>Bảng 13 · trang PDF 45</x:v>
      </x:c>
      <x:c r="F29" s="15" t="str">
        <x:v>Bảng 14 · trang PDF 46</x:v>
      </x:c>
      <x:c r="G29" s="15"/>
      <x:c r="H29" s="15"/>
      <x:c r="I29" s="15"/>
    </x:row>
    <x:row r="30">
      <x:c r="A30" s="15" t="str">
        <x:v>CB500-V</x:v>
      </x:c>
      <x:c r="B30" s="15" t="n">
        <x:v>435</x:v>
      </x:c>
      <x:c r="C30" s="15" t="n">
        <x:v>435</x:v>
      </x:c>
      <x:c r="D30" s="15" t="n">
        <x:v>300</x:v>
      </x:c>
      <x:c r="E30" s="15" t="str">
        <x:v>Bảng 13 · trang PDF 45</x:v>
      </x:c>
      <x:c r="F30" s="15" t="str">
        <x:v>Bảng 14 · trang PDF 46</x:v>
      </x:c>
      <x:c r="G30" s="15"/>
      <x:c r="H30" s="15"/>
      <x:c r="I30" s="15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58" hidden="0" customWidth="1"/>
    <x:col min="5" max="5" width="18" hidden="0" customWidth="1"/>
    <x:col min="6" max="6" width="44" hidden="0" customWidth="1"/>
  </x:cols>
  <x:sheetData>
    <x:row r="1">
      <x:c r="A1" s="52" t="str">
        <x:v>TCVN 10304:2025 – DANH MỤC 48 CÔNG THỨC CHÍNH</x:v>
      </x:c>
      <x:c r="B1" s="52"/>
      <x:c r="C1" s="52"/>
      <x:c r="D1" s="52"/>
      <x:c r="E1" s="52"/>
      <x:c r="F1" s="52"/>
    </x:row>
    <x:row r="3">
      <x:c r="A3" s="57" t="str">
        <x:v>Công thức</x:v>
      </x:c>
      <x:c r="B3" s="57" t="str">
        <x:v>Trang PDF</x:v>
      </x:c>
      <x:c r="C3" s="57" t="str">
        <x:v>Nhóm</x:v>
      </x:c>
      <x:c r="D3" s="57" t="str">
        <x:v>Tên/mục đích</x:v>
      </x:c>
      <x:c r="E3" s="57" t="str">
        <x:v>Trạng thái</x:v>
      </x:c>
      <x:c r="F3" s="57" t="str">
        <x:v>Nguyên tắc</x:v>
      </x:c>
    </x:row>
    <x:row r="4">
      <x:c r="A4" s="15" t="str">
        <x:v>(1)</x:v>
      </x:c>
      <x:c r="B4" s="15" t="n">
        <x:v>25</x:v>
      </x:c>
      <x:c r="C4" s="15" t="str">
        <x:v>Cơ sở tính</x:v>
      </x:c>
      <x:c r="D4" s="15" t="str">
        <x:v>Chiều dài tính toán cọc theo vật liệu</x:v>
      </x:c>
      <x:c r="E4" s="15" t="str">
        <x:v>INDEXED / REVIEW</x:v>
      </x:c>
      <x:c r="F4" s="15" t="str">
        <x:v>Chỉ định vị/giải thích; phải kiểm trang gốc trước khi số hóa</x:v>
      </x:c>
    </x:row>
    <x:row r="5">
      <x:c r="A5" s="15" t="str">
        <x:v>(2)</x:v>
      </x:c>
      <x:c r="B5" s="15" t="n">
        <x:v>26</x:v>
      </x:c>
      <x:c r="C5" s="15" t="str">
        <x:v>Cơ sở tính</x:v>
      </x:c>
      <x:c r="D5" s="15" t="str">
        <x:v>Điều kiện tải truyền lên cọc theo sức chịu tải đất</x:v>
      </x:c>
      <x:c r="E5" s="15" t="str">
        <x:v>INDEXED / REVIEW</x:v>
      </x:c>
      <x:c r="F5" s="15" t="str">
        <x:v>Chỉ định vị/giải thích; phải kiểm trang gốc trước khi số hóa</x:v>
      </x:c>
    </x:row>
    <x:row r="6">
      <x:c r="A6" s="15" t="str">
        <x:v>(3)</x:v>
      </x:c>
      <x:c r="B6" s="15" t="n">
        <x:v>27</x:v>
      </x:c>
      <x:c r="C6" s="15" t="str">
        <x:v>Cơ sở tính</x:v>
      </x:c>
      <x:c r="D6" s="15" t="str">
        <x:v>Tải lên một cọc trong đài thấp</x:v>
      </x:c>
      <x:c r="E6" s="15" t="str">
        <x:v>INDEXED / REVIEW</x:v>
      </x:c>
      <x:c r="F6" s="15" t="str">
        <x:v>Chỉ định vị/giải thích; phải kiểm trang gốc trước khi số hóa</x:v>
      </x:c>
    </x:row>
    <x:row r="7">
      <x:c r="A7" s="15" t="str">
        <x:v>(4)</x:v>
      </x:c>
      <x:c r="B7" s="15" t="n">
        <x:v>28</x:v>
      </x:c>
      <x:c r="C7" s="15" t="str">
        <x:v>Cơ sở tính</x:v>
      </x:c>
      <x:c r="D7" s="15" t="str">
        <x:v>Điều kiện biến dạng</x:v>
      </x:c>
      <x:c r="E7" s="15" t="str">
        <x:v>INDEXED / REVIEW</x:v>
      </x:c>
      <x:c r="F7" s="15" t="str">
        <x:v>Chỉ định vị/giải thích; phải kiểm trang gốc trước khi số hóa</x:v>
      </x:c>
    </x:row>
    <x:row r="8">
      <x:c r="A8" s="15" t="str">
        <x:v>(5)</x:v>
      </x:c>
      <x:c r="B8" s="15" t="n">
        <x:v>28</x:v>
      </x:c>
      <x:c r="C8" s="15" t="str">
        <x:v>Sức chịu tải</x:v>
      </x:c>
      <x:c r="D8" s="15" t="str">
        <x:v>Cọc chống – Rk=Rkb</x:v>
      </x:c>
      <x:c r="E8" s="15" t="str">
        <x:v>VERIFIED</x:v>
      </x:c>
      <x:c r="F8" s="15" t="str">
        <x:v>Cho phép tính tự động trong HNL</x:v>
      </x:c>
    </x:row>
    <x:row r="9">
      <x:c r="A9" s="15" t="str">
        <x:v>(6)</x:v>
      </x:c>
      <x:c r="B9" s="15" t="n">
        <x:v>28</x:v>
      </x:c>
      <x:c r="C9" s="15" t="str">
        <x:v>Sức chịu tải</x:v>
      </x:c>
      <x:c r="D9" s="15" t="str">
        <x:v>Sức chịu tải nền dưới mũi cọc chống</x:v>
      </x:c>
      <x:c r="E9" s="15" t="str">
        <x:v>VERIFIED</x:v>
      </x:c>
      <x:c r="F9" s="15" t="str">
        <x:v>Cho phép tính tự động trong HNL</x:v>
      </x:c>
    </x:row>
    <x:row r="10">
      <x:c r="A10" s="15" t="str">
        <x:v>(7)</x:v>
      </x:c>
      <x:c r="B10" s="15" t="n">
        <x:v>29</x:v>
      </x:c>
      <x:c r="C10" s="15" t="str">
        <x:v>Sức chịu tải</x:v>
      </x:c>
      <x:c r="D10" s="15" t="str">
        <x:v>Sức kháng đá dưới mũi</x:v>
      </x:c>
      <x:c r="E10" s="15" t="str">
        <x:v>VERIFIED</x:v>
      </x:c>
      <x:c r="F10" s="15" t="str">
        <x:v>Cho phép tính tự động trong HNL</x:v>
      </x:c>
    </x:row>
    <x:row r="11">
      <x:c r="A11" s="15" t="str">
        <x:v>(8)</x:v>
      </x:c>
      <x:c r="B11" s="15" t="n">
        <x:v>30</x:v>
      </x:c>
      <x:c r="C11" s="15" t="str">
        <x:v>Sức chịu tải</x:v>
      </x:c>
      <x:c r="D11" s="15" t="str">
        <x:v>Sức kháng đá khi cọc chôn vào đá</x:v>
      </x:c>
      <x:c r="E11" s="15" t="str">
        <x:v>VERIFIED</x:v>
      </x:c>
      <x:c r="F11" s="15" t="str">
        <x:v>Cho phép tính tự động trong HNL</x:v>
      </x:c>
    </x:row>
    <x:row r="12">
      <x:c r="A12" s="15" t="str">
        <x:v>(9)</x:v>
      </x:c>
      <x:c r="B12" s="15" t="n">
        <x:v>31</x:v>
      </x:c>
      <x:c r="C12" s="15" t="str">
        <x:v>Sức chịu tải</x:v>
      </x:c>
      <x:c r="D12" s="15" t="str">
        <x:v>Cọc đóng/ép/ống không moi đất</x:v>
      </x:c>
      <x:c r="E12" s="15" t="str">
        <x:v>VERIFIED</x:v>
      </x:c>
      <x:c r="F12" s="15" t="str">
        <x:v>Cho phép tính tự động trong HNL</x:v>
      </x:c>
    </x:row>
    <x:row r="13">
      <x:c r="A13" s="15" t="str">
        <x:v>(10)</x:v>
      </x:c>
      <x:c r="B13" s="15" t="n">
        <x:v>36</x:v>
      </x:c>
      <x:c r="C13" s="15" t="str">
        <x:v>Sức chịu tải</x:v>
      </x:c>
      <x:c r="D13" s="15" t="str">
        <x:v>Cọc ma sát theo chỉ tiêu đất và ki</x:v>
      </x:c>
      <x:c r="E13" s="15" t="str">
        <x:v>INDEXED / REVIEW</x:v>
      </x:c>
      <x:c r="F13" s="15" t="str">
        <x:v>Chỉ định vị/giải thích; phải kiểm trang gốc trước khi số hóa</x:v>
      </x:c>
    </x:row>
    <x:row r="14">
      <x:c r="A14" s="15" t="str">
        <x:v>(11)</x:v>
      </x:c>
      <x:c r="B14" s="15" t="n">
        <x:v>37</x:v>
      </x:c>
      <x:c r="C14" s="15" t="str">
        <x:v>Sức chịu tải</x:v>
      </x:c>
      <x:c r="D14" s="15" t="str">
        <x:v>Sức chịu tải theo mặt bên</x:v>
      </x:c>
      <x:c r="E14" s="15" t="str">
        <x:v>INDEXED / REVIEW</x:v>
      </x:c>
      <x:c r="F14" s="15" t="str">
        <x:v>Chỉ định vị/giải thích; phải kiểm trang gốc trước khi số hóa</x:v>
      </x:c>
    </x:row>
    <x:row r="15">
      <x:c r="A15" s="15" t="str">
        <x:v>(12)</x:v>
      </x:c>
      <x:c r="B15" s="15" t="n">
        <x:v>37</x:v>
      </x:c>
      <x:c r="C15" s="15" t="str">
        <x:v>Sức chịu tải</x:v>
      </x:c>
      <x:c r="D15" s="15" t="str">
        <x:v>Dự kiến theo cọc tương tự</x:v>
      </x:c>
      <x:c r="E15" s="15" t="str">
        <x:v>INDEXED / REVIEW</x:v>
      </x:c>
      <x:c r="F15" s="15" t="str">
        <x:v>Chỉ định vị/giải thích; phải kiểm trang gốc trước khi số hóa</x:v>
      </x:c>
    </x:row>
    <x:row r="16">
      <x:c r="A16" s="15" t="str">
        <x:v>(13)</x:v>
      </x:c>
      <x:c r="B16" s="15" t="n">
        <x:v>37</x:v>
      </x:c>
      <x:c r="C16" s="15" t="str">
        <x:v>Sức chịu tải</x:v>
      </x:c>
      <x:c r="D16" s="15" t="str">
        <x:v>Cọc nhồi/khoan/ống có moi đất</x:v>
      </x:c>
      <x:c r="E16" s="15" t="str">
        <x:v>INDEXED / REVIEW</x:v>
      </x:c>
      <x:c r="F16" s="15" t="str">
        <x:v>Chỉ định vị/giải thích; phải kiểm trang gốc trước khi số hóa</x:v>
      </x:c>
    </x:row>
    <x:row r="17">
      <x:c r="A17" s="15" t="str">
        <x:v>(14)</x:v>
      </x:c>
      <x:c r="B17" s="15" t="n">
        <x:v>40</x:v>
      </x:c>
      <x:c r="C17" s="15" t="str">
        <x:v>Sức chịu tải</x:v>
      </x:c>
      <x:c r="D17" s="15" t="str">
        <x:v>qb cọc nhồi – đất hòn lớn/cát</x:v>
      </x:c>
      <x:c r="E17" s="15" t="str">
        <x:v>INDEXED / REVIEW</x:v>
      </x:c>
      <x:c r="F17" s="15" t="str">
        <x:v>Chỉ định vị/giải thích; phải kiểm trang gốc trước khi số hóa</x:v>
      </x:c>
    </x:row>
    <x:row r="18">
      <x:c r="A18" s="15" t="str">
        <x:v>(15)</x:v>
      </x:c>
      <x:c r="B18" s="15" t="n">
        <x:v>40</x:v>
      </x:c>
      <x:c r="C18" s="15" t="str">
        <x:v>Sức chịu tải</x:v>
      </x:c>
      <x:c r="D18" s="15" t="str">
        <x:v>qb cọc nhồi – đất loại sét</x:v>
      </x:c>
      <x:c r="E18" s="15" t="str">
        <x:v>INDEXED / REVIEW</x:v>
      </x:c>
      <x:c r="F18" s="15" t="str">
        <x:v>Chỉ định vị/giải thích; phải kiểm trang gốc trước khi số hóa</x:v>
      </x:c>
    </x:row>
    <x:row r="19">
      <x:c r="A19" s="15" t="str">
        <x:v>(16)</x:v>
      </x:c>
      <x:c r="B19" s="15" t="n">
        <x:v>42</x:v>
      </x:c>
      <x:c r="C19" s="15" t="str">
        <x:v>Sức chịu tải</x:v>
      </x:c>
      <x:c r="D19" s="15" t="str">
        <x:v>Cọc nhồi chịu kéo</x:v>
      </x:c>
      <x:c r="E19" s="15" t="str">
        <x:v>INDEXED / REVIEW</x:v>
      </x:c>
      <x:c r="F19" s="15" t="str">
        <x:v>Chỉ định vị/giải thích; phải kiểm trang gốc trước khi số hóa</x:v>
      </x:c>
    </x:row>
    <x:row r="20">
      <x:c r="A20" s="15" t="str">
        <x:v>(17)</x:v>
      </x:c>
      <x:c r="B20" s="15" t="n">
        <x:v>43</x:v>
      </x:c>
      <x:c r="C20" s="15" t="str">
        <x:v>Sức chịu tải</x:v>
      </x:c>
      <x:c r="D20" s="15" t="str">
        <x:v>Cọc vít</x:v>
      </x:c>
      <x:c r="E20" s="15" t="str">
        <x:v>INDEXED / REVIEW</x:v>
      </x:c>
      <x:c r="F20" s="15" t="str">
        <x:v>Chỉ định vị/giải thích; phải kiểm trang gốc trước khi số hóa</x:v>
      </x:c>
    </x:row>
    <x:row r="21">
      <x:c r="A21" s="15" t="str">
        <x:v>(18)</x:v>
      </x:c>
      <x:c r="B21" s="15" t="n">
        <x:v>44</x:v>
      </x:c>
      <x:c r="C21" s="15" t="str">
        <x:v>Sức chịu tải</x:v>
      </x:c>
      <x:c r="D21" s="15" t="str">
        <x:v>Cánh cọc vít</x:v>
      </x:c>
      <x:c r="E21" s="15" t="str">
        <x:v>INDEXED / REVIEW</x:v>
      </x:c>
      <x:c r="F21" s="15" t="str">
        <x:v>Chỉ định vị/giải thích; phải kiểm trang gốc trước khi số hóa</x:v>
      </x:c>
    </x:row>
    <x:row r="22">
      <x:c r="A22" s="15" t="str">
        <x:v>(19)</x:v>
      </x:c>
      <x:c r="B22" s="15" t="n">
        <x:v>44</x:v>
      </x:c>
      <x:c r="C22" s="15" t="str">
        <x:v>Sức chịu tải</x:v>
      </x:c>
      <x:c r="D22" s="15" t="str">
        <x:v>Mặt bên thân cọc vít</x:v>
      </x:c>
      <x:c r="E22" s="15" t="str">
        <x:v>INDEXED / REVIEW</x:v>
      </x:c>
      <x:c r="F22" s="15" t="str">
        <x:v>Chỉ định vị/giải thích; phải kiểm trang gốc trước khi số hóa</x:v>
      </x:c>
    </x:row>
    <x:row r="23">
      <x:c r="A23" s="15" t="str">
        <x:v>(20)</x:v>
      </x:c>
      <x:c r="B23" s="15" t="n">
        <x:v>49</x:v>
      </x:c>
      <x:c r="C23" s="15" t="str">
        <x:v>Sức chịu tải</x:v>
      </x:c>
      <x:c r="D23" s="15" t="str">
        <x:v>Tải tĩnh</x:v>
      </x:c>
      <x:c r="E23" s="15" t="str">
        <x:v>INDEXED / REVIEW</x:v>
      </x:c>
      <x:c r="F23" s="15" t="str">
        <x:v>Chỉ định vị/giải thích; phải kiểm trang gốc trước khi số hóa</x:v>
      </x:c>
    </x:row>
    <x:row r="24">
      <x:c r="A24" s="15" t="str">
        <x:v>(21)</x:v>
      </x:c>
      <x:c r="B24" s="15" t="n">
        <x:v>50</x:v>
      </x:c>
      <x:c r="C24" s="15" t="str">
        <x:v>Sức chịu tải</x:v>
      </x:c>
      <x:c r="D24" s="15" t="str">
        <x:v>Độ lún giới hạn tải tĩnh</x:v>
      </x:c>
      <x:c r="E24" s="15" t="str">
        <x:v>INDEXED / REVIEW</x:v>
      </x:c>
      <x:c r="F24" s="15" t="str">
        <x:v>Chỉ định vị/giải thích; phải kiểm trang gốc trước khi số hóa</x:v>
      </x:c>
    </x:row>
    <x:row r="25">
      <x:c r="A25" s="15" t="str">
        <x:v>(22)</x:v>
      </x:c>
      <x:c r="B25" s="15" t="n">
        <x:v>52</x:v>
      </x:c>
      <x:c r="C25" s="15" t="str">
        <x:v>Sức chịu tải</x:v>
      </x:c>
      <x:c r="D25" s="15" t="str">
        <x:v>Động – độ chối dư</x:v>
      </x:c>
      <x:c r="E25" s="15" t="str">
        <x:v>INDEXED / REVIEW</x:v>
      </x:c>
      <x:c r="F25" s="15" t="str">
        <x:v>Chỉ định vị/giải thích; phải kiểm trang gốc trước khi số hóa</x:v>
      </x:c>
    </x:row>
    <x:row r="26">
      <x:c r="A26" s="15" t="str">
        <x:v>(23)</x:v>
      </x:c>
      <x:c r="B26" s="15" t="n">
        <x:v>52</x:v>
      </x:c>
      <x:c r="C26" s="15" t="str">
        <x:v>Sức chịu tải</x:v>
      </x:c>
      <x:c r="D26" s="15" t="str">
        <x:v>Động – không đo độ chối dư</x:v>
      </x:c>
      <x:c r="E26" s="15" t="str">
        <x:v>INDEXED / REVIEW</x:v>
      </x:c>
      <x:c r="F26" s="15" t="str">
        <x:v>Chỉ định vị/giải thích; phải kiểm trang gốc trước khi số hóa</x:v>
      </x:c>
    </x:row>
    <x:row r="27">
      <x:c r="A27" s="15" t="str">
        <x:v>(24)</x:v>
      </x:c>
      <x:c r="B27" s="15" t="n">
        <x:v>53</x:v>
      </x:c>
      <x:c r="C27" s="15" t="str">
        <x:v>Sức chịu tải</x:v>
      </x:c>
      <x:c r="D27" s="15" t="str">
        <x:v>Chuyển đổi sức kháng động-tĩnh</x:v>
      </x:c>
      <x:c r="E27" s="15" t="str">
        <x:v>INDEXED / REVIEW</x:v>
      </x:c>
      <x:c r="F27" s="15" t="str">
        <x:v>Chỉ định vị/giải thích; phải kiểm trang gốc trước khi số hóa</x:v>
      </x:c>
    </x:row>
    <x:row r="28">
      <x:c r="A28" s="15" t="str">
        <x:v>(25)</x:v>
      </x:c>
      <x:c r="B28" s="15" t="n">
        <x:v>55</x:v>
      </x:c>
      <x:c r="C28" s="15" t="str">
        <x:v>Sức chịu tải</x:v>
      </x:c>
      <x:c r="D28" s="15" t="str">
        <x:v>CPT – sức chịu tải giới hạn</x:v>
      </x:c>
      <x:c r="E28" s="15" t="str">
        <x:v>INDEXED / REVIEW</x:v>
      </x:c>
      <x:c r="F28" s="15" t="str">
        <x:v>Chỉ định vị/giải thích; phải kiểm trang gốc trước khi số hóa</x:v>
      </x:c>
    </x:row>
    <x:row r="29">
      <x:c r="A29" s="15" t="str">
        <x:v>(26)</x:v>
      </x:c>
      <x:c r="B29" s="15" t="n">
        <x:v>56</x:v>
      </x:c>
      <x:c r="C29" s="15" t="str">
        <x:v>Sức chịu tải</x:v>
      </x:c>
      <x:c r="D29" s="15" t="str">
        <x:v>CPT – mũi cọc</x:v>
      </x:c>
      <x:c r="E29" s="15" t="str">
        <x:v>INDEXED / REVIEW</x:v>
      </x:c>
      <x:c r="F29" s="15" t="str">
        <x:v>Chỉ định vị/giải thích; phải kiểm trang gốc trước khi số hóa</x:v>
      </x:c>
    </x:row>
    <x:row r="30">
      <x:c r="A30" s="15" t="str">
        <x:v>(27)</x:v>
      </x:c>
      <x:c r="B30" s="15" t="n">
        <x:v>56</x:v>
      </x:c>
      <x:c r="C30" s="15" t="str">
        <x:v>Sức chịu tải</x:v>
      </x:c>
      <x:c r="D30" s="15" t="str">
        <x:v>CPT – mặt bên loại I</x:v>
      </x:c>
      <x:c r="E30" s="15" t="str">
        <x:v>INDEXED / REVIEW</x:v>
      </x:c>
      <x:c r="F30" s="15" t="str">
        <x:v>Chỉ định vị/giải thích; phải kiểm trang gốc trước khi số hóa</x:v>
      </x:c>
    </x:row>
    <x:row r="31">
      <x:c r="A31" s="15" t="str">
        <x:v>(28)</x:v>
      </x:c>
      <x:c r="B31" s="15" t="n">
        <x:v>56</x:v>
      </x:c>
      <x:c r="C31" s="15" t="str">
        <x:v>Sức chịu tải</x:v>
      </x:c>
      <x:c r="D31" s="15" t="str">
        <x:v>CPT – mặt bên loại II/III</x:v>
      </x:c>
      <x:c r="E31" s="15" t="str">
        <x:v>INDEXED / REVIEW</x:v>
      </x:c>
      <x:c r="F31" s="15" t="str">
        <x:v>Chỉ định vị/giải thích; phải kiểm trang gốc trước khi số hóa</x:v>
      </x:c>
    </x:row>
    <x:row r="32">
      <x:c r="A32" s="15" t="str">
        <x:v>(29)</x:v>
      </x:c>
      <x:c r="B32" s="15" t="n">
        <x:v>57</x:v>
      </x:c>
      <x:c r="C32" s="15" t="str">
        <x:v>Sức chịu tải</x:v>
      </x:c>
      <x:c r="D32" s="15" t="str">
        <x:v>Cọc khoan/nhồi theo CPT</x:v>
      </x:c>
      <x:c r="E32" s="15" t="str">
        <x:v>INDEXED / REVIEW</x:v>
      </x:c>
      <x:c r="F32" s="15" t="str">
        <x:v>Chỉ định vị/giải thích; phải kiểm trang gốc trước khi số hóa</x:v>
      </x:c>
    </x:row>
    <x:row r="33">
      <x:c r="A33" s="15" t="str">
        <x:v>(30)</x:v>
      </x:c>
      <x:c r="B33" s="15" t="n">
        <x:v>59</x:v>
      </x:c>
      <x:c r="C33" s="15" t="str">
        <x:v>Biến dạng/lún</x:v>
      </x:c>
      <x:c r="D33" s="15" t="str">
        <x:v>Độ lún cọc đơn</x:v>
      </x:c>
      <x:c r="E33" s="15" t="str">
        <x:v>INDEXED / REVIEW</x:v>
      </x:c>
      <x:c r="F33" s="15" t="str">
        <x:v>Chỉ định vị/giải thích; phải kiểm trang gốc trước khi số hóa</x:v>
      </x:c>
    </x:row>
    <x:row r="34">
      <x:c r="A34" s="15" t="str">
        <x:v>(31)</x:v>
      </x:c>
      <x:c r="B34" s="15" t="n">
        <x:v>59</x:v>
      </x:c>
      <x:c r="C34" s="15" t="str">
        <x:v>Biến dạng/lún</x:v>
      </x:c>
      <x:c r="D34" s="15" t="str">
        <x:v>Hệ số beta</x:v>
      </x:c>
      <x:c r="E34" s="15" t="str">
        <x:v>INDEXED / REVIEW</x:v>
      </x:c>
      <x:c r="F34" s="15" t="str">
        <x:v>Chỉ định vị/giải thích; phải kiểm trang gốc trước khi số hóa</x:v>
      </x:c>
    </x:row>
    <x:row r="35">
      <x:c r="A35" s="15" t="str">
        <x:v>(32)</x:v>
      </x:c>
      <x:c r="B35" s="15" t="n">
        <x:v>60</x:v>
      </x:c>
      <x:c r="C35" s="15" t="str">
        <x:v>Biến dạng/lún</x:v>
      </x:c>
      <x:c r="D35" s="15" t="str">
        <x:v>Độ mềm tương đối lambda</x:v>
      </x:c>
      <x:c r="E35" s="15" t="str">
        <x:v>INDEXED / REVIEW</x:v>
      </x:c>
      <x:c r="F35" s="15" t="str">
        <x:v>Chỉ định vị/giải thích; phải kiểm trang gốc trước khi số hóa</x:v>
      </x:c>
    </x:row>
    <x:row r="36">
      <x:c r="A36" s="15" t="str">
        <x:v>(33)</x:v>
      </x:c>
      <x:c r="B36" s="15" t="n">
        <x:v>60</x:v>
      </x:c>
      <x:c r="C36" s="15" t="str">
        <x:v>Biến dạng/lún</x:v>
      </x:c>
      <x:c r="D36" s="15" t="str">
        <x:v>Hệ số kv</x:v>
      </x:c>
      <x:c r="E36" s="15" t="str">
        <x:v>INDEXED / REVIEW</x:v>
      </x:c>
      <x:c r="F36" s="15" t="str">
        <x:v>Chỉ định vị/giải thích; phải kiểm trang gốc trước khi số hóa</x:v>
      </x:c>
    </x:row>
    <x:row r="37">
      <x:c r="A37" s="15" t="str">
        <x:v>(34)</x:v>
      </x:c>
      <x:c r="B37" s="15" t="n">
        <x:v>60</x:v>
      </x:c>
      <x:c r="C37" s="15" t="str">
        <x:v>Biến dạng/lún</x:v>
      </x:c>
      <x:c r="D37" s="15" t="str">
        <x:v>Độ lún qua lớp biến dạng nhỏ</x:v>
      </x:c>
      <x:c r="E37" s="15" t="str">
        <x:v>INDEXED / REVIEW</x:v>
      </x:c>
      <x:c r="F37" s="15" t="str">
        <x:v>Chỉ định vị/giải thích; phải kiểm trang gốc trước khi số hóa</x:v>
      </x:c>
    </x:row>
    <x:row r="38">
      <x:c r="A38" s="15" t="str">
        <x:v>(35)</x:v>
      </x:c>
      <x:c r="B38" s="15" t="n">
        <x:v>60</x:v>
      </x:c>
      <x:c r="C38" s="15" t="str">
        <x:v>Biến dạng/lún</x:v>
      </x:c>
      <x:c r="D38" s="15" t="str">
        <x:v>Đường kính quy đổi</x:v>
      </x:c>
      <x:c r="E38" s="15" t="str">
        <x:v>INDEXED / REVIEW</x:v>
      </x:c>
      <x:c r="F38" s="15" t="str">
        <x:v>Chỉ định vị/giải thích; phải kiểm trang gốc trước khi số hóa</x:v>
      </x:c>
    </x:row>
    <x:row r="39">
      <x:c r="A39" s="15" t="str">
        <x:v>(36)</x:v>
      </x:c>
      <x:c r="B39" s="15" t="n">
        <x:v>61</x:v>
      </x:c>
      <x:c r="C39" s="15" t="str">
        <x:v>Biến dạng/lún</x:v>
      </x:c>
      <x:c r="D39" s="15" t="str">
        <x:v>Độ lún nhóm cọc</x:v>
      </x:c>
      <x:c r="E39" s="15" t="str">
        <x:v>INDEXED / REVIEW</x:v>
      </x:c>
      <x:c r="F39" s="15" t="str">
        <x:v>Chỉ định vị/giải thích; phải kiểm trang gốc trước khi số hóa</x:v>
      </x:c>
    </x:row>
    <x:row r="40">
      <x:c r="A40" s="15" t="str">
        <x:v>(37)</x:v>
      </x:c>
      <x:c r="B40" s="15" t="n">
        <x:v>61</x:v>
      </x:c>
      <x:c r="C40" s="15" t="str">
        <x:v>Biến dạng/lún</x:v>
      </x:c>
      <x:c r="D40" s="15" t="str">
        <x:v>Hệ số phân phối/ảnh hưởng nhóm</x:v>
      </x:c>
      <x:c r="E40" s="15" t="str">
        <x:v>INDEXED / REVIEW</x:v>
      </x:c>
      <x:c r="F40" s="15" t="str">
        <x:v>Chỉ định vị/giải thích; phải kiểm trang gốc trước khi số hóa</x:v>
      </x:c>
    </x:row>
    <x:row r="41">
      <x:c r="A41" s="15" t="str">
        <x:v>(38)</x:v>
      </x:c>
      <x:c r="B41" s="15" t="n">
        <x:v>61</x:v>
      </x:c>
      <x:c r="C41" s="15" t="str">
        <x:v>Biến dạng/lún</x:v>
      </x:c>
      <x:c r="D41" s="15" t="str">
        <x:v>Độ lún nhóm có phân bố tải</x:v>
      </x:c>
      <x:c r="E41" s="15" t="str">
        <x:v>INDEXED / REVIEW</x:v>
      </x:c>
      <x:c r="F41" s="15" t="str">
        <x:v>Chỉ định vị/giải thích; phải kiểm trang gốc trước khi số hóa</x:v>
      </x:c>
    </x:row>
    <x:row r="42">
      <x:c r="A42" s="15" t="str">
        <x:v>(39)</x:v>
      </x:c>
      <x:c r="B42" s="15" t="n">
        <x:v>62</x:v>
      </x:c>
      <x:c r="C42" s="15" t="str">
        <x:v>Biến dạng/lún</x:v>
      </x:c>
      <x:c r="D42" s="15" t="str">
        <x:v>Chiều dài tính toán tương đương</x:v>
      </x:c>
      <x:c r="E42" s="15" t="str">
        <x:v>INDEXED / REVIEW</x:v>
      </x:c>
      <x:c r="F42" s="15" t="str">
        <x:v>Chỉ định vị/giải thích; phải kiểm trang gốc trước khi số hóa</x:v>
      </x:c>
    </x:row>
    <x:row r="43">
      <x:c r="A43" s="15" t="str">
        <x:v>(40)</x:v>
      </x:c>
      <x:c r="B43" s="15" t="n">
        <x:v>62</x:v>
      </x:c>
      <x:c r="C43" s="15" t="str">
        <x:v>Biến dạng/lún</x:v>
      </x:c>
      <x:c r="D43" s="15" t="str">
        <x:v>Độ cứng tương đối nhóm</x:v>
      </x:c>
      <x:c r="E43" s="15" t="str">
        <x:v>INDEXED / REVIEW</x:v>
      </x:c>
      <x:c r="F43" s="15" t="str">
        <x:v>Chỉ định vị/giải thích; phải kiểm trang gốc trước khi số hóa</x:v>
      </x:c>
    </x:row>
    <x:row r="44">
      <x:c r="A44" s="15" t="str">
        <x:v>(41)</x:v>
      </x:c>
      <x:c r="B44" s="15" t="n">
        <x:v>62</x:v>
      </x:c>
      <x:c r="C44" s="15" t="str">
        <x:v>Biến dạng/lún</x:v>
      </x:c>
      <x:c r="D44" s="15" t="str">
        <x:v>Độ lún móng khối quy ước</x:v>
      </x:c>
      <x:c r="E44" s="15" t="str">
        <x:v>INDEXED / REVIEW</x:v>
      </x:c>
      <x:c r="F44" s="15" t="str">
        <x:v>Chỉ định vị/giải thích; phải kiểm trang gốc trước khi số hóa</x:v>
      </x:c>
    </x:row>
    <x:row r="45">
      <x:c r="A45" s="15" t="str">
        <x:v>(42)</x:v>
      </x:c>
      <x:c r="B45" s="15" t="n">
        <x:v>63</x:v>
      </x:c>
      <x:c r="C45" s="15" t="str">
        <x:v>Biến dạng/lún</x:v>
      </x:c>
      <x:c r="D45" s="15" t="str">
        <x:v>Lún bổ sung do cọc xuyên đất yếu</x:v>
      </x:c>
      <x:c r="E45" s="15" t="str">
        <x:v>INDEXED / REVIEW</x:v>
      </x:c>
      <x:c r="F45" s="15" t="str">
        <x:v>Chỉ định vị/giải thích; phải kiểm trang gốc trước khi số hóa</x:v>
      </x:c>
    </x:row>
    <x:row r="46">
      <x:c r="A46" s="15" t="str">
        <x:v>(43)</x:v>
      </x:c>
      <x:c r="B46" s="15" t="n">
        <x:v>63</x:v>
      </x:c>
      <x:c r="C46" s="15" t="str">
        <x:v>Biến dạng/lún</x:v>
      </x:c>
      <x:c r="D46" s="15" t="str">
        <x:v>Thành phần lún bổ sung</x:v>
      </x:c>
      <x:c r="E46" s="15" t="str">
        <x:v>INDEXED / REVIEW</x:v>
      </x:c>
      <x:c r="F46" s="15" t="str">
        <x:v>Chỉ định vị/giải thích; phải kiểm trang gốc trước khi số hóa</x:v>
      </x:c>
    </x:row>
    <x:row r="47">
      <x:c r="A47" s="15" t="str">
        <x:v>(44)</x:v>
      </x:c>
      <x:c r="B47" s="15" t="n">
        <x:v>63</x:v>
      </x:c>
      <x:c r="C47" s="15" t="str">
        <x:v>Biến dạng/lún</x:v>
      </x:c>
      <x:c r="D47" s="15" t="str">
        <x:v>Thành phần lún bổ sung</x:v>
      </x:c>
      <x:c r="E47" s="15" t="str">
        <x:v>INDEXED / REVIEW</x:v>
      </x:c>
      <x:c r="F47" s="15" t="str">
        <x:v>Chỉ định vị/giải thích; phải kiểm trang gốc trước khi số hóa</x:v>
      </x:c>
    </x:row>
    <x:row r="48">
      <x:c r="A48" s="15" t="str">
        <x:v>(45)</x:v>
      </x:c>
      <x:c r="B48" s="15" t="n">
        <x:v>64</x:v>
      </x:c>
      <x:c r="C48" s="15" t="str">
        <x:v>Biến dạng/lún</x:v>
      </x:c>
      <x:c r="D48" s="15" t="str">
        <x:v>Độ lún bổ sung</x:v>
      </x:c>
      <x:c r="E48" s="15" t="str">
        <x:v>INDEXED / REVIEW</x:v>
      </x:c>
      <x:c r="F48" s="15" t="str">
        <x:v>Chỉ định vị/giải thích; phải kiểm trang gốc trước khi số hóa</x:v>
      </x:c>
    </x:row>
    <x:row r="49">
      <x:c r="A49" s="15" t="str">
        <x:v>(46)</x:v>
      </x:c>
      <x:c r="B49" s="15" t="n">
        <x:v>65</x:v>
      </x:c>
      <x:c r="C49" s="15" t="str">
        <x:v>Biến dạng/lún</x:v>
      </x:c>
      <x:c r="D49" s="15" t="str">
        <x:v>Hệ số tương tác</x:v>
      </x:c>
      <x:c r="E49" s="15" t="str">
        <x:v>INDEXED / REVIEW</x:v>
      </x:c>
      <x:c r="F49" s="15" t="str">
        <x:v>Chỉ định vị/giải thích; phải kiểm trang gốc trước khi số hóa</x:v>
      </x:c>
    </x:row>
    <x:row r="50">
      <x:c r="A50" s="15" t="str">
        <x:v>(47)</x:v>
      </x:c>
      <x:c r="B50" s="15" t="n">
        <x:v>69</x:v>
      </x:c>
      <x:c r="C50" s="15" t="str">
        <x:v>Ảnh hưởng thi công</x:v>
      </x:c>
      <x:c r="D50" s="15" t="str">
        <x:v>Vận tốc dao động</x:v>
      </x:c>
      <x:c r="E50" s="15" t="str">
        <x:v>INDEXED / REVIEW</x:v>
      </x:c>
      <x:c r="F50" s="15" t="str">
        <x:v>Chỉ định vị/giải thích; phải kiểm trang gốc trước khi số hóa</x:v>
      </x:c>
    </x:row>
    <x:row r="51">
      <x:c r="A51" s="15" t="str">
        <x:v>(48)</x:v>
      </x:c>
      <x:c r="B51" s="15" t="n">
        <x:v>69</x:v>
      </x:c>
      <x:c r="C51" s="15" t="str">
        <x:v>Ảnh hưởng thi công</x:v>
      </x:c>
      <x:c r="D51" s="15" t="str">
        <x:v>Lực va chạm/ảnh hưởng thi công</x:v>
      </x:c>
      <x:c r="E51" s="15" t="str">
        <x:v>INDEXED / REVIEW</x:v>
      </x:c>
      <x:c r="F51" s="15" t="str">
        <x:v>Chỉ định vị/giải thích; phải kiểm trang gốc trước khi số hóa</x:v>
      </x:c>
    </x:row>
  </x:sheetData>
  <x:mergeCells>
    <x:mergeCell ref="A1:F1"/>
  </x:mergeCells>
  <x:pageMargins left="0.7" right="0.7" top="0.75" bottom="0.75" header="0.3" footer="0.3"/>
</x:worksheet>
</file>