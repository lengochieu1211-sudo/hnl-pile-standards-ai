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fe43b4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cd6cfe3543604abf"/>
    <x:sheet xmlns:r="http://schemas.openxmlformats.org/officeDocument/2006/relationships" name="01_TỔNG_HỢP" sheetId="2" r:id="R22cb64b617834fb5"/>
    <x:sheet xmlns:r="http://schemas.openxmlformats.org/officeDocument/2006/relationships" name="02_ĐẦU_VÀO" sheetId="3" r:id="R20d651afac874c8a"/>
    <x:sheet xmlns:r="http://schemas.openxmlformats.org/officeDocument/2006/relationships" name="03_ĐỊA_CHẤT_SPT" sheetId="4" r:id="R9ecd8b508de2489b"/>
    <x:sheet xmlns:r="http://schemas.openxmlformats.org/officeDocument/2006/relationships" name="04_TÍNH_ĐẤT" sheetId="5" r:id="Rc7b10304e8a840fe"/>
    <x:sheet xmlns:r="http://schemas.openxmlformats.org/officeDocument/2006/relationships" name="05_VẬT_LIỆU" sheetId="6" r:id="Rcb0fcd73647c4388"/>
    <x:sheet xmlns:r="http://schemas.openxmlformats.org/officeDocument/2006/relationships" name="06_SỨC_CHỊU_TẢI" sheetId="7" r:id="R6265e45fbe5d4f74"/>
    <x:sheet xmlns:r="http://schemas.openxmlformats.org/officeDocument/2006/relationships" name="07_DỮ_LIỆU_KẾT_CẤU" sheetId="8" r:id="Rdc1063e8b3004047"/>
    <x:sheet xmlns:r="http://schemas.openxmlformats.org/officeDocument/2006/relationships" name="08_KIỂM_TRA_CỌC" sheetId="9" r:id="Rbf97b4f265eb4f14"/>
    <x:sheet xmlns:r="http://schemas.openxmlformats.org/officeDocument/2006/relationships" name="09_CỌC_BẤT_LỢI" sheetId="10" r:id="R64260ba15f5e4217"/>
    <x:sheet xmlns:r="http://schemas.openxmlformats.org/officeDocument/2006/relationships" name="10_NGUỒN_ĐỐI_CHIẾU" sheetId="11" r:id="Rdc3ac11b197149de"/>
    <x:sheet xmlns:r="http://schemas.openxmlformats.org/officeDocument/2006/relationships" name="11_BẢNG_TRA" sheetId="12" r:id="R98cb9dff25f64c99"/>
    <x:sheet xmlns:r="http://schemas.openxmlformats.org/officeDocument/2006/relationships" name="12_KIỂM_TRA_GOLDEN" sheetId="13" r:id="Re956d8a2004f4117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"/>
    <x:numFmt numFmtId="203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200" fontId="0" fillId="4" borderId="15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3" fillId="7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1" xfId="0" applyNumberFormat="1" applyFont="1" applyFill="1" applyBorder="1"/>
    <x:xf numFmtId="201" fontId="3" fillId="7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wrapText="1"/>
    </x:xf>
    <x:xf numFmtId="201" fontId="3" fillId="7" borderId="9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1" fontId="3" fillId="7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201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201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201" fontId="3" fillId="7" borderId="15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20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200" fontId="0" fillId="4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3" fillId="7" borderId="9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3" fillId="7" borderId="1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201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201" fontId="3" fillId="7" borderId="6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201" fontId="3" fillId="7" borderId="15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2" fontId="3" fillId="7" borderId="0" xfId="0" applyNumberFormat="1" applyFont="1" applyFill="1" applyBorder="1" applyAlignment="1">
      <x:alignment vertical="center" wrapText="1"/>
    </x:xf>
    <x:xf numFmtId="203" fontId="3" fillId="7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6461082844488" /><Relationship Type="http://schemas.openxmlformats.org/officeDocument/2006/relationships/theme" Target="/xl/theme/theme1.xml" Id="R27d59b2d3c7e4172" /><Relationship Type="http://schemas.openxmlformats.org/officeDocument/2006/relationships/sharedStrings" Target="/xl/sharedStrings.xml" Id="Rbd791f07c4984006" /><Relationship Type="http://schemas.openxmlformats.org/officeDocument/2006/relationships/worksheet" Target="/xl/worksheets/sheet1.xml" Id="Rcd6cfe3543604abf" /><Relationship Type="http://schemas.openxmlformats.org/officeDocument/2006/relationships/worksheet" Target="/xl/worksheets/sheet2.xml" Id="R22cb64b617834fb5" /><Relationship Type="http://schemas.openxmlformats.org/officeDocument/2006/relationships/worksheet" Target="/xl/worksheets/sheet3.xml" Id="R20d651afac874c8a" /><Relationship Type="http://schemas.openxmlformats.org/officeDocument/2006/relationships/worksheet" Target="/xl/worksheets/sheet4.xml" Id="R9ecd8b508de2489b" /><Relationship Type="http://schemas.openxmlformats.org/officeDocument/2006/relationships/worksheet" Target="/xl/worksheets/sheet5.xml" Id="Rc7b10304e8a840fe" /><Relationship Type="http://schemas.openxmlformats.org/officeDocument/2006/relationships/worksheet" Target="/xl/worksheets/sheet6.xml" Id="Rcb0fcd73647c4388" /><Relationship Type="http://schemas.openxmlformats.org/officeDocument/2006/relationships/worksheet" Target="/xl/worksheets/sheet7.xml" Id="R6265e45fbe5d4f74" /><Relationship Type="http://schemas.openxmlformats.org/officeDocument/2006/relationships/worksheet" Target="/xl/worksheets/sheet8.xml" Id="Rdc1063e8b3004047" /><Relationship Type="http://schemas.openxmlformats.org/officeDocument/2006/relationships/worksheet" Target="/xl/worksheets/sheet9.xml" Id="Rbf97b4f265eb4f14" /><Relationship Type="http://schemas.openxmlformats.org/officeDocument/2006/relationships/worksheet" Target="/xl/worksheets/sheet10.xml" Id="R64260ba15f5e4217" /><Relationship Type="http://schemas.openxmlformats.org/officeDocument/2006/relationships/worksheet" Target="/xl/worksheets/sheet11.xml" Id="Rdc3ac11b197149de" /><Relationship Type="http://schemas.openxmlformats.org/officeDocument/2006/relationships/worksheet" Target="/xl/worksheets/sheet12.xml" Id="R98cb9dff25f64c99" /><Relationship Type="http://schemas.openxmlformats.org/officeDocument/2006/relationships/worksheet" Target="/xl/worksheets/sheet13.xml" Id="Re956d8a2004f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04b1ff3ad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Hệ số sử dụng từng cọc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 hợp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'08_KIỂM_TRA_CỌC'!$B$4:$B$22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'08_KIỂM_TRA_CỌC'!$C$4:$C$22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'08_KIỂM_TRA_CỌC'!$D$4:$D$22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Loại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'08_KIỂM_TRA_CỌC'!$E$4:$E$22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Nhu cầu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'08_KIỂM_TRA_CỌC'!$F$4:$F$22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Nd,max/cọc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'08_KIỂM_TRA_CỌC'!$G$4:$G$22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Hệ số sử dụng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'08_KIỂM_TRA_CỌC'!$H$4:$H$22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04b1ff3ad4f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5d973ddd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6" t="str">
        <x:v>HƯỚNG DẪN SỬ DỤNG – TÍNH + XUẤT EXCEL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28" t="str">
        <x:v>Mục</x:v>
      </x:c>
      <x:c r="B3" s="30" t="str">
        <x:v>Hướng dẫn</x:v>
      </x:c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6" t="str">
        <x:v>Mục đích</x:v>
      </x:c>
      <x:c r="B4" s="157" t="str">
        <x:v>Một file duy nhất thể hiện chuỗi Rsoil → Rmaterial → Rpile → dữ liệu kết cấu → kiểm từng cọc → cọc bất lợi → kết luận.</x:v>
      </x:c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6" t="str">
        <x:v>Màu vàng</x:v>
      </x:c>
      <x:c r="B5" s="157" t="str">
        <x:v>Ô đầu vào người dùng/project. Thay giá trị phù hợp miền VERIFIED để các công thức Excel phía sau tự cập nhật.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6" t="str">
        <x:v>Màu xanh lá</x:v>
      </x:c>
      <x:c r="B6" s="157" t="str">
        <x:v>Ô công thức Excel thật. Không sửa nếu không audit công thức.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6" t="str">
        <x:v>Màu xanh dương</x:v>
      </x:c>
      <x:c r="B7" s="157" t="str">
        <x:v>Kết quả/intermediate do HNL Calculation Engine đã LOCKED xuất sang Excel; dùng để audit các bảng tra phức tạp.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26.399999618530273" hidden="0" customHeight="1">
      <x:c r="A8" s="156" t="str">
        <x:v>Địa chất</x:v>
      </x:c>
      <x:c r="B8" s="157" t="str">
        <x:v>Sheet 03 chứa lớp đất + điểm SPT đo thực. Sheet 04 thể hiện q_b, f_i/τ, γ và công thức Qb/Qs/Rk/Rd. Khi thay địa chất thô, nên bấm TÍNH trong HNL để engine tra bảng lại trước khi xuất Excel mới.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6" t="str">
        <x:v>Vật liệu</x:v>
      </x:c>
      <x:c r="B9" s="157" t="str">
        <x:v>Sheet 05 có công thức CT (50) + VLOOKUP Bảng 7/13 + nội suy Bảng 16. Có thể thay B30/CB400-V/As/L0/e0 trong miền VERIFIED.</x:v>
      </x:c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15" hidden="0" customHeight="1">
      <x:c r="A10" s="156" t="str">
        <x:v>Kết cấu</x:v>
      </x:c>
      <x:c r="B10" s="157" t="str">
        <x:v>Sheet 07 là dữ liệu chuẩn hóa từ DCE/CSV/ETABS-SAP adapter. Pass 7 không tự phân phối phản lực từ N/Mx/My.</x:v>
      </x:c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6" t="str">
        <x:v>Kiểm cọc</x:v>
      </x:c>
      <x:c r="B11" s="157" t="str">
        <x:v>Sheet 08 tính hệ số sử dụng = Nhu cầu/Nd,max và tự tìm cọc bất lợi.</x:v>
      </x:c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6" t="str">
        <x:v>Nguồn</x:v>
      </x:c>
      <x:c r="B12" s="157" t="str">
        <x:v>Sheet 10 ghi Điều/Bảng/Công thức/Trang. DCE chỉ là nguồn behavioral/reference, không thay TCVN.</x:v>
      </x:c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6" t="str">
        <x:v>Golden</x:v>
      </x:c>
      <x:c r="B13" s="157" t="str">
        <x:v>Sheet 12 đối chiếu Excel với HNL Engine. Tất cả gate phải ĐẠT trước khi dùng làm hồ sơ chính thức.</x:v>
      </x:c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8" t="str">
        <x:v>Trạng thái Live</x:v>
      </x:c>
      <x:c r="B14" s="159" t="str">
        <x:v>ETABS/SAP Live API vẫn READY/NOT_CERTIFIED_LIVE do máy hiện chưa có ETABS/SAP.</x:v>
      </x:c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55"/>
      <x:c r="B15" s="155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55"/>
      <x:c r="B16" s="155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155"/>
      <x:c r="B17" s="155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 t="str">
        <x:v>Mã lần xuất</x:v>
      </x:c>
      <x:c r="B19" s="155" t="str">
        <x:v>5e94bf0b-42b5-42c9-9529-9eb641f054b1</x:v>
      </x:c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 t="str">
        <x:v>Thời điểm xuất</x:v>
      </x:c>
      <x:c r="B20" s="155" t="str">
        <x:v>2026-08-25T12:56:24.019Z</x:v>
      </x:c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 t="str">
        <x:v>Template SHA-256</x:v>
      </x:c>
      <x:c r="B21" s="154" t="str">
        <x:v>582e897788d3aa96895f7ff63e604899ad489cbe2d5fb59238bb186a4b62b9d1</x:v>
      </x:c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 t="str">
        <x:v>Chế độ</x:v>
      </x:c>
      <x:c r="B22" s="154" t="str">
        <x:v>DYNAMIC_EXPORT_FROM_SERVER_VERIFIED_RESULT</x:v>
      </x:c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 t="str">
        <x:v>Endpoint</x:v>
      </x:c>
      <x:c r="B23" s="154" t="str">
        <x:v>/api/hnl/pile/export-excel</x:v>
      </x:c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24" hidden="0" customWidth="1"/>
    <x:col min="5" max="5" width="20" hidden="0" customWidth="1"/>
    <x:col min="6" max="6" width="24" hidden="0" customWidth="1"/>
    <x:col min="7" max="7" width="28" hidden="0" customWidth="1"/>
    <x:col min="8" max="8" width="42" hidden="0" customWidth="1"/>
  </x:cols>
  <x:sheetData>
    <x:row r="1" ht="18" hidden="0" customHeight="1">
      <x:c r="A1" s="6" t="str">
        <x:v>HNL PILE STANDARDS AI – BÁO CÁO TÍNH TOÁN CỌC TỔNG HỢP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5"/>
      <x:c r="D2" s="155"/>
      <x:c r="E2" s="155"/>
      <x:c r="F2" s="155"/>
      <x:c r="G2" s="155"/>
      <x:c r="H2" s="155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16" t="str">
        <x:v>Chỉ tiêu</x:v>
      </x:c>
      <x:c r="B3" s="16" t="str">
        <x:v>Kết quả</x:v>
      </x:c>
      <x:c r="C3" s="155"/>
      <x:c r="D3" s="16" t="str">
        <x:v>Chuỗi tính</x:v>
      </x:c>
      <x:c r="E3" s="16" t="str">
        <x:v>Trạng thái</x:v>
      </x:c>
      <x:c r="F3" s="16" t="str">
        <x:v>Nguồn</x:v>
      </x:c>
      <x:c r="G3" s="16" t="str">
        <x:v>Điều/Bảng</x:v>
      </x:c>
      <x:c r="H3" s="16" t="str">
        <x:v>Ghi chú</x:v>
      </x:c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5" t="str">
        <x:v>Rsoil (kN)</x:v>
      </x:c>
      <x:c r="B4" s="166" t="n">
        <x:f>'06_SỨC_CHỊU_TẢI'!B4</x:f>
        <x:v>843.4285714285716</x:v>
      </x:c>
      <x:c r="C4" s="155"/>
      <x:c r="D4" s="155" t="str">
        <x:v>1. Đất nền</x:v>
      </x:c>
      <x:c r="E4" s="155" t="str">
        <x:v>ĐÃ XÁC MINH</x:v>
      </x:c>
      <x:c r="F4" s="155" t="str">
        <x:v>TCVN 10304:2025</x:v>
      </x:c>
      <x:c r="G4" s="155" t="str">
        <x:v>7.2.2 + Phụ lục D</x:v>
      </x:c>
      <x:c r="H4" s="155" t="str">
        <x:v>6 nhánh lỗ khoan × phương pháp</x:v>
      </x:c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5" t="str">
        <x:v>Rmaterial (kN)</x:v>
      </x:c>
      <x:c r="B5" s="166" t="n">
        <x:f>'06_SỨC_CHỊU_TẢI'!B5</x:f>
        <x:v>2952</x:v>
      </x:c>
      <x:c r="C5" s="155"/>
      <x:c r="D5" s="155" t="str">
        <x:v>2. Vật liệu</x:v>
      </x:c>
      <x:c r="E5" s="155" t="str">
        <x:v>ĐÃ XÁC MINH</x:v>
      </x:c>
      <x:c r="F5" s="155" t="str">
        <x:v>TCVN 5574:2018</x:v>
      </x:c>
      <x:c r="G5" s="155" t="str">
        <x:v>CT (49)–(50), Bảng 16</x:v>
      </x:c>
      <x:c r="H5" s="155" t="str">
        <x:v>Nu</x:v>
      </x:c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5" t="str">
        <x:v>Rpile (kN)</x:v>
      </x:c>
      <x:c r="B6" s="166" t="n">
        <x:f>'06_SỨC_CHỊU_TẢI'!B6</x:f>
        <x:v>843.4285714285716</x:v>
      </x:c>
      <x:c r="C6" s="155"/>
      <x:c r="D6" s="155" t="str">
        <x:v>3. Rpile</x:v>
      </x:c>
      <x:c r="E6" s="155" t="str">
        <x:v>ĐÃ KHÓA</x:v>
      </x:c>
      <x:c r="F6" s="155" t="str">
        <x:v>HNL Composition</x:v>
      </x:c>
      <x:c r="G6" s="155" t="str">
        <x:v>min(Rsoil,Rmaterial)</x:v>
      </x:c>
      <x:c r="H6" s="155" t="str">
        <x:v>Không trộn γn vào min</x:v>
      </x:c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5" t="str">
        <x:v>γn</x:v>
      </x:c>
      <x:c r="B7" s="166" t="n">
        <x:f>'06_SỨC_CHỊU_TẢI'!B7</x:f>
        <x:v>1.2</x:v>
      </x:c>
      <x:c r="C7" s="155"/>
      <x:c r="D7" s="155" t="str">
        <x:v>4. Nhập dữ liệu kết cấu</x:v>
      </x:c>
      <x:c r="E7" s="155" t="str">
        <x:v>ĐÃ KHÓA</x:v>
      </x:c>
      <x:c r="F7" s="155" t="str">
        <x:v>Pass 5 Core</x:v>
      </x:c>
      <x:c r="G7" s="155" t="str">
        <x:v>DCE/CSV chuẩn hóa</x:v>
      </x:c>
      <x:c r="H7" s="155" t="str">
        <x:v>Không tính lại phản lực</x:v>
      </x:c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15" hidden="0" customHeight="1">
      <x:c r="A8" s="155" t="str">
        <x:v>Nd,max/cọc (kN)</x:v>
      </x:c>
      <x:c r="B8" s="166" t="n">
        <x:f>'06_SỨC_CHỊU_TẢI'!B8</x:f>
        <x:v>702.857142857143</x:v>
      </x:c>
      <x:c r="C8" s="155"/>
      <x:c r="D8" s="155" t="str">
        <x:v>5. Kiểm từng cọc</x:v>
      </x:c>
      <x:c r="E8" s="155" t="str">
        <x:v>ĐÃ KHÓA</x:v>
      </x:c>
      <x:c r="F8" s="155" t="str">
        <x:v>Pass 4</x:v>
      </x:c>
      <x:c r="G8" s="155" t="str">
        <x:v>Kiểm phản lực nút đã nhập</x:v>
      </x:c>
      <x:c r="H8" s="155" t="str">
        <x:v>19 dòng kiểm cọc</x:v>
      </x:c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5" t="str">
        <x:v>Cọc bất lợi</x:v>
      </x:c>
      <x:c r="B9" s="243" t="str">
        <x:f>'09_CỌC_BẤT_LỢI'!B4</x:f>
        <x:v>168</x:v>
      </x:c>
      <x:c r="C9" s="155"/>
      <x:c r="D9" s="155" t="str">
        <x:v>6. Cọc bất lợi</x:v>
      </x:c>
      <x:c r="E9" s="155" t="str">
        <x:v>ĐÃ XÁC MINH</x:v>
      </x:c>
      <x:c r="F9" s="155" t="str">
        <x:v>Pass 7</x:v>
      </x:c>
      <x:c r="G9" s="155" t="str">
        <x:v>Hệ số sử dụng lớn nhất</x:v>
      </x:c>
      <x:c r="H9" s="155" t="str">
        <x:v>Point 168 (mã cọc/điểm)</x:v>
      </x:c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26.399999618530273" hidden="0" customHeight="1">
      <x:c r="A10" s="155" t="str">
        <x:v>Tổ hợp bất lợi</x:v>
      </x:c>
      <x:c r="B10" s="244" t="str">
        <x:f>'09_CỌC_BẤT_LỢI'!B5</x:f>
        <x:v>EULS</x:v>
      </x:c>
      <x:c r="C10" s="155"/>
      <x:c r="D10" s="155" t="str">
        <x:v>7. Đối chiếu Excel</x:v>
      </x:c>
      <x:c r="E10" s="155" t="str">
        <x:v>CÔNG THỨC</x:v>
      </x:c>
      <x:c r="F10" s="155" t="str">
        <x:v>Excel sản xuất</x:v>
      </x:c>
      <x:c r="G10" s="155" t="str">
        <x:v>Công thức liên kết giữa các sheet</x:v>
      </x:c>
      <x:c r="H10" s="155" t="str">
        <x:v>Thay capacity/vật liệu trong miền VERIFIED để kiểm tra lại chuỗi công thức</x:v>
      </x:c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5" t="str">
        <x:v>Hệ số sử dụng</x:v>
      </x:c>
      <x:c r="B11" s="166" t="n">
        <x:f>'09_CỌC_BẤT_LỢI'!B8</x:f>
        <x:v>0.5197244623788765</x:v>
      </x:c>
      <x:c r="C11" s="155"/>
      <x:c r="D11" s="155" t="str">
        <x:v>8. Kết nối ETABS/SAP trực tiếp</x:v>
      </x:c>
      <x:c r="E11" s="155" t="str">
        <x:v>CHƯA CHỨNG NHẬN</x:v>
      </x:c>
      <x:c r="F11" s="155" t="str">
        <x:v>Pass 5.2</x:v>
      </x:c>
      <x:c r="G11" s="155" t="str">
        <x:v>Tạm hoãn</x:v>
      </x:c>
      <x:c r="H11" s="155" t="str">
        <x:v>Không phải blocker Core</x:v>
      </x:c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5" t="str">
        <x:v>KẾT LUẬN</x:v>
      </x:c>
      <x:c r="B12" s="244" t="str">
        <x:f>'09_CỌC_BẤT_LỢI'!B12</x:f>
        <x:v>ĐẠT</x:v>
      </x:c>
      <x:c r="C12" s="155"/>
      <x:c r="D12" s="155"/>
      <x:c r="E12" s="155"/>
      <x:c r="F12" s="155"/>
      <x:c r="G12" s="155"/>
      <x:c r="H12" s="155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5"/>
      <x:c r="B13" s="155"/>
      <x:c r="C13" s="155"/>
      <x:c r="D13" s="155"/>
      <x:c r="E13" s="155"/>
      <x:c r="F13" s="155"/>
      <x:c r="G13" s="155"/>
      <x:c r="H13" s="155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5"/>
      <x:c r="B14" s="155"/>
      <x:c r="C14" s="155"/>
      <x:c r="D14" s="155"/>
      <x:c r="E14" s="155"/>
      <x:c r="F14" s="155"/>
      <x:c r="G14" s="155"/>
      <x:c r="H14" s="155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6" t="str">
        <x:v>KẾT LUẬN KỸ THUẬT</x:v>
      </x:c>
      <x:c r="B15" s="16"/>
      <x:c r="C15" s="16"/>
      <x:c r="D15" s="16"/>
      <x:c r="E15" s="16"/>
      <x:c r="F15" s="16"/>
      <x:c r="G15" s="16"/>
      <x:c r="H15" s="16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67" t="str">
        <x:v>ĐẠT: cọc bất lợi 168 · tổ hợp EULS · hệ số sử dụng 0.5197 ≤ 1,0000. Sức chịu tải cọc Rpile=843.429 kN; giới hạn tác động Nd,max=702.857 kN/cọc. Địa chất bất lợi: HK2 · CƠ LÝ · 7.2.2 CỌC ĐÓNG/ÉP; đất nền khống chế.</x:v>
      </x:c>
      <x:c r="B16" s="167"/>
      <x:c r="C16" s="167"/>
      <x:c r="D16" s="167"/>
      <x:c r="E16" s="167"/>
      <x:c r="F16" s="167"/>
      <x:c r="G16" s="167"/>
      <x:c r="H16" s="167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245" t="str">
        <x:v>Phạm vi: kết quả này sử dụng phản lực nút đã nhập và chuẩn hóa từ DCE/CSV; Pass 7 không tự phân phối phản lực cọc từ N/Mx/My theo mô hình đài cứng.</x:v>
      </x:c>
      <x:c r="B17" s="245" t="str">
        <x:v>Kết quả này dùng phản lực nút đã nhập từ DCE/CSV; không phải phân phối phản lực rigid-cap từ N/Mx/My.</x:v>
      </x:c>
      <x:c r="C17" s="245"/>
      <x:c r="D17" s="245"/>
      <x:c r="E17" s="245"/>
      <x:c r="F17" s="245"/>
      <x:c r="G17" s="245"/>
      <x:c r="H17" s="245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5"/>
      <x:c r="D18" s="155"/>
      <x:c r="E18" s="155"/>
      <x:c r="F18" s="155"/>
      <x:c r="G18" s="155"/>
      <x:c r="H18" s="155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5"/>
      <x:c r="D19" s="155"/>
      <x:c r="E19" s="155"/>
      <x:c r="F19" s="155"/>
      <x:c r="G19" s="155"/>
      <x:c r="H19" s="155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5"/>
      <x:c r="D20" s="155"/>
      <x:c r="E20" s="155"/>
      <x:c r="F20" s="155"/>
      <x:c r="G20" s="155"/>
      <x:c r="H20" s="155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  <x:mergeCell ref="A15:H15"/>
    <x:mergeCell ref="A16:H16"/>
    <x:mergeCell ref="A17:H17"/>
  </x:mergeCells>
  <x:conditionalFormatting sqref="B12:B12">
    <x:cfRule type="expression" dxfId="6" priority="1">
      <x:formula>B12="ĐẠT"</x:formula>
    </x:cfRule>
    <x:cfRule type="expression" dxfId="7" priority="2">
      <x:formula>B12&lt;&gt;"ĐẠT"</x:formula>
    </x:cfRule>
  </x:conditionalFormatting>
  <x:pageMargins left="0.7" right="0.7" top="0.75" bottom="0.75" header="0.3" footer="0.3"/>
  <x:drawing xmlns:r="http://schemas.openxmlformats.org/officeDocument/2006/relationships" r:id="R3aa5d973ddd1498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6" t="str">
        <x:v>ĐẦU VÀO CHÍNH – CỌC, VẬT LIỆU, HỆ SỐ VÀ NGUỒN KẾT CẤU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Nhóm</x:v>
      </x:c>
      <x:c r="B3" s="29" t="str">
        <x:v>Thông số</x:v>
      </x:c>
      <x:c r="C3" s="29" t="str">
        <x:v>Giá trị</x:v>
      </x:c>
      <x:c r="D3" s="29" t="str">
        <x:v>Đơn vị</x:v>
      </x:c>
      <x:c r="E3" s="29" t="str">
        <x:v>Trạng thái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</x:v>
      </x:c>
      <x:c r="B4" s="172" t="str">
        <x:v>Hình dạng</x:v>
      </x:c>
      <x:c r="C4" s="173" t="str">
        <x:v>Cọc vuông</x:v>
      </x:c>
      <x:c r="D4" s="172" t="str">
        <x:v>-</x:v>
      </x:c>
      <x:c r="E4" s="172" t="str">
        <x:v>NHẬP</x:v>
      </x:c>
      <x:c r="F4" s="157" t="str">
        <x:v>P1 Pass 7 hiện khóa Golden cho cọc vuông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Cọc</x:v>
      </x:c>
      <x:c r="B5" s="172" t="str">
        <x:v>Cạnh cọc</x:v>
      </x:c>
      <x:c r="C5" s="173" t="n">
        <x:v>400</x:v>
      </x:c>
      <x:c r="D5" s="172" t="str">
        <x:v>mm</x:v>
      </x:c>
      <x:c r="E5" s="172" t="str">
        <x:v>NHẬP</x:v>
      </x:c>
      <x:c r="F5" s="157" t="str">
        <x:v>a = 0,4 m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Cọc</x:v>
      </x:c>
      <x:c r="B6" s="172" t="str">
        <x:v>Chiều dài</x:v>
      </x:c>
      <x:c r="C6" s="173" t="n">
        <x:v>12</x:v>
      </x:c>
      <x:c r="D6" s="172" t="str">
        <x:v>m</x:v>
      </x:c>
      <x:c r="E6" s="172" t="str">
        <x:v>NHẬP</x:v>
      </x:c>
      <x:c r="F6" s="157" t="str">
        <x:v>Mũi cọc z = 12 m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Cọc</x:v>
      </x:c>
      <x:c r="B7" s="172" t="str">
        <x:v>Bắt đầu ma sát thân</x:v>
      </x:c>
      <x:c r="C7" s="173" t="n">
        <x:v>0</x:v>
      </x:c>
      <x:c r="D7" s="172" t="str">
        <x:v>m</x:v>
      </x:c>
      <x:c r="E7" s="172" t="str">
        <x:v>NHẬP</x:v>
      </x:c>
      <x:c r="F7" s="157" t="str">
        <x:v>shaftStartDepth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Cọc</x:v>
      </x:c>
      <x:c r="B8" s="172" t="str">
        <x:v>Đoạn chia lớn nhất</x:v>
      </x:c>
      <x:c r="C8" s="173" t="n">
        <x:v>2</x:v>
      </x:c>
      <x:c r="D8" s="172" t="str">
        <x:v>m</x:v>
      </x:c>
      <x:c r="E8" s="172" t="str">
        <x:v>NHẬP</x:v>
      </x:c>
      <x:c r="F8" s="157" t="str">
        <x:v>TCVN 10304:2025 Bảng 3: phân đoạn ≤ 2 m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Đất</x:v>
      </x:c>
      <x:c r="B9" s="172" t="str">
        <x:v>Phương pháp cơ lý</x:v>
      </x:c>
      <x:c r="C9" s="173" t="str">
        <x:v>Cọc đóng/ép · TCVN 10304:2025 §7.2.2</x:v>
      </x:c>
      <x:c r="D9" s="172" t="str">
        <x:v>-</x:v>
      </x:c>
      <x:c r="E9" s="172" t="str">
        <x:v>NHẬP</x:v>
      </x:c>
      <x:c r="F9" s="157" t="str">
        <x:v>7.2.2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Đất</x:v>
      </x:c>
      <x:c r="B10" s="172" t="str">
        <x:v>γk cơ lý</x:v>
      </x:c>
      <x:c r="C10" s="173" t="n">
        <x:v>1.4</x:v>
      </x:c>
      <x:c r="D10" s="172" t="str">
        <x:v>-</x:v>
      </x:c>
      <x:c r="E10" s="172" t="str">
        <x:v>NHẬP</x:v>
      </x:c>
      <x:c r="F10" s="157" t="str">
        <x:v>Hệ số độ tin cậy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Đất</x:v>
      </x:c>
      <x:c r="B11" s="172" t="str">
        <x:v>γk SPT</x:v>
      </x:c>
      <x:c r="C11" s="173" t="n">
        <x:v>1.5</x:v>
      </x:c>
      <x:c r="D11" s="172" t="str">
        <x:v>-</x:v>
      </x:c>
      <x:c r="E11" s="172" t="str">
        <x:v>NHẬP</x:v>
      </x:c>
      <x:c r="F11" s="157" t="str">
        <x:v>Phụ lục D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v>Tổng hợp</x:v>
      </x:c>
      <x:c r="B12" s="172" t="str">
        <x:v>γn</x:v>
      </x:c>
      <x:c r="C12" s="173" t="n">
        <x:v>1.2</x:v>
      </x:c>
      <x:c r="D12" s="172" t="str">
        <x:v>-</x:v>
      </x:c>
      <x:c r="E12" s="172" t="str">
        <x:v>NHẬP</x:v>
      </x:c>
      <x:c r="F12" s="157" t="str">
        <x:v>Áp dụng sau Rpile=min(Rsoil,Rmaterial)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Vật liệu</x:v>
      </x:c>
      <x:c r="B13" s="172" t="str">
        <x:v>Cấp bê tông</x:v>
      </x:c>
      <x:c r="C13" s="173" t="str">
        <x:v>B30</x:v>
      </x:c>
      <x:c r="D13" s="172" t="str">
        <x:v>-</x:v>
      </x:c>
      <x:c r="E13" s="172" t="str">
        <x:v>NHẬP</x:v>
      </x:c>
      <x:c r="F13" s="157" t="str">
        <x:v>TCVN 5574:2018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Vật liệu</x:v>
      </x:c>
      <x:c r="B14" s="172" t="str">
        <x:v>Cấp thép</x:v>
      </x:c>
      <x:c r="C14" s="173" t="str">
        <x:v>CB400-V</x:v>
      </x:c>
      <x:c r="D14" s="172" t="str">
        <x:v>-</x:v>
      </x:c>
      <x:c r="E14" s="172" t="str">
        <x:v>NHẬP</x:v>
      </x:c>
      <x:c r="F14" s="157" t="str">
        <x:v>TCVN 5574:2018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Vật liệu</x:v>
      </x:c>
      <x:c r="B15" s="172" t="str">
        <x:v>As,tot</x:v>
      </x:c>
      <x:c r="C15" s="173" t="n">
        <x:v>1600</x:v>
      </x:c>
      <x:c r="D15" s="172" t="str">
        <x:v>mm²</x:v>
      </x:c>
      <x:c r="E15" s="172" t="str">
        <x:v>NHẬP</x:v>
      </x:c>
      <x:c r="F15" s="157" t="str">
        <x:v>Cốt dọc tổng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Vật liệu</x:v>
      </x:c>
      <x:c r="B16" s="172" t="str">
        <x:v>L0</x:v>
      </x:c>
      <x:c r="C16" s="173" t="n">
        <x:v>4000</x:v>
      </x:c>
      <x:c r="D16" s="172" t="str">
        <x:v>mm</x:v>
      </x:c>
      <x:c r="E16" s="172" t="str">
        <x:v>NHẬP</x:v>
      </x:c>
      <x:c r="F16" s="157" t="str">
        <x:v>Chiều dài tính toán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Vật liệu</x:v>
      </x:c>
      <x:c r="B17" s="172" t="str">
        <x:v>e0</x:v>
      </x:c>
      <x:c r="C17" s="173" t="n">
        <x:v>13.333333333333334</x:v>
      </x:c>
      <x:c r="D17" s="172" t="str">
        <x:v>mm</x:v>
      </x:c>
      <x:c r="E17" s="172" t="str">
        <x:v>NHẬP</x:v>
      </x:c>
      <x:c r="F17" s="157" t="str">
        <x:v>Đã kể lệch tâm ngẫu nhiên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Vật liệu</x:v>
      </x:c>
      <x:c r="B18" s="172" t="str">
        <x:v>Thời hạn tải</x:v>
      </x:c>
      <x:c r="C18" s="173" t="str">
        <x:v>Dài hạn</x:v>
      </x:c>
      <x:c r="D18" s="172" t="str">
        <x:v>-</x:v>
      </x:c>
      <x:c r="E18" s="172" t="str">
        <x:v>NHẬP</x:v>
      </x:c>
      <x:c r="F18" s="157" t="str">
        <x:v>Tra Bảng 16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Kết cấu</x:v>
      </x:c>
      <x:c r="B19" s="172" t="str">
        <x:v>Nguồn</x:v>
      </x:c>
      <x:c r="C19" s="173" t="str">
        <x:v>DCE_TABLES</x:v>
      </x:c>
      <x:c r="D19" s="172" t="str">
        <x:v>-</x:v>
      </x:c>
      <x:c r="E19" s="172" t="str">
        <x:v>NHẬP</x:v>
      </x:c>
      <x:c r="F19" s="157" t="str">
        <x:v>Pass 5 Core LOCKED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Kết cấu</x:v>
      </x:c>
      <x:c r="B20" s="172" t="str">
        <x:v>Dấu phản lực</x:v>
      </x:c>
      <x:c r="C20" s="173" t="str">
        <x:v>Nén dương</x:v>
      </x:c>
      <x:c r="D20" s="172" t="str">
        <x:v>-</x:v>
      </x:c>
      <x:c r="E20" s="172" t="str">
        <x:v>NHẬP</x:v>
      </x:c>
      <x:c r="F20" s="157" t="str">
        <x:v>compression-positive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8" t="str">
        <x:v>Kết cấu</x:v>
      </x:c>
      <x:c r="B21" s="174" t="str">
        <x:v>Tổ hợp kiểm</x:v>
      </x:c>
      <x:c r="C21" s="175" t="str">
        <x:v>EULS</x:v>
      </x:c>
      <x:c r="D21" s="174" t="str">
        <x:v>-</x:v>
      </x:c>
      <x:c r="E21" s="174" t="str">
        <x:v>NHẬP</x:v>
      </x:c>
      <x:c r="F21" s="159" t="str">
        <x:v>Golden tham chiếu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dataValidations count="2">
    <x:dataValidation type="list" sqref="C14">
      <x:formula1>'11_BẢNG_TRA'!$A$4:$A$22</x:formula1>
    </x:dataValidation>
    <x:dataValidation type="list" sqref="C15">
      <x:formula1>'11_BẢNG_TRA'!$F$4:$F$8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24" hidden="0" customWidth="1"/>
    <x:col min="10" max="10" width="38" hidden="0" customWidth="1"/>
  </x:cols>
  <x:sheetData>
    <x:row r="1">
      <x:c r="A1" s="6" t="str">
        <x:v>ĐỊA CHẤT VÀ SỐ LIỆU SPT – GOLDEN 3 LỖ KHOAN</x:v>
      </x:c>
      <x:c r="B1" s="6"/>
      <x:c r="C1" s="6"/>
      <x:c r="D1" s="6"/>
      <x:c r="E1" s="6"/>
      <x:c r="F1" s="6"/>
      <x:c r="G1" s="6"/>
      <x:c r="H1" s="6"/>
      <x:c r="I1" s="6"/>
      <x:c r="J1" s="6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Lỗ khoan</x:v>
      </x:c>
      <x:c r="B3" s="29" t="str">
        <x:v>Lớp</x:v>
      </x:c>
      <x:c r="C3" s="29" t="str">
        <x:v>Từ z (m)</x:v>
      </x:c>
      <x:c r="D3" s="29" t="str">
        <x:v>Đến z (m)</x:v>
      </x:c>
      <x:c r="E3" s="29" t="str">
        <x:v>Nhóm đất</x:v>
      </x:c>
      <x:c r="F3" s="29" t="str">
        <x:v>Loại cát</x:v>
      </x:c>
      <x:c r="G3" s="29" t="str">
        <x:v>N đại diện</x:v>
      </x:c>
      <x:c r="H3" s="29" t="str">
        <x:v>IL</x:v>
      </x:c>
      <x:c r="I3" s="29" t="str">
        <x:v>Nguồn</x:v>
      </x:c>
      <x:c r="J3" s="30" t="str">
        <x:v>Ghi chú</x:v>
      </x:c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80" t="str">
        <x:v>HK1</x:v>
      </x:c>
      <x:c r="B4" s="173" t="n">
        <x:v>1</x:v>
      </x:c>
      <x:c r="C4" s="181" t="n">
        <x:v>0</x:v>
      </x:c>
      <x:c r="D4" s="181" t="n">
        <x:v>4</x:v>
      </x:c>
      <x:c r="E4" s="181" t="str">
        <x:v>Cát</x:v>
      </x:c>
      <x:c r="F4" s="181" t="str">
        <x:v>medium</x:v>
      </x:c>
      <x:c r="G4" s="181" t="n">
        <x:v>18</x:v>
      </x:c>
      <x:c r="H4" s="181"/>
      <x:c r="J4" s="157" t="str">
        <x:v>Dữ liệu đầu vào Pass 8</x:v>
      </x:c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80" t="str">
        <x:v>HK1</x:v>
      </x:c>
      <x:c r="B5" s="173" t="n">
        <x:v>2</x:v>
      </x:c>
      <x:c r="C5" s="181" t="n">
        <x:v>4</x:v>
      </x:c>
      <x:c r="D5" s="181" t="n">
        <x:v>9</x:v>
      </x:c>
      <x:c r="E5" s="181" t="str">
        <x:v>Cát</x:v>
      </x:c>
      <x:c r="F5" s="181" t="str">
        <x:v>medium</x:v>
      </x:c>
      <x:c r="G5" s="181" t="n">
        <x:v>24</x:v>
      </x:c>
      <x:c r="H5" s="181"/>
      <x:c r="J5" s="157" t="str">
        <x:v>Dữ liệu đầu vào Pass 8</x:v>
      </x:c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80" t="str">
        <x:v>HK1</x:v>
      </x:c>
      <x:c r="B6" s="173" t="n">
        <x:v>3</x:v>
      </x:c>
      <x:c r="C6" s="181" t="n">
        <x:v>9</x:v>
      </x:c>
      <x:c r="D6" s="181" t="n">
        <x:v>15</x:v>
      </x:c>
      <x:c r="E6" s="181" t="str">
        <x:v>Cát</x:v>
      </x:c>
      <x:c r="F6" s="181" t="str">
        <x:v>medium</x:v>
      </x:c>
      <x:c r="G6" s="181" t="n">
        <x:v>30</x:v>
      </x:c>
      <x:c r="H6" s="181"/>
      <x:c r="J6" s="157" t="str">
        <x:v>Dữ liệu đầu vào Pass 8</x:v>
      </x:c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80" t="str">
        <x:v>HK2</x:v>
      </x:c>
      <x:c r="B7" s="173" t="n">
        <x:v>1</x:v>
      </x:c>
      <x:c r="C7" s="181" t="n">
        <x:v>0</x:v>
      </x:c>
      <x:c r="D7" s="181" t="n">
        <x:v>4</x:v>
      </x:c>
      <x:c r="E7" s="181" t="str">
        <x:v>Cát</x:v>
      </x:c>
      <x:c r="F7" s="181" t="str">
        <x:v>fine</x:v>
      </x:c>
      <x:c r="G7" s="181" t="n">
        <x:v>10</x:v>
      </x:c>
      <x:c r="H7" s="181"/>
      <x:c r="J7" s="157" t="str">
        <x:v>Dữ liệu đầu vào Pass 8</x:v>
      </x:c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80" t="str">
        <x:v>HK2</x:v>
      </x:c>
      <x:c r="B8" s="173" t="n">
        <x:v>2</x:v>
      </x:c>
      <x:c r="C8" s="181" t="n">
        <x:v>4</x:v>
      </x:c>
      <x:c r="D8" s="181" t="n">
        <x:v>9</x:v>
      </x:c>
      <x:c r="E8" s="181" t="str">
        <x:v>Cát</x:v>
      </x:c>
      <x:c r="F8" s="181" t="str">
        <x:v>fine</x:v>
      </x:c>
      <x:c r="G8" s="181" t="n">
        <x:v>15</x:v>
      </x:c>
      <x:c r="H8" s="181"/>
      <x:c r="J8" s="157" t="str">
        <x:v>Dữ liệu đầu vào Pass 8</x:v>
      </x:c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80" t="str">
        <x:v>HK2</x:v>
      </x:c>
      <x:c r="B9" s="173" t="n">
        <x:v>3</x:v>
      </x:c>
      <x:c r="C9" s="181" t="n">
        <x:v>9</x:v>
      </x:c>
      <x:c r="D9" s="181" t="n">
        <x:v>15</x:v>
      </x:c>
      <x:c r="E9" s="181" t="str">
        <x:v>Cát</x:v>
      </x:c>
      <x:c r="F9" s="181" t="str">
        <x:v>fine</x:v>
      </x:c>
      <x:c r="G9" s="181" t="n">
        <x:v>20</x:v>
      </x:c>
      <x:c r="H9" s="181"/>
      <x:c r="J9" s="157" t="str">
        <x:v>Dữ liệu đầu vào Pass 8</x:v>
      </x:c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80" t="str">
        <x:v>HK3</x:v>
      </x:c>
      <x:c r="B10" s="173" t="n">
        <x:v>1</x:v>
      </x:c>
      <x:c r="C10" s="181" t="n">
        <x:v>0</x:v>
      </x:c>
      <x:c r="D10" s="181" t="n">
        <x:v>4</x:v>
      </x:c>
      <x:c r="E10" s="181" t="str">
        <x:v>Cát</x:v>
      </x:c>
      <x:c r="F10" s="181" t="str">
        <x:v>coarse</x:v>
      </x:c>
      <x:c r="G10" s="181" t="n">
        <x:v>25</x:v>
      </x:c>
      <x:c r="H10" s="181"/>
      <x:c r="J10" s="157" t="str">
        <x:v>Dữ liệu đầu vào Pass 8</x:v>
      </x:c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80" t="str">
        <x:v>HK3</x:v>
      </x:c>
      <x:c r="B11" s="173" t="n">
        <x:v>2</x:v>
      </x:c>
      <x:c r="C11" s="181" t="n">
        <x:v>4</x:v>
      </x:c>
      <x:c r="D11" s="181" t="n">
        <x:v>9</x:v>
      </x:c>
      <x:c r="E11" s="181" t="str">
        <x:v>Cát</x:v>
      </x:c>
      <x:c r="F11" s="181" t="str">
        <x:v>coarse</x:v>
      </x:c>
      <x:c r="G11" s="181" t="n">
        <x:v>35</x:v>
      </x:c>
      <x:c r="H11" s="181"/>
      <x:c r="J11" s="157" t="str">
        <x:v>Dữ liệu đầu vào Pass 8</x:v>
      </x:c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82" t="str">
        <x:v>HK3</x:v>
      </x:c>
      <x:c r="B12" s="175" t="n">
        <x:v>3</x:v>
      </x:c>
      <x:c r="C12" s="183" t="n">
        <x:v>9</x:v>
      </x:c>
      <x:c r="D12" s="183" t="n">
        <x:v>15</x:v>
      </x:c>
      <x:c r="E12" s="183" t="str">
        <x:v>Cát</x:v>
      </x:c>
      <x:c r="F12" s="183" t="str">
        <x:v>coarse</x:v>
      </x:c>
      <x:c r="G12" s="183" t="n">
        <x:v>45</x:v>
      </x:c>
      <x:c r="H12" s="183"/>
      <x:c r="J12" s="159" t="str">
        <x:v>Dữ liệu đầu vào Pass 8</x:v>
      </x:c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Lỗ khoan</x:v>
      </x:c>
      <x:c r="B14" s="29" t="n">
        <x:v>10</x:v>
      </x:c>
      <x:c r="C14" s="68" t="n">
        <x:v>25</x:v>
      </x:c>
      <x:c r="D14" s="68" t="str">
        <x:v>Điểm đo thực</x:v>
      </x:c>
      <x:c r="E14" s="69" t="str">
        <x:v>Không nội suy liên tục</x:v>
      </x:c>
      <x:c r="F14" s="184"/>
      <x:c r="B15" s="173" t="n">
        <x:v>11</x:v>
      </x:c>
      <x:c r="G14" s="154"/>
      <x:c r="H14" s="154"/>
      <x:c r="I14" s="154"/>
      <x:c r="J14" s="154"/>
    </x:row>
    <x:row r="15">
      <x:c r="A15" s="154" t="str">
        <x:v>HK1</x:v>
      </x:c>
      <x:c r="C15" s="154" t="n">
        <x:v>30</x:v>
      </x:c>
      <x:c r="D15" s="154" t="str">
        <x:v>Điểm đo thực</x:v>
      </x:c>
      <x:c r="E15" s="154" t="str">
        <x:v>Không nội suy liên tục</x:v>
      </x:c>
      <x:c r="G15" s="154"/>
      <x:c r="H15" s="154"/>
      <x:c r="I15" s="154"/>
      <x:c r="J15" s="154"/>
    </x:row>
    <x:row r="16">
      <x:c r="A16" s="154" t="str">
        <x:v>HK1</x:v>
      </x:c>
      <x:c r="B16" s="154" t="n">
        <x:v>12</x:v>
      </x:c>
      <x:c r="C16" s="154" t="n">
        <x:v>35</x:v>
      </x:c>
      <x:c r="D16" s="154" t="str">
        <x:v>Điểm đo thực</x:v>
      </x:c>
      <x:c r="E16" s="154" t="str">
        <x:v>Không nội suy liên tục</x:v>
      </x:c>
      <x:c r="G16" s="154"/>
      <x:c r="H16" s="154"/>
      <x:c r="I16" s="154"/>
      <x:c r="J16" s="154"/>
    </x:row>
    <x:row r="17">
      <x:c r="A17" s="154" t="str">
        <x:v>HK1</x:v>
      </x:c>
      <x:c r="B17" s="154" t="n">
        <x:v>13</x:v>
      </x:c>
      <x:c r="C17" s="154" t="n">
        <x:v>30</x:v>
      </x:c>
      <x:c r="D17" s="154" t="str">
        <x:v>Điểm đo thực</x:v>
      </x:c>
      <x:c r="E17" s="154" t="str">
        <x:v>Không nội suy liên tục</x:v>
      </x:c>
      <x:c r="G17" s="154"/>
      <x:c r="H17" s="154"/>
      <x:c r="I17" s="154"/>
      <x:c r="J17" s="154"/>
    </x:row>
    <x:row r="18">
      <x:c r="A18" s="154" t="str">
        <x:v>HK1</x:v>
      </x:c>
      <x:c r="B18" s="154" t="n">
        <x:v>14</x:v>
      </x:c>
      <x:c r="C18" s="154" t="n">
        <x:v>25</x:v>
      </x:c>
      <x:c r="D18" s="154" t="str">
        <x:v>Điểm đo thực</x:v>
      </x:c>
      <x:c r="E18" s="154" t="str">
        <x:v>Không nội suy liên tục</x:v>
      </x:c>
      <x:c r="G18" s="154"/>
      <x:c r="H18" s="154"/>
      <x:c r="I18" s="154"/>
      <x:c r="J18" s="154"/>
    </x:row>
    <x:row r="19">
      <x:c r="A19" s="154" t="str">
        <x:v>HK2</x:v>
      </x:c>
      <x:c r="B19" s="154" t="n">
        <x:v>10</x:v>
      </x:c>
      <x:c r="C19" s="154" t="n">
        <x:v>15</x:v>
      </x:c>
      <x:c r="D19" s="154" t="str">
        <x:v>Điểm đo thực</x:v>
      </x:c>
      <x:c r="E19" s="154" t="str">
        <x:v>Không nội suy liên tục</x:v>
      </x:c>
      <x:c r="G19" s="154"/>
      <x:c r="H19" s="154"/>
      <x:c r="I19" s="154"/>
      <x:c r="J19" s="154"/>
    </x:row>
    <x:row r="20">
      <x:c r="A20" s="154" t="str">
        <x:v>HK2</x:v>
      </x:c>
      <x:c r="B20" s="154" t="n">
        <x:v>11</x:v>
      </x:c>
      <x:c r="C20" s="154" t="n">
        <x:v>20</x:v>
      </x:c>
      <x:c r="D20" s="154" t="str">
        <x:v>Điểm đo thực</x:v>
      </x:c>
      <x:c r="E20" s="154" t="str">
        <x:v>Không nội suy liên tục</x:v>
      </x:c>
      <x:c r="G20" s="154"/>
      <x:c r="H20" s="154"/>
      <x:c r="I20" s="154"/>
      <x:c r="J20" s="154"/>
    </x:row>
    <x:row r="21">
      <x:c r="A21" s="154" t="str">
        <x:v>HK2</x:v>
      </x:c>
      <x:c r="B21" s="154" t="n">
        <x:v>12</x:v>
      </x:c>
      <x:c r="C21" s="154" t="n">
        <x:v>25</x:v>
      </x:c>
      <x:c r="D21" s="154" t="str">
        <x:v>Điểm đo thực</x:v>
      </x:c>
      <x:c r="E21" s="154" t="str">
        <x:v>Không nội suy liên tục</x:v>
      </x:c>
      <x:c r="G21" s="154"/>
      <x:c r="H21" s="154"/>
      <x:c r="I21" s="154"/>
      <x:c r="J21" s="154"/>
    </x:row>
    <x:row r="22">
      <x:c r="A22" s="154" t="str">
        <x:v>HK2</x:v>
      </x:c>
      <x:c r="B22" s="154" t="n">
        <x:v>13</x:v>
      </x:c>
      <x:c r="C22" s="154" t="n">
        <x:v>20</x:v>
      </x:c>
      <x:c r="D22" s="154" t="str">
        <x:v>Điểm đo thực</x:v>
      </x:c>
      <x:c r="E22" s="154" t="str">
        <x:v>Không nội suy liên tục</x:v>
      </x:c>
      <x:c r="G22" s="154"/>
      <x:c r="H22" s="154"/>
      <x:c r="I22" s="154"/>
      <x:c r="J22" s="154"/>
    </x:row>
    <x:row r="23">
      <x:c r="A23" s="154" t="str">
        <x:v>HK2</x:v>
      </x:c>
      <x:c r="B23" s="154" t="n">
        <x:v>14</x:v>
      </x:c>
      <x:c r="C23" s="154" t="n">
        <x:v>15</x:v>
      </x:c>
      <x:c r="D23" s="154" t="str">
        <x:v>Điểm đo thực</x:v>
      </x:c>
      <x:c r="E23" s="154" t="str">
        <x:v>Không nội suy liên tục</x:v>
      </x:c>
      <x:c r="G23" s="154"/>
      <x:c r="H23" s="154"/>
      <x:c r="I23" s="154"/>
      <x:c r="J23" s="154"/>
    </x:row>
    <x:row r="24">
      <x:c r="A24" s="154" t="str">
        <x:v>HK3</x:v>
      </x:c>
      <x:c r="B24" s="154" t="n">
        <x:v>10</x:v>
      </x:c>
      <x:c r="C24" s="154" t="n">
        <x:v>40</x:v>
      </x:c>
      <x:c r="D24" s="154" t="str">
        <x:v>Điểm đo thực</x:v>
      </x:c>
      <x:c r="E24" s="154" t="str">
        <x:v>Không nội suy liên tục</x:v>
      </x:c>
      <x:c r="G24" s="154"/>
      <x:c r="H24" s="154"/>
      <x:c r="I24" s="154"/>
      <x:c r="J24" s="154"/>
    </x:row>
    <x:row r="25">
      <x:c r="A25" s="154" t="str">
        <x:v>HK3</x:v>
      </x:c>
      <x:c r="B25" s="154" t="n">
        <x:v>11</x:v>
      </x:c>
      <x:c r="C25" s="154" t="n">
        <x:v>45</x:v>
      </x:c>
      <x:c r="D25" s="154" t="str">
        <x:v>Điểm đo thực</x:v>
      </x:c>
      <x:c r="E25" s="154" t="str">
        <x:v>Không nội suy liên tục</x:v>
      </x:c>
      <x:c r="G25" s="154"/>
      <x:c r="H25" s="154"/>
      <x:c r="I25" s="154"/>
      <x:c r="J25" s="154"/>
    </x:row>
    <x:row r="26">
      <x:c r="A26" s="154" t="str">
        <x:v>HK3</x:v>
      </x:c>
      <x:c r="B26" s="154" t="n">
        <x:v>12</x:v>
      </x:c>
      <x:c r="C26" s="154" t="n">
        <x:v>50</x:v>
      </x:c>
      <x:c r="D26" s="154" t="str">
        <x:v>Điểm đo thực</x:v>
      </x:c>
      <x:c r="E26" s="154" t="str">
        <x:v>Không nội suy liên tục</x:v>
      </x:c>
      <x:c r="G26" s="154"/>
      <x:c r="H26" s="154"/>
      <x:c r="I26" s="154"/>
      <x:c r="J26" s="154"/>
    </x:row>
    <x:row r="27">
      <x:c r="A27" s="154" t="str">
        <x:v>HK3</x:v>
      </x:c>
      <x:c r="B27" s="154" t="n">
        <x:v>13</x:v>
      </x:c>
      <x:c r="C27" s="154" t="n">
        <x:v>45</x:v>
      </x:c>
      <x:c r="D27" s="154" t="str">
        <x:v>Điểm đo thực</x:v>
      </x:c>
      <x:c r="E27" s="154" t="str">
        <x:v>Không nội suy liên tục</x:v>
      </x:c>
      <x:c r="G27" s="154"/>
      <x:c r="H27" s="154"/>
      <x:c r="I27" s="154"/>
      <x:c r="J27" s="154"/>
    </x:row>
    <x:row r="28">
      <x:c r="A28" s="154" t="str">
        <x:v>HK3</x:v>
      </x:c>
      <x:c r="B28" s="154" t="n">
        <x:v>14</x:v>
      </x:c>
      <x:c r="C28" s="154" t="n">
        <x:v>40</x:v>
      </x:c>
      <x:c r="D28" s="154" t="str">
        <x:v>Điểm đo thực</x:v>
      </x:c>
      <x:c r="E28" s="154" t="str">
        <x:v>Không nội suy liên tục</x:v>
      </x:c>
      <x:c r="G28" s="154"/>
      <x:c r="H28" s="154"/>
      <x:c r="I28" s="154"/>
      <x:c r="J28" s="154"/>
    </x:row>
    <x:row r="29">
      <x:c r="A29" s="15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5" hidden="0" customWidth="1"/>
    <x:col min="14" max="14" width="14" hidden="0" customWidth="1"/>
    <x:col min="15" max="15" width="10" hidden="0" customWidth="1"/>
    <x:col min="16" max="16" width="15" hidden="0" customWidth="1"/>
    <x:col min="17" max="17" width="14" hidden="0" customWidth="1"/>
    <x:col min="18" max="18" width="22" hidden="0" customWidth="1"/>
    <x:col min="19" max="19" width="55" hidden="0" customWidth="1"/>
    <x:col min="22" max="22" width="13" hidden="0" customWidth="1"/>
    <x:col min="23" max="23" width="12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5" hidden="0" customWidth="1"/>
    <x:col min="29" max="29" width="10" hidden="0" customWidth="1"/>
    <x:col min="30" max="30" width="10" hidden="0" customWidth="1"/>
    <x:col min="31" max="31" width="10" hidden="0" customWidth="1"/>
    <x:col min="32" max="32" width="14" hidden="0" customWidth="1"/>
    <x:col min="33" max="33" width="58" hidden="0" customWidth="1"/>
  </x:cols>
  <x:sheetData>
    <x:row r="1">
      <x:c r="A1" s="6" t="str">
        <x:v>SỨC CHỊU TẢI THEO ĐẤT NỀN – 3 LỖ KHOAN × CƠ LÝ + SPT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155"/>
      <x:c r="U1" s="155"/>
      <x:c r="V1" s="155"/>
      <x:c r="W1" s="155"/>
      <x:c r="X1" s="155"/>
      <x:c r="Y1" s="155"/>
      <x:c r="Z1" s="155"/>
      <x:c r="AA1" s="155"/>
      <x:c r="AB1" s="155"/>
      <x:c r="AC1" s="155"/>
      <x:c r="AD1" s="155"/>
      <x:c r="AE1" s="155"/>
      <x:c r="AF1" s="155"/>
      <x:c r="AG1" s="155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  <x:c r="U2" s="155"/>
      <x:c r="V2" s="155"/>
      <x:c r="W2" s="155"/>
      <x:c r="X2" s="155"/>
      <x:c r="Y2" s="155"/>
      <x:c r="Z2" s="155"/>
      <x:c r="AA2" s="155"/>
      <x:c r="AB2" s="155"/>
      <x:c r="AC2" s="155"/>
      <x:c r="AD2" s="155"/>
      <x:c r="AE2" s="155"/>
      <x:c r="AF2" s="155"/>
      <x:c r="AG2" s="155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STT</x:v>
      </x:c>
      <x:c r="B3" s="29" t="str">
        <x:v>Lỗ khoan</x:v>
      </x:c>
      <x:c r="C3" s="29" t="str">
        <x:v>Phương pháp</x:v>
      </x:c>
      <x:c r="D3" s="29" t="str">
        <x:v>A mũi (m²)</x:v>
      </x:c>
      <x:c r="E3" s="29" t="str">
        <x:v>u (m)</x:v>
      </x:c>
      <x:c r="F3" s="29" t="str">
        <x:v>q_b (kPa)</x:v>
      </x:c>
      <x:c r="G3" s="29" t="str">
        <x:v>γ mũi</x:v>
      </x:c>
      <x:c r="H3" s="29" t="str">
        <x:v>Qb (kN)</x:v>
      </x:c>
      <x:c r="I3" s="29" t="str">
        <x:v>Qs (kN)</x:v>
      </x:c>
      <x:c r="J3" s="29" t="str">
        <x:v>Rk (kN)</x:v>
      </x:c>
      <x:c r="K3" s="29" t="str">
        <x:v>γk</x:v>
      </x:c>
      <x:c r="L3" s="29" t="str">
        <x:v>Rd=Rsoil (kN)</x:v>
      </x:c>
      <x:c r="M3" s="29" t="str">
        <x:v>Rmaterial (kN)</x:v>
      </x:c>
      <x:c r="N3" s="29" t="str">
        <x:v>Rpile (kN)</x:v>
      </x:c>
      <x:c r="O3" s="29" t="str">
        <x:v>γn</x:v>
      </x:c>
      <x:c r="P3" s="29" t="str">
        <x:v>Nd,max (kN)</x:v>
      </x:c>
      <x:c r="Q3" s="29" t="str">
        <x:v>Khống chế</x:v>
      </x:c>
      <x:c r="R3" s="29" t="str">
        <x:v>Lớp đất mũi</x:v>
      </x:c>
      <x:c r="S3" s="30" t="str">
        <x:v>Nguồn</x:v>
      </x:c>
      <x:c r="T3" s="155"/>
      <x:c r="U3" s="155"/>
      <x:c r="V3" s="28" t="str">
        <x:v>Lỗ khoan</x:v>
      </x:c>
      <x:c r="W3" s="29" t="str">
        <x:v>Phương pháp</x:v>
      </x:c>
      <x:c r="X3" s="29" t="str">
        <x:v>Đoạn/Lớp</x:v>
      </x:c>
      <x:c r="Y3" s="29" t="str">
        <x:v>Từ z</x:v>
      </x:c>
      <x:c r="Z3" s="29" t="str">
        <x:v>Đến z</x:v>
      </x:c>
      <x:c r="AA3" s="29" t="str">
        <x:v>h (m)</x:v>
      </x:c>
      <x:c r="AB3" s="29" t="str">
        <x:v>z tb (m)</x:v>
      </x:c>
      <x:c r="AC3" s="29" t="str">
        <x:v>f_i / τ (kPa)</x:v>
      </x:c>
      <x:c r="AD3" s="29" t="str">
        <x:v>γRf</x:v>
      </x:c>
      <x:c r="AE3" s="29" t="str">
        <x:v>u (m)</x:v>
      </x:c>
      <x:c r="AF3" s="29" t="str">
        <x:v>Rfi (kN)</x:v>
      </x:c>
      <x:c r="AG3" s="30" t="str">
        <x:v>Nguồn tra</x:v>
      </x:c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n">
        <x:v>1</x:v>
      </x:c>
      <x:c r="B5" s="172" t="str">
        <x:v>HK1</x:v>
      </x:c>
      <x:c r="B4" s="156" t="str">
        <x:v>HK1</x:v>
      </x:c>
      <x:c r="C4" s="156" t="str">
        <x:v>CƠ LÝ · 7.2.2 CỌC ĐÓNG/ÉP</x:v>
      </x:c>
      <x:c r="D4" s="156" t="n">
        <x:v>0.16000000000000003</x:v>
      </x:c>
      <x:c r="E4" s="156" t="n">
        <x:v>1.6</x:v>
      </x:c>
      <x:c r="F4" s="156" t="n">
        <x:v>4160</x:v>
      </x:c>
      <x:c r="G4" s="156" t="n">
        <x:v>1</x:v>
      </x:c>
      <x:c r="H4" s="156" t="n">
        <x:f>D4*F4*G4</x:f>
        <x:v>665.6000000000001</x:v>
      </x:c>
      <x:c r="I4" s="156" t="n">
        <x:f>SUMIFS($AF$4:$AF$33,$V$4:$V$33,B4,$W$4:$W$33,C4)</x:f>
        <x:v>1052.56</x:v>
      </x:c>
      <x:c r="J4" s="156" t="n">
        <x:f>H4+I4</x:f>
        <x:v>1718.16</x:v>
      </x:c>
      <x:c r="K4" s="156" t="n">
        <x:v>1.4</x:v>
      </x:c>
      <x:c r="L4" s="156" t="n">
        <x:f>J4/K4</x:f>
        <x:v>1227.257142857143</x:v>
      </x:c>
      <x:c r="M4" s="156" t="n">
        <x:f>'05_VẬT_LIỆU'!$B$23</x:f>
        <x:v>2952</x:v>
      </x:c>
      <x:c r="N4" s="156" t="n">
        <x:f>MIN(L4,M4)</x:f>
        <x:v>1227.257142857143</x:v>
      </x:c>
      <x:c r="O4" s="156" t="n">
        <x:v>1.2</x:v>
      </x:c>
      <x:c r="P4" s="156" t="n">
        <x:f>N4/O4</x:f>
        <x:v>1022.7142857142859</x:v>
      </x:c>
      <x:c r="Q4" s="156" t="str">
        <x:f>IF(L4&lt;=M4,"ĐẤT NỀN","VẬT LIỆU")</x:f>
        <x:v>ĐẤT NỀN</x:v>
      </x:c>
      <x:c r="R4" s="156" t="str">
        <x:v>Cát/vừa</x:v>
      </x:c>
      <x:c r="S4" s="156" t="str">
        <x:v>TCVN 10304:2025 · §7.2.2</x:v>
      </x:c>
      <x:c r="X5" s="172" t="n">
        <x:v>2</x:v>
      </x:c>
      <x:c r="Y5" s="172" t="n">
        <x:v>2</x:v>
      </x:c>
      <x:c r="Z5" s="172" t="n">
        <x:v>4</x:v>
      </x:c>
      <x:c r="AA5" s="172" t="n">
        <x:v>2</x:v>
      </x:c>
      <x:c r="AB5" s="172" t="n">
        <x:v>3</x:v>
      </x:c>
      <x:c r="AC5" s="172" t="n">
        <x:v>48</x:v>
      </x:c>
      <x:c r="AD5" s="172" t="n">
        <x:v>1</x:v>
      </x:c>
      <x:c r="AE5" s="172" t="n">
        <x:v>1.6</x:v>
      </x:c>
      <x:c r="AF5" s="200" t="n">
        <x:f>AA5*AC5*AD5*AE5</x:f>
        <x:v>153.60000000000002</x:v>
      </x:c>
      <x:c r="AG5" s="157" t="str">
        <x:v>TCVN 10304:2025 · Bảng 3 + Bảng 4</x:v>
      </x:c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n">
        <x:v>3</x:v>
      </x:c>
      <x:c r="B7" s="172" t="str">
        <x:v>HK2</x:v>
      </x:c>
      <x:c r="B6" s="156" t="str">
        <x:v>HK2</x:v>
      </x:c>
      <x:c r="C6" s="156" t="str">
        <x:v>CƠ LÝ · 7.2.2 CỌC ĐÓNG/ÉP</x:v>
      </x:c>
      <x:c r="D6" s="156" t="n">
        <x:v>0.16000000000000003</x:v>
      </x:c>
      <x:c r="E6" s="156" t="n">
        <x:v>1.6</x:v>
      </x:c>
      <x:c r="F6" s="156" t="n">
        <x:v>2720</x:v>
      </x:c>
      <x:c r="G6" s="156" t="n">
        <x:v>1</x:v>
      </x:c>
      <x:c r="H6" s="156" t="n">
        <x:f>D6*F6*G6</x:f>
        <x:v>435.2000000000001</x:v>
      </x:c>
      <x:c r="I6" s="156" t="n">
        <x:f>SUMIFS($AF$4:$AF$33,$V$4:$V$33,B6,$W$4:$W$33,C6)</x:f>
        <x:v>745.6000000000001</x:v>
      </x:c>
      <x:c r="J6" s="156" t="n">
        <x:f>H6+I6</x:f>
        <x:v>1180.8000000000002</x:v>
      </x:c>
      <x:c r="K6" s="156" t="n">
        <x:v>1.4</x:v>
      </x:c>
      <x:c r="L6" s="156" t="n">
        <x:f>J6/K6</x:f>
        <x:v>843.4285714285716</x:v>
      </x:c>
      <x:c r="M6" s="156" t="n">
        <x:f>'05_VẬT_LIỆU'!$B$23</x:f>
        <x:v>2952</x:v>
      </x:c>
      <x:c r="N6" s="156" t="n">
        <x:f>MIN(L6,M6)</x:f>
        <x:v>843.4285714285716</x:v>
      </x:c>
      <x:c r="O6" s="156" t="n">
        <x:v>1.2</x:v>
      </x:c>
      <x:c r="P6" s="156" t="n">
        <x:f>N6/O6</x:f>
        <x:v>702.857142857143</x:v>
      </x:c>
      <x:c r="Q6" s="156" t="str">
        <x:f>IF(L6&lt;=M6,"ĐẤT NỀN","VẬT LIỆU")</x:f>
        <x:v>ĐẤT NỀN</x:v>
      </x:c>
      <x:c r="R6" s="156" t="str">
        <x:v>Cát/mịn</x:v>
      </x:c>
      <x:c r="S6" s="156" t="str">
        <x:v>TCVN 10304:2025 · §7.2.2</x:v>
      </x:c>
      <x:c r="X7" s="172" t="n">
        <x:v>4</x:v>
      </x:c>
      <x:c r="Y7" s="172" t="n">
        <x:v>6</x:v>
      </x:c>
      <x:c r="Z7" s="172" t="n">
        <x:v>8</x:v>
      </x:c>
      <x:c r="AA7" s="172" t="n">
        <x:v>2</x:v>
      </x:c>
      <x:c r="AB7" s="172" t="n">
        <x:v>7</x:v>
      </x:c>
      <x:c r="AC7" s="172" t="n">
        <x:v>60</x:v>
      </x:c>
      <x:c r="AD7" s="172" t="n">
        <x:v>1</x:v>
      </x:c>
      <x:c r="AE7" s="172" t="n">
        <x:v>1.6</x:v>
      </x:c>
      <x:c r="AF7" s="200" t="n">
        <x:f>AA7*AC7*AD7*AE7</x:f>
        <x:v>192</x:v>
      </x:c>
      <x:c r="AG7" s="157" t="str">
        <x:v>TCVN 10304:2025 · Bảng 3 + Bảng 4</x:v>
      </x:c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n">
        <x:v>5</x:v>
      </x:c>
      <x:c r="B9" s="174" t="str">
        <x:v>HK3</x:v>
      </x:c>
      <x:c r="B8" s="156" t="str">
        <x:v>HK3</x:v>
      </x:c>
      <x:c r="C8" s="156" t="str">
        <x:v>CƠ LÝ · 7.2.2 CỌC ĐÓNG/ÉP</x:v>
      </x:c>
      <x:c r="D8" s="156" t="n">
        <x:v>0.16000000000000003</x:v>
      </x:c>
      <x:c r="E8" s="156" t="n">
        <x:v>1.6</x:v>
      </x:c>
      <x:c r="F8" s="156" t="n">
        <x:v>7900</x:v>
      </x:c>
      <x:c r="G8" s="156" t="n">
        <x:v>1</x:v>
      </x:c>
      <x:c r="H8" s="156" t="n">
        <x:f>D8*F8*G8</x:f>
        <x:v>1264.0000000000002</x:v>
      </x:c>
      <x:c r="I8" s="156" t="n">
        <x:f>SUMIFS($AF$4:$AF$33,$V$4:$V$33,B8,$W$4:$W$33,C8)</x:f>
        <x:v>1052.56</x:v>
      </x:c>
      <x:c r="J8" s="156" t="n">
        <x:f>H8+I8</x:f>
        <x:v>2316.5600000000004</x:v>
      </x:c>
      <x:c r="K8" s="156" t="n">
        <x:v>1.4</x:v>
      </x:c>
      <x:c r="L8" s="156" t="n">
        <x:f>J8/K8</x:f>
        <x:v>1654.6857142857148</x:v>
      </x:c>
      <x:c r="M8" s="156" t="n">
        <x:f>'05_VẬT_LIỆU'!$B$23</x:f>
        <x:v>2952</x:v>
      </x:c>
      <x:c r="N8" s="156" t="n">
        <x:f>MIN(L8,M8)</x:f>
        <x:v>1654.6857142857148</x:v>
      </x:c>
      <x:c r="O8" s="156" t="n">
        <x:v>1.2</x:v>
      </x:c>
      <x:c r="P8" s="156" t="n">
        <x:f>N8/O8</x:f>
        <x:v>1378.9047619047624</x:v>
      </x:c>
      <x:c r="Q8" s="156" t="str">
        <x:f>IF(L8&lt;=M8,"ĐẤT NỀN","VẬT LIỆU")</x:f>
        <x:v>ĐẤT NỀN</x:v>
      </x:c>
      <x:c r="R8" s="156" t="str">
        <x:v>Cát/thô</x:v>
      </x:c>
      <x:c r="S8" s="156" t="str">
        <x:v>TCVN 10304:2025 · §7.2.2</x:v>
      </x:c>
      <x:c r="X9" s="172" t="n">
        <x:v>6</x:v>
      </x:c>
      <x:c r="Y9" s="172" t="n">
        <x:v>9</x:v>
      </x:c>
      <x:c r="Z9" s="172" t="n">
        <x:v>11</x:v>
      </x:c>
      <x:c r="AA9" s="172" t="n">
        <x:v>2</x:v>
      </x:c>
      <x:c r="AB9" s="172" t="n">
        <x:v>10</x:v>
      </x:c>
      <x:c r="AC9" s="172" t="n">
        <x:v>65</x:v>
      </x:c>
      <x:c r="AD9" s="172" t="n">
        <x:v>1</x:v>
      </x:c>
      <x:c r="AE9" s="172" t="n">
        <x:v>1.6</x:v>
      </x:c>
      <x:c r="AF9" s="200" t="n">
        <x:f>AA9*AC9*AD9*AE9</x:f>
        <x:v>208</x:v>
      </x:c>
      <x:c r="AG9" s="157" t="str">
        <x:v>TCVN 10304:2025 · Bảng 3 + Bảng 4</x:v>
      </x:c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  <x:c r="R10" s="155"/>
      <x:c r="S10" s="155"/>
      <x:c r="T10" s="155"/>
      <x:c r="U10" s="155"/>
      <x:c r="V10" s="156" t="str">
        <x:v>HK1</x:v>
      </x:c>
      <x:c r="B12" s="16" t="str">
        <x:v>Giá trị</x:v>
      </x:c>
      <x:c r="C12" s="16" t="str">
        <x:v>Đơn vị</x:v>
      </x:c>
      <x:c r="D12" s="16" t="str">
        <x:v>Công thức Excel</x:v>
      </x:c>
      <x:c r="E12" s="16" t="str">
        <x:v>Engine LOCKED</x:v>
      </x:c>
      <x:c r="F12" s="16" t="str">
        <x:v>Sai lệch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  <x:c r="R12" s="155"/>
      <x:c r="S12" s="155"/>
      <x:c r="T12" s="155"/>
      <x:c r="U12" s="155"/>
      <x:c r="V12" s="156" t="str">
        <x:v>HK1</x:v>
      </x:c>
      <x:c r="X12" s="172" t="n">
        <x:v>2</x:v>
      </x:c>
      <x:c r="Y12" s="172" t="n">
        <x:v>4</x:v>
      </x:c>
      <x:c r="Z12" s="172" t="n">
        <x:v>9</x:v>
      </x:c>
      <x:c r="AA12" s="172" t="n">
        <x:v>5</x:v>
      </x:c>
      <x:c r="AB12" s="172" t="n">
        <x:v>6.5</x:v>
      </x:c>
      <x:c r="AC12" s="172" t="n">
        <x:v>48</x:v>
      </x:c>
      <x:c r="AD12" s="172" t="n">
        <x:v>1</x:v>
      </x:c>
      <x:c r="AE12" s="172" t="n">
        <x:v>1.6</x:v>
      </x:c>
      <x:c r="AF12" s="200" t="n">
        <x:f>AA12*AC12*AD12*AE12</x:f>
        <x:v>384</x:v>
      </x:c>
      <x:c r="AG12" s="157" t="str">
        <x:v>TCVN 10304:2025 · Bảng 3 + Bảng 4</x:v>
      </x:c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Rsoil,min</x:v>
      </x:c>
      <x:c r="B13" s="166" t="n">
        <x:f>MIN(L4:L9)</x:f>
        <x:v>843.4285714285716</x:v>
      </x:c>
      <x:c r="C13" s="204" t="str">
        <x:v>kN</x:v>
      </x:c>
      <x:c r="D13" s="204" t="str">
        <x:v>MIN(Rd các nhánh)</x:v>
      </x:c>
      <x:c r="E13" s="204" t="n">
        <x:v>843.4285714285716</x:v>
      </x:c>
      <x:c r="F13" s="166" t="n">
        <x:f>B13-E13</x:f>
        <x:v>0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  <x:c r="R13" s="155"/>
      <x:c r="S13" s="155"/>
      <x:c r="T13" s="155"/>
      <x:c r="U13" s="155"/>
      <x:c r="V13" s="156" t="str">
        <x:v>HK1</x:v>
      </x:c>
      <x:c r="B14" s="166" t="n">
        <x:f>'05_VẬT_LIỆU'!B23</x:f>
        <x:v>2952</x:v>
      </x:c>
      <x:c r="C14" s="204" t="str">
        <x:v>kN</x:v>
      </x:c>
      <x:c r="D14" s="204" t="str">
        <x:v>Từ sheet vật liệu</x:v>
      </x:c>
      <x:c r="E14" s="204" t="n">
        <x:v>2952</x:v>
      </x:c>
      <x:c r="F14" s="166" t="n">
        <x:f>B14-E14</x:f>
        <x:v>0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  <x:c r="R14" s="155"/>
      <x:c r="S14" s="155"/>
      <x:c r="T14" s="155"/>
      <x:c r="U14" s="155"/>
      <x:c r="V14" s="156" t="str">
        <x:v>HK2</x:v>
      </x:c>
      <x:c r="X14" s="172" t="n">
        <x:v>1</x:v>
      </x:c>
      <x:c r="Y14" s="172" t="n">
        <x:v>0</x:v>
      </x:c>
      <x:c r="Z14" s="172" t="n">
        <x:v>2</x:v>
      </x:c>
      <x:c r="AA14" s="172" t="n">
        <x:v>2</x:v>
      </x:c>
      <x:c r="AB14" s="172" t="n">
        <x:v>1</x:v>
      </x:c>
      <x:c r="AC14" s="172" t="n">
        <x:v>23</x:v>
      </x:c>
      <x:c r="AD14" s="172" t="n">
        <x:v>1</x:v>
      </x:c>
      <x:c r="AE14" s="172" t="n">
        <x:v>1.6</x:v>
      </x:c>
      <x:c r="AF14" s="200" t="n">
        <x:f>AA14*AC14*AD14*AE14</x:f>
        <x:v>73.60000000000001</x:v>
      </x:c>
      <x:c r="AG14" s="157" t="str">
        <x:v>TCVN 10304:2025 · Bảng 3 + Bảng 4</x:v>
      </x:c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Rpile</x:v>
      </x:c>
      <x:c r="B15" s="166" t="n">
        <x:f>MIN(B13,B14)</x:f>
        <x:v>843.4285714285716</x:v>
      </x:c>
      <x:c r="C15" s="204" t="str">
        <x:v>kN</x:v>
      </x:c>
      <x:c r="D15" s="204" t="str">
        <x:v>MIN(Rsoil,Rmaterial)</x:v>
      </x:c>
      <x:c r="E15" s="204" t="n">
        <x:v>843.4285714285716</x:v>
      </x:c>
      <x:c r="F15" s="166" t="n">
        <x:f>B15-E15</x:f>
        <x:v>0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  <x:c r="R15" s="155"/>
      <x:c r="S15" s="155"/>
      <x:c r="T15" s="155"/>
      <x:c r="U15" s="155"/>
      <x:c r="V15" s="156" t="str">
        <x:v>HK2</x:v>
      </x:c>
      <x:c r="B16" s="166" t="n">
        <x:v>1.2</x:v>
      </x:c>
      <x:c r="C16" s="204" t="str">
        <x:v>-</x:v>
      </x:c>
      <x:c r="D16" s="204" t="str">
        <x:v>Đầu vào</x:v>
      </x:c>
      <x:c r="E16" s="204" t="n">
        <x:v>1.15</x:v>
      </x:c>
      <x:c r="F16" s="166" t="n">
        <x:f>B16-E16</x:f>
        <x:v>0</x:v>
      </x:c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  <x:c r="R16" s="155"/>
      <x:c r="S16" s="155"/>
      <x:c r="T16" s="155"/>
      <x:c r="U16" s="155"/>
      <x:c r="V16" s="156" t="str">
        <x:v>HK2</x:v>
      </x:c>
      <x:c r="X16" s="172" t="n">
        <x:v>3</x:v>
      </x:c>
      <x:c r="Y16" s="172" t="n">
        <x:v>4</x:v>
      </x:c>
      <x:c r="Z16" s="172" t="n">
        <x:v>6</x:v>
      </x:c>
      <x:c r="AA16" s="172" t="n">
        <x:v>2</x:v>
      </x:c>
      <x:c r="AB16" s="172" t="n">
        <x:v>5</x:v>
      </x:c>
      <x:c r="AC16" s="172" t="n">
        <x:v>40</x:v>
      </x:c>
      <x:c r="AD16" s="172" t="n">
        <x:v>1</x:v>
      </x:c>
      <x:c r="AE16" s="172" t="n">
        <x:v>1.6</x:v>
      </x:c>
      <x:c r="AF16" s="200" t="n">
        <x:f>AA16*AC16*AD16*AE16</x:f>
        <x:v>128</x:v>
      </x:c>
      <x:c r="AG16" s="157" t="str">
        <x:v>TCVN 10304:2025 · Bảng 3 + Bảng 4</x:v>
      </x:c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Nd,max</x:v>
      </x:c>
      <x:c r="B17" s="166" t="n">
        <x:f>B15/B16</x:f>
        <x:v>702.857142857143</x:v>
      </x:c>
      <x:c r="C17" s="204" t="str">
        <x:v>kN</x:v>
      </x:c>
      <x:c r="D17" s="204" t="str">
        <x:v>Rpile/γn</x:v>
      </x:c>
      <x:c r="E17" s="204" t="n">
        <x:v>733.4161490683232</x:v>
      </x:c>
      <x:c r="F17" s="166" t="n">
        <x:f>B17-E17</x:f>
        <x:v>0</x:v>
      </x:c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  <x:c r="R17" s="155"/>
      <x:c r="S17" s="155"/>
      <x:c r="T17" s="155"/>
      <x:c r="U17" s="155"/>
      <x:c r="V17" s="156" t="str">
        <x:v>HK2</x:v>
      </x:c>
      <x:c r="B18" s="155" t="str">
        <x:v>HK2</x:v>
      </x:c>
      <x:c r="C18" s="155" t="str">
        <x:v>-</x:v>
      </x:c>
      <x:c r="D18" s="155" t="str">
        <x:v>Engine selection</x:v>
      </x:c>
      <x:c r="E18" s="155" t="str">
        <x:v>HK2</x:v>
      </x:c>
      <x:c r="F18" s="155" t="n">
        <x:v>0</x:v>
      </x:c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  <x:c r="R18" s="155"/>
      <x:c r="S18" s="155"/>
      <x:c r="T18" s="155"/>
      <x:c r="U18" s="155"/>
      <x:c r="V18" s="156" t="str">
        <x:v>HK2</x:v>
      </x:c>
      <x:c r="X18" s="172" t="n">
        <x:v>5</x:v>
      </x:c>
      <x:c r="Y18" s="172" t="n">
        <x:v>8</x:v>
      </x:c>
      <x:c r="Z18" s="172" t="n">
        <x:v>9</x:v>
      </x:c>
      <x:c r="AA18" s="172" t="n">
        <x:v>1</x:v>
      </x:c>
      <x:c r="AB18" s="172" t="n">
        <x:v>8.5</x:v>
      </x:c>
      <x:c r="AC18" s="172" t="n">
        <x:v>44.5</x:v>
      </x:c>
      <x:c r="AD18" s="172" t="n">
        <x:v>1</x:v>
      </x:c>
      <x:c r="AE18" s="172" t="n">
        <x:v>1.6</x:v>
      </x:c>
      <x:c r="AF18" s="200" t="n">
        <x:f>AA18*AC18*AD18*AE18</x:f>
        <x:v>71.2</x:v>
      </x:c>
      <x:c r="AG18" s="157" t="str">
        <x:v>TCVN 10304:2025 · Bảng 3 + Bảng 4</x:v>
      </x:c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Phương pháp bất lợi</x:v>
      </x:c>
      <x:c r="B19" s="155" t="str">
        <x:v>CƠ LÝ · 7.2.2 CỌC ĐÓNG/ÉP</x:v>
      </x:c>
      <x:c r="C19" s="155" t="str">
        <x:v>-</x:v>
      </x:c>
      <x:c r="D19" s="155" t="str">
        <x:v>Engine selection</x:v>
      </x:c>
      <x:c r="E19" s="155" t="str">
        <x:v>CƠ LÝ · 7.2.2 CỌC ĐÓNG/ÉP</x:v>
      </x:c>
      <x:c r="F19" s="155" t="n">
        <x:v>0</x:v>
      </x:c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  <x:c r="R19" s="155"/>
      <x:c r="S19" s="155"/>
      <x:c r="T19" s="155"/>
      <x:c r="U19" s="155"/>
      <x:c r="V19" s="156" t="str">
        <x:v>HK2</x:v>
      </x:c>
      <x:c r="B20" s="155" t="str">
        <x:v>VERIFIED</x:v>
      </x:c>
      <x:c r="C20" s="155" t="str">
        <x:v>-</x:v>
      </x:c>
      <x:c r="D20" s="155" t="str">
        <x:v>Sai lệch số phải ≈0</x:v>
      </x:c>
      <x:c r="E20" s="155" t="str">
        <x:v>VERIFIED</x:v>
      </x:c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  <x:c r="R20" s="155"/>
      <x:c r="S20" s="155"/>
      <x:c r="T20" s="155"/>
      <x:c r="U20" s="155"/>
      <x:c r="V20" s="156" t="str">
        <x:v>HK2</x:v>
      </x:c>
      <x:c r="X20" s="172" t="n">
        <x:v>7</x:v>
      </x:c>
      <x:c r="Y20" s="172" t="n">
        <x:v>11</x:v>
      </x:c>
      <x:c r="Z20" s="172" t="n">
        <x:v>12</x:v>
      </x:c>
      <x:c r="AA20" s="172" t="n">
        <x:v>1</x:v>
      </x:c>
      <x:c r="AB20" s="172" t="n">
        <x:v>11.5</x:v>
      </x:c>
      <x:c r="AC20" s="172" t="n">
        <x:v>47.5</x:v>
      </x:c>
      <x:c r="AD20" s="172" t="n">
        <x:v>1</x:v>
      </x:c>
      <x:c r="AE20" s="172" t="n">
        <x:v>1.6</x:v>
      </x:c>
      <x:c r="AF20" s="200" t="n">
        <x:f>AA20*AC20*AD20*AE20</x:f>
        <x:v>76</x:v>
      </x:c>
      <x:c r="AG20" s="157" t="str">
        <x:v>TCVN 10304:2025 · Bảng 3 + Bảng 4</x:v>
      </x:c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  <x:c r="R21" s="155"/>
      <x:c r="S21" s="155"/>
      <x:c r="T21" s="155"/>
      <x:c r="U21" s="155"/>
      <x:c r="V21" s="156" t="str">
        <x:v>HK2</x:v>
      </x:c>
      <x:c r="W21" s="155" t="str">
        <x:v>SPT · PHỤ LỤC D</x:v>
      </x:c>
      <x:c r="X21" s="155" t="n">
        <x:v>1</x:v>
      </x:c>
      <x:c r="Y21" s="155" t="n">
        <x:v>0</x:v>
      </x:c>
      <x:c r="Z21" s="155" t="n">
        <x:v>4</x:v>
      </x:c>
      <x:c r="AA21" s="155" t="n">
        <x:v>4</x:v>
      </x:c>
      <x:c r="AB21" s="155" t="n">
        <x:v>2</x:v>
      </x:c>
      <x:c r="AC21" s="155" t="n">
        <x:v>20</x:v>
      </x:c>
      <x:c r="AD21" s="155" t="n">
        <x:v>1</x:v>
      </x:c>
      <x:c r="AE21" s="155" t="n">
        <x:v>1.6</x:v>
      </x:c>
      <x:c r="AF21" s="155" t="n">
        <x:f>AA21*AC21*AD21*AE21</x:f>
        <x:v>128</x:v>
      </x:c>
      <x:c r="AG77" s="154"/>
      <x:c r="AG21" s="155" t="str">
        <x:v>TCVN 10304:2025 · Bảng 3 + Bảng 4</x:v>
      </x:c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 t="str">
        <x:f>IF(V78="","",AA78*AC78*AD78*AE78)</x:f>
      </x:c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 t="str">
        <x:f>IF(V79="","",AA79*AC79*AD79*AE79)</x:f>
      </x:c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 t="str">
        <x:f>IF(V80="","",AA80*AC80*AD80*AE80)</x:f>
      </x:c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  <x:row r="81">
      <x:c r="AF81" t="str">
        <x:f>IF(V81="","",AA81*AC81*AD81*AE81)</x:f>
      </x:c>
    </x:row>
    <x:row r="82">
      <x:c r="AF82" t="str">
        <x:f>IF(V82="","",AA82*AC82*AD82*AE82)</x:f>
      </x:c>
    </x:row>
    <x:row r="83">
      <x:c r="AF83" t="str">
        <x:f>IF(V83="","",AA83*AC83*AD83*AE83)</x:f>
      </x:c>
    </x:row>
    <x:row r="84">
      <x:c r="AF84" t="str">
        <x:f>IF(V84="","",AA84*AC84*AD84*AE84)</x:f>
      </x:c>
    </x:row>
    <x:row r="85">
      <x:c r="AF85" t="str">
        <x:f>IF(V85="","",AA85*AC85*AD85*AE85)</x:f>
      </x:c>
    </x:row>
    <x:row r="86">
      <x:c r="AF86" t="str">
        <x:f>IF(V86="","",AA86*AC86*AD86*AE86)</x:f>
      </x:c>
    </x:row>
    <x:row r="87">
      <x:c r="AF87" t="str">
        <x:f>IF(V87="","",AA87*AC87*AD87*AE87)</x:f>
      </x:c>
    </x:row>
    <x:row r="88">
      <x:c r="AF88" t="str">
        <x:f>IF(V88="","",AA88*AC88*AD88*AE88)</x:f>
      </x:c>
    </x:row>
    <x:row r="89">
      <x:c r="AF89" t="str">
        <x:f>IF(V89="","",AA89*AC89*AD89*AE89)</x:f>
      </x:c>
    </x:row>
    <x:row r="90">
      <x:c r="AF90" t="str">
        <x:f>IF(V90="","",AA90*AC90*AD90*AE90)</x:f>
      </x:c>
    </x:row>
    <x:row r="91">
      <x:c r="AF91" t="str">
        <x:f>IF(V91="","",AA91*AC91*AD91*AE91)</x:f>
      </x:c>
    </x:row>
    <x:row r="92">
      <x:c r="AF92" t="str">
        <x:f>IF(V92="","",AA92*AC92*AD92*AE92)</x:f>
      </x:c>
    </x:row>
    <x:row r="93">
      <x:c r="AF93" t="str">
        <x:f>IF(V93="","",AA93*AC93*AD93*AE93)</x:f>
      </x:c>
    </x:row>
    <x:row r="94">
      <x:c r="AF94" t="str">
        <x:f>IF(V94="","",AA94*AC94*AD94*AE94)</x:f>
      </x:c>
    </x:row>
    <x:row r="95">
      <x:c r="AF95" t="str">
        <x:f>IF(V95="","",AA95*AC95*AD95*AE95)</x:f>
      </x:c>
    </x:row>
    <x:row r="96">
      <x:c r="AF96" t="str">
        <x:f>IF(V96="","",AA96*AC96*AD96*AE96)</x:f>
      </x:c>
    </x:row>
    <x:row r="97">
      <x:c r="AF97" t="str">
        <x:f>IF(V97="","",AA97*AC97*AD97*AE97)</x:f>
      </x:c>
    </x:row>
    <x:row r="98">
      <x:c r="AF98" t="str">
        <x:f>IF(V98="","",AA98*AC98*AD98*AE98)</x:f>
      </x:c>
    </x:row>
    <x:row r="99">
      <x:c r="AF99" t="str">
        <x:f>IF(V99="","",AA99*AC99*AD99*AE99)</x:f>
      </x:c>
    </x:row>
    <x:row r="100">
      <x:c r="AF100" t="str">
        <x:f>IF(V100="","",AA100*AC100*AD100*AE100)</x:f>
      </x:c>
    </x:row>
    <x:row r="101">
      <x:c r="AF101" t="str">
        <x:f>IF(V101="","",AA101*AC101*AD101*AE101)</x:f>
      </x:c>
    </x:row>
    <x:row r="102">
      <x:c r="AF102" t="str">
        <x:f>IF(V102="","",AA102*AC102*AD102*AE102)</x:f>
      </x:c>
    </x:row>
    <x:row r="103">
      <x:c r="AF103" t="str">
        <x:f>IF(V103="","",AA103*AC103*AD103*AE103)</x:f>
      </x:c>
    </x:row>
    <x:row r="104">
      <x:c r="AF104" t="str">
        <x:f>IF(V104="","",AA104*AC104*AD104*AE104)</x:f>
      </x:c>
    </x:row>
    <x:row r="105">
      <x:c r="AF105" t="str">
        <x:f>IF(V105="","",AA105*AC105*AD105*AE105)</x:f>
      </x:c>
    </x:row>
    <x:row r="106">
      <x:c r="AF106" t="str">
        <x:f>IF(V106="","",AA106*AC106*AD106*AE106)</x:f>
      </x:c>
    </x:row>
    <x:row r="107">
      <x:c r="AF107" t="str">
        <x:f>IF(V107="","",AA107*AC107*AD107*AE107)</x:f>
      </x:c>
    </x:row>
    <x:row r="108">
      <x:c r="AF108" t="str">
        <x:f>IF(V108="","",AA108*AC108*AD108*AE108)</x:f>
      </x:c>
    </x:row>
    <x:row r="109">
      <x:c r="AF109" t="str">
        <x:f>IF(V109="","",AA109*AC109*AD109*AE109)</x:f>
      </x:c>
    </x:row>
    <x:row r="110">
      <x:c r="AF110" t="str">
        <x:f>IF(V110="","",AA110*AC110*AD110*AE110)</x:f>
      </x:c>
    </x:row>
    <x:row r="111">
      <x:c r="AF111" t="str">
        <x:f>IF(V111="","",AA111*AC111*AD111*AE111)</x:f>
      </x:c>
    </x:row>
    <x:row r="112">
      <x:c r="AF112" t="str">
        <x:f>IF(V112="","",AA112*AC112*AD112*AE112)</x:f>
      </x:c>
    </x:row>
    <x:row r="113">
      <x:c r="AF113" t="str">
        <x:f>IF(V113="","",AA113*AC113*AD113*AE113)</x:f>
      </x:c>
    </x:row>
    <x:row r="114">
      <x:c r="AF114" t="str">
        <x:f>IF(V114="","",AA114*AC114*AD114*AE114)</x:f>
      </x:c>
    </x:row>
    <x:row r="115">
      <x:c r="AF115" t="str">
        <x:f>IF(V115="","",AA115*AC115*AD115*AE115)</x:f>
      </x:c>
    </x:row>
    <x:row r="116">
      <x:c r="AF116" t="str">
        <x:f>IF(V116="","",AA116*AC116*AD116*AE116)</x:f>
      </x:c>
    </x:row>
    <x:row r="117">
      <x:c r="AF117" t="str">
        <x:f>IF(V117="","",AA117*AC117*AD117*AE117)</x:f>
      </x:c>
    </x:row>
    <x:row r="118">
      <x:c r="AF118" t="str">
        <x:f>IF(V118="","",AA118*AC118*AD118*AE118)</x:f>
      </x:c>
    </x:row>
    <x:row r="119">
      <x:c r="AF119" t="str">
        <x:f>IF(V119="","",AA119*AC119*AD119*AE119)</x:f>
      </x:c>
    </x:row>
    <x:row r="120">
      <x:c r="AF120" t="str">
        <x:f>IF(V120="","",AA120*AC120*AD120*AE120)</x:f>
      </x:c>
    </x:row>
    <x:row r="121">
      <x:c r="AF121" t="str">
        <x:f>IF(V121="","",AA121*AC121*AD121*AE121)</x:f>
      </x:c>
    </x:row>
    <x:row r="122">
      <x:c r="AF122" t="str">
        <x:f>IF(V122="","",AA122*AC122*AD122*AE122)</x:f>
      </x:c>
    </x:row>
    <x:row r="123">
      <x:c r="AF123" t="str">
        <x:f>IF(V123="","",AA123*AC123*AD123*AE123)</x:f>
      </x:c>
    </x:row>
    <x:row r="124">
      <x:c r="AF124" t="str">
        <x:f>IF(V124="","",AA124*AC124*AD124*AE124)</x:f>
      </x:c>
    </x:row>
    <x:row r="125">
      <x:c r="AF125" t="str">
        <x:f>IF(V125="","",AA125*AC125*AD125*AE125)</x:f>
      </x:c>
    </x:row>
    <x:row r="126">
      <x:c r="AF126" t="str">
        <x:f>IF(V126="","",AA126*AC126*AD126*AE126)</x:f>
      </x:c>
    </x:row>
    <x:row r="127">
      <x:c r="AF127" t="str">
        <x:f>IF(V127="","",AA127*AC127*AD127*AE127)</x:f>
      </x:c>
    </x:row>
    <x:row r="128">
      <x:c r="AF128" t="str">
        <x:f>IF(V128="","",AA128*AC128*AD128*AE128)</x:f>
      </x:c>
    </x:row>
    <x:row r="129">
      <x:c r="AF129" t="str">
        <x:f>IF(V129="","",AA129*AC129*AD129*AE129)</x:f>
      </x:c>
    </x:row>
    <x:row r="130">
      <x:c r="AF130" t="str">
        <x:f>IF(V130="","",AA130*AC130*AD130*AE130)</x:f>
      </x:c>
    </x:row>
    <x:row r="131">
      <x:c r="AF131" t="str">
        <x:f>IF(V131="","",AA131*AC131*AD131*AE131)</x:f>
      </x:c>
    </x:row>
    <x:row r="132">
      <x:c r="AF132" t="str">
        <x:f>IF(V132="","",AA132*AC132*AD132*AE132)</x:f>
      </x:c>
    </x:row>
    <x:row r="133">
      <x:c r="AF133" t="str">
        <x:f>IF(V133="","",AA133*AC133*AD133*AE133)</x:f>
      </x:c>
    </x:row>
    <x:row r="134">
      <x:c r="AF134" t="str">
        <x:f>IF(V134="","",AA134*AC134*AD134*AE134)</x:f>
      </x:c>
    </x:row>
    <x:row r="135">
      <x:c r="AF135" t="str">
        <x:f>IF(V135="","",AA135*AC135*AD135*AE135)</x:f>
      </x:c>
    </x:row>
    <x:row r="136">
      <x:c r="AF136" t="str">
        <x:f>IF(V136="","",AA136*AC136*AD136*AE136)</x:f>
      </x:c>
    </x:row>
    <x:row r="137">
      <x:c r="AF137" t="str">
        <x:f>IF(V137="","",AA137*AC137*AD137*AE137)</x:f>
      </x:c>
    </x:row>
    <x:row r="138">
      <x:c r="AF138" t="str">
        <x:f>IF(V138="","",AA138*AC138*AD138*AE138)</x:f>
      </x:c>
    </x:row>
    <x:row r="139">
      <x:c r="AF139" t="str">
        <x:f>IF(V139="","",AA139*AC139*AD139*AE139)</x:f>
      </x:c>
    </x:row>
    <x:row r="140">
      <x:c r="AF140" t="str">
        <x:f>IF(V140="","",AA140*AC140*AD140*AE140)</x:f>
      </x:c>
    </x:row>
    <x:row r="141">
      <x:c r="AF141" t="str">
        <x:f>IF(V141="","",AA141*AC141*AD141*AE141)</x:f>
      </x:c>
    </x:row>
    <x:row r="142">
      <x:c r="AF142" t="str">
        <x:f>IF(V142="","",AA142*AC142*AD142*AE142)</x:f>
      </x:c>
    </x:row>
    <x:row r="143">
      <x:c r="AF143" t="str">
        <x:f>IF(V143="","",AA143*AC143*AD143*AE143)</x:f>
      </x:c>
    </x:row>
    <x:row r="144">
      <x:c r="AF144" t="str">
        <x:f>IF(V144="","",AA144*AC144*AD144*AE144)</x:f>
      </x:c>
    </x:row>
    <x:row r="145">
      <x:c r="AF145" t="str">
        <x:f>IF(V145="","",AA145*AC145*AD145*AE145)</x:f>
      </x:c>
    </x:row>
    <x:row r="146">
      <x:c r="AF146" t="str">
        <x:f>IF(V146="","",AA146*AC146*AD146*AE146)</x:f>
      </x:c>
    </x:row>
    <x:row r="147">
      <x:c r="AF147" t="str">
        <x:f>IF(V147="","",AA147*AC147*AD147*AE147)</x:f>
      </x:c>
    </x:row>
    <x:row r="148">
      <x:c r="AF148" t="str">
        <x:f>IF(V148="","",AA148*AC148*AD148*AE148)</x:f>
      </x:c>
    </x:row>
    <x:row r="149">
      <x:c r="AF149" t="str">
        <x:f>IF(V149="","",AA149*AC149*AD149*AE149)</x:f>
      </x:c>
    </x:row>
    <x:row r="150">
      <x:c r="AF150" t="str">
        <x:f>IF(V150="","",AA150*AC150*AD150*AE150)</x:f>
      </x:c>
    </x:row>
    <x:row r="151">
      <x:c r="AF151" t="str">
        <x:f>IF(V151="","",AA151*AC151*AD151*AE151)</x:f>
      </x:c>
    </x:row>
    <x:row r="152">
      <x:c r="AF152" t="str">
        <x:f>IF(V152="","",AA152*AC152*AD152*AE152)</x:f>
      </x:c>
    </x:row>
    <x:row r="153">
      <x:c r="AF153" t="str">
        <x:f>IF(V153="","",AA153*AC153*AD153*AE153)</x:f>
      </x:c>
    </x:row>
    <x:row r="154">
      <x:c r="AF154" t="str">
        <x:f>IF(V154="","",AA154*AC154*AD154*AE154)</x:f>
      </x:c>
    </x:row>
    <x:row r="155">
      <x:c r="AF155" t="str">
        <x:f>IF(V155="","",AA155*AC155*AD155*AE155)</x:f>
      </x:c>
    </x:row>
    <x:row r="156">
      <x:c r="AF156" t="str">
        <x:f>IF(V156="","",AA156*AC156*AD156*AE156)</x:f>
      </x:c>
    </x:row>
    <x:row r="157">
      <x:c r="AF157" t="str">
        <x:f>IF(V157="","",AA157*AC157*AD157*AE157)</x:f>
      </x:c>
    </x:row>
    <x:row r="158">
      <x:c r="AF158" t="str">
        <x:f>IF(V158="","",AA158*AC158*AD158*AE158)</x:f>
      </x:c>
    </x:row>
    <x:row r="159">
      <x:c r="AF159" t="str">
        <x:f>IF(V159="","",AA159*AC159*AD159*AE159)</x:f>
      </x:c>
    </x:row>
    <x:row r="160">
      <x:c r="AF160" t="str">
        <x:f>IF(V160="","",AA160*AC160*AD160*AE160)</x:f>
      </x:c>
    </x:row>
    <x:row r="161">
      <x:c r="AF161" t="str">
        <x:f>IF(V161="","",AA161*AC161*AD161*AE161)</x:f>
      </x:c>
    </x:row>
    <x:row r="162">
      <x:c r="AF162" t="str">
        <x:f>IF(V162="","",AA162*AC162*AD162*AE162)</x:f>
      </x:c>
    </x:row>
    <x:row r="163">
      <x:c r="AF163" t="str">
        <x:f>IF(V163="","",AA163*AC163*AD163*AE163)</x:f>
      </x:c>
    </x:row>
    <x:row r="164">
      <x:c r="AF164" t="str">
        <x:f>IF(V164="","",AA164*AC164*AD164*AE164)</x:f>
      </x:c>
    </x:row>
    <x:row r="165">
      <x:c r="AF165" t="str">
        <x:f>IF(V165="","",AA165*AC165*AD165*AE165)</x:f>
      </x:c>
    </x:row>
    <x:row r="166">
      <x:c r="AF166" t="str">
        <x:f>IF(V166="","",AA166*AC166*AD166*AE166)</x:f>
      </x:c>
    </x:row>
    <x:row r="167">
      <x:c r="AF167" t="str">
        <x:f>IF(V167="","",AA167*AC167*AD167*AE167)</x:f>
      </x:c>
    </x:row>
    <x:row r="168">
      <x:c r="AF168" t="str">
        <x:f>IF(V168="","",AA168*AC168*AD168*AE168)</x:f>
      </x:c>
    </x:row>
    <x:row r="169">
      <x:c r="AF169" t="str">
        <x:f>IF(V169="","",AA169*AC169*AD169*AE169)</x:f>
      </x:c>
    </x:row>
    <x:row r="170">
      <x:c r="AF170" t="str">
        <x:f>IF(V170="","",AA170*AC170*AD170*AE170)</x:f>
      </x:c>
    </x:row>
    <x:row r="171">
      <x:c r="AF171" t="str">
        <x:f>IF(V171="","",AA171*AC171*AD171*AE171)</x:f>
      </x:c>
    </x:row>
    <x:row r="172">
      <x:c r="AF172" t="str">
        <x:f>IF(V172="","",AA172*AC172*AD172*AE172)</x:f>
      </x:c>
    </x:row>
    <x:row r="173">
      <x:c r="AF173" t="str">
        <x:f>IF(V173="","",AA173*AC173*AD173*AE173)</x:f>
      </x:c>
    </x:row>
    <x:row r="174">
      <x:c r="AF174" t="str">
        <x:f>IF(V174="","",AA174*AC174*AD174*AE174)</x:f>
      </x:c>
    </x:row>
    <x:row r="175">
      <x:c r="AF175" t="str">
        <x:f>IF(V175="","",AA175*AC175*AD175*AE175)</x:f>
      </x:c>
    </x:row>
    <x:row r="176">
      <x:c r="AF176" t="str">
        <x:f>IF(V176="","",AA176*AC176*AD176*AE176)</x:f>
      </x:c>
    </x:row>
    <x:row r="177">
      <x:c r="AF177" t="str">
        <x:f>IF(V177="","",AA177*AC177*AD177*AE177)</x:f>
      </x:c>
    </x:row>
    <x:row r="178">
      <x:c r="AF178" t="str">
        <x:f>IF(V178="","",AA178*AC178*AD178*AE178)</x:f>
      </x:c>
    </x:row>
    <x:row r="179">
      <x:c r="AF179" t="str">
        <x:f>IF(V179="","",AA179*AC179*AD179*AE179)</x:f>
      </x:c>
    </x:row>
    <x:row r="180">
      <x:c r="AF180" t="str">
        <x:f>IF(V180="","",AA180*AC180*AD180*AE180)</x:f>
      </x:c>
    </x:row>
    <x:row r="181">
      <x:c r="AF181" t="str">
        <x:f>IF(V181="","",AA181*AC181*AD181*AE181)</x:f>
      </x:c>
    </x:row>
    <x:row r="182">
      <x:c r="AF182" t="str">
        <x:f>IF(V182="","",AA182*AC182*AD182*AE182)</x:f>
      </x:c>
    </x:row>
    <x:row r="183">
      <x:c r="AF183" t="str">
        <x:f>IF(V183="","",AA183*AC183*AD183*AE183)</x:f>
      </x:c>
    </x:row>
    <x:row r="184">
      <x:c r="AF184" t="str">
        <x:f>IF(V184="","",AA184*AC184*AD184*AE184)</x:f>
      </x:c>
    </x:row>
    <x:row r="185">
      <x:c r="AF185" t="str">
        <x:f>IF(V185="","",AA185*AC185*AD185*AE185)</x:f>
      </x:c>
    </x:row>
    <x:row r="186">
      <x:c r="AF186" t="str">
        <x:f>IF(V186="","",AA186*AC186*AD186*AE186)</x:f>
      </x:c>
    </x:row>
    <x:row r="187">
      <x:c r="AF187" t="str">
        <x:f>IF(V187="","",AA187*AC187*AD187*AE187)</x:f>
      </x:c>
    </x:row>
    <x:row r="188">
      <x:c r="AF188" t="str">
        <x:f>IF(V188="","",AA188*AC188*AD188*AE188)</x:f>
      </x:c>
    </x:row>
    <x:row r="189">
      <x:c r="AF189" t="str">
        <x:f>IF(V189="","",AA189*AC189*AD189*AE189)</x:f>
      </x:c>
    </x:row>
    <x:row r="190">
      <x:c r="AF190" t="str">
        <x:f>IF(V190="","",AA190*AC190*AD190*AE190)</x:f>
      </x:c>
    </x:row>
    <x:row r="191">
      <x:c r="AF191" t="str">
        <x:f>IF(V191="","",AA191*AC191*AD191*AE191)</x:f>
      </x:c>
    </x:row>
    <x:row r="192">
      <x:c r="AF192" t="str">
        <x:f>IF(V192="","",AA192*AC192*AD192*AE192)</x:f>
      </x:c>
    </x:row>
    <x:row r="193">
      <x:c r="AF193" t="str">
        <x:f>IF(V193="","",AA193*AC193*AD193*AE193)</x:f>
      </x:c>
    </x:row>
    <x:row r="194">
      <x:c r="AF194" t="str">
        <x:f>IF(V194="","",AA194*AC194*AD194*AE194)</x:f>
      </x:c>
    </x:row>
    <x:row r="195">
      <x:c r="AF195" t="str">
        <x:f>IF(V195="","",AA195*AC195*AD195*AE195)</x:f>
      </x:c>
    </x:row>
    <x:row r="196">
      <x:c r="AF196" t="str">
        <x:f>IF(V196="","",AA196*AC196*AD196*AE196)</x:f>
      </x:c>
    </x:row>
    <x:row r="197">
      <x:c r="AF197" t="str">
        <x:f>IF(V197="","",AA197*AC197*AD197*AE197)</x:f>
      </x:c>
    </x:row>
    <x:row r="198">
      <x:c r="AF198" t="str">
        <x:f>IF(V198="","",AA198*AC198*AD198*AE198)</x:f>
      </x:c>
    </x:row>
    <x:row r="199">
      <x:c r="AF199" t="str">
        <x:f>IF(V199="","",AA199*AC199*AD199*AE199)</x:f>
      </x:c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</x:row>
    <x:row r="5">
      <x:c r="A5" s="154" t="n">
        <x:v>2</x:v>
      </x:c>
      <x:c r="C5" s="154" t="str">
        <x:v>SPT · PHỤ LỤC D</x:v>
      </x:c>
      <x:c r="D5" s="154" t="n">
        <x:v>0.16000000000000003</x:v>
      </x:c>
      <x:c r="E5" s="154" t="n">
        <x:v>1.6</x:v>
      </x:c>
      <x:c r="F5" s="154" t="n">
        <x:v>9750</x:v>
      </x:c>
      <x:c r="G5" s="154" t="n">
        <x:v>1</x:v>
      </x:c>
      <x:c r="H5" s="154" t="n">
        <x:f>D5*F5*G5</x:f>
        <x:v>1560.0000000000002</x:v>
      </x:c>
      <x:c r="I5" s="154" t="n">
        <x:f>SUMIFS($AF$4:$AF$33,$V$4:$V$33,B5,$W$4:$W$33,C5)</x:f>
        <x:v>902.4</x:v>
      </x:c>
      <x:c r="J5" s="154" t="n">
        <x:f>H5+I5</x:f>
        <x:v>2462.4</x:v>
      </x:c>
      <x:c r="K5" s="154" t="n">
        <x:v>1.5</x:v>
      </x:c>
      <x:c r="L5" s="154" t="n">
        <x:f>J5/K5</x:f>
        <x:v>1641.6000000000001</x:v>
      </x:c>
      <x:c r="M5" s="154" t="n">
        <x:f>'05_VẬT_LIỆU'!$B$23</x:f>
        <x:v>2952</x:v>
      </x:c>
      <x:c r="N5" s="154" t="n">
        <x:f>MIN(L5,M5)</x:f>
        <x:v>1641.6000000000001</x:v>
      </x:c>
      <x:c r="O5" s="154" t="n">
        <x:v>1.2</x:v>
      </x:c>
      <x:c r="P5" s="154" t="n">
        <x:f>N5/O5</x:f>
        <x:v>1368.0000000000002</x:v>
      </x:c>
      <x:c r="Q5" s="154" t="str">
        <x:f>IF(L5&lt;=M5,"ĐẤT NỀN","VẬT LIỆU")</x:f>
        <x:v>ĐẤT NỀN</x:v>
      </x:c>
      <x:c r="R5" s="154" t="str">
        <x:v>Cát/vừa</x:v>
      </x:c>
      <x:c r="S5" s="154" t="str">
        <x:v>TCVN 10304:2025 · Phụ lục D</x:v>
      </x:c>
    </x:row>
    <x:row r="7">
      <x:c r="A7" s="154" t="n">
        <x:v>4</x:v>
      </x:c>
      <x:c r="C7" s="154" t="str">
        <x:v>SPT · PHỤ LỤC D</x:v>
      </x:c>
      <x:c r="D7" s="154" t="n">
        <x:v>0.16000000000000003</x:v>
      </x:c>
      <x:c r="E7" s="154" t="n">
        <x:v>1.6</x:v>
      </x:c>
      <x:c r="F7" s="154" t="n">
        <x:v>6750</x:v>
      </x:c>
      <x:c r="G7" s="154" t="n">
        <x:v>1</x:v>
      </x:c>
      <x:c r="H7" s="154" t="n">
        <x:f>D7*F7*G7</x:f>
        <x:v>1080.0000000000002</x:v>
      </x:c>
      <x:c r="I7" s="154" t="n">
        <x:f>SUMIFS($AF$4:$AF$33,$V$4:$V$33,B7,$W$4:$W$33,C7)</x:f>
        <x:v>560</x:v>
      </x:c>
      <x:c r="J7" s="154" t="n">
        <x:f>H7+I7</x:f>
        <x:v>1640.0000000000002</x:v>
      </x:c>
      <x:c r="K7" s="154" t="n">
        <x:v>1.5</x:v>
      </x:c>
      <x:c r="L7" s="154" t="n">
        <x:f>J7/K7</x:f>
        <x:v>1093.3333333333335</x:v>
      </x:c>
      <x:c r="M7" s="154" t="n">
        <x:f>'05_VẬT_LIỆU'!$B$23</x:f>
        <x:v>2952</x:v>
      </x:c>
      <x:c r="N7" s="154" t="n">
        <x:f>MIN(L7,M7)</x:f>
        <x:v>1093.3333333333335</x:v>
      </x:c>
      <x:c r="O7" s="154" t="n">
        <x:v>1.2</x:v>
      </x:c>
      <x:c r="P7" s="154" t="n">
        <x:f>N7/O7</x:f>
        <x:v>911.1111111111113</x:v>
      </x:c>
      <x:c r="Q7" s="154" t="str">
        <x:f>IF(L7&lt;=M7,"ĐẤT NỀN","VẬT LIỆU")</x:f>
        <x:v>ĐẤT NỀN</x:v>
      </x:c>
      <x:c r="R7" s="154" t="str">
        <x:v>Cát/mịn</x:v>
      </x:c>
      <x:c r="S7" s="154" t="str">
        <x:v>TCVN 10304:2025 · Phụ lục D</x:v>
      </x:c>
    </x:row>
    <x:row r="9">
      <x:c r="A9" s="154" t="n">
        <x:v>6</x:v>
      </x:c>
      <x:c r="C9" s="154" t="str">
        <x:v>SPT · PHỤ LỤC D</x:v>
      </x:c>
      <x:c r="D9" s="154" t="n">
        <x:v>0.16000000000000003</x:v>
      </x:c>
      <x:c r="E9" s="154" t="n">
        <x:v>1.6</x:v>
      </x:c>
      <x:c r="F9" s="154" t="n">
        <x:v>14250</x:v>
      </x:c>
      <x:c r="G9" s="154" t="n">
        <x:v>1</x:v>
      </x:c>
      <x:c r="H9" s="154" t="n">
        <x:f>D9*F9*G9</x:f>
        <x:v>2280.0000000000005</x:v>
      </x:c>
      <x:c r="I9" s="154" t="n">
        <x:f>SUMIFS($AF$4:$AF$33,$V$4:$V$33,B9,$W$4:$W$33,C9)</x:f>
        <x:v>1312</x:v>
      </x:c>
      <x:c r="J9" s="154" t="n">
        <x:f>H9+I9</x:f>
        <x:v>3592.0000000000005</x:v>
      </x:c>
      <x:c r="K9" s="154" t="n">
        <x:v>1.5</x:v>
      </x:c>
      <x:c r="L9" s="154" t="n">
        <x:f>J9/K9</x:f>
        <x:v>2394.666666666667</x:v>
      </x:c>
      <x:c r="M9" s="154" t="n">
        <x:f>'05_VẬT_LIỆU'!$B$23</x:f>
        <x:v>2952</x:v>
      </x:c>
      <x:c r="N9" s="154" t="n">
        <x:f>MIN(L9,M9)</x:f>
        <x:v>2394.666666666667</x:v>
      </x:c>
      <x:c r="O9" s="154" t="n">
        <x:v>1.2</x:v>
      </x:c>
      <x:c r="P9" s="154" t="n">
        <x:f>N9/O9</x:f>
        <x:v>1995.5555555555559</x:v>
      </x:c>
      <x:c r="Q9" s="154" t="str">
        <x:f>IF(L9&lt;=M9,"ĐẤT NỀN","VẬT LIỆU")</x:f>
        <x:v>ĐẤT NỀN</x:v>
      </x:c>
      <x:c r="R9" s="154" t="str">
        <x:v>Cát/thô</x:v>
      </x:c>
      <x:c r="S9" s="154" t="str">
        <x:v>TCVN 10304:2025 · Phụ lục D</x:v>
      </x:c>
    </x:row>
    <x:row r="11">
      <x:c r="V11" s="154" t="str">
        <x:v>HK1</x:v>
      </x:c>
      <x:c r="W11" s="154" t="str">
        <x:v>SPT · PHỤ LỤC D</x:v>
      </x:c>
      <x:c r="X11" s="154" t="n">
        <x:v>1</x:v>
      </x:c>
      <x:c r="Y11" s="154" t="n">
        <x:v>0</x:v>
      </x:c>
      <x:c r="Z11" s="154" t="n">
        <x:v>4</x:v>
      </x:c>
      <x:c r="AA11" s="154" t="n">
        <x:v>4</x:v>
      </x:c>
      <x:c r="AB11" s="154" t="n">
        <x:v>2</x:v>
      </x:c>
      <x:c r="AC11" s="154" t="n">
        <x:v>36</x:v>
      </x:c>
      <x:c r="AD11" s="154" t="n">
        <x:v>1</x:v>
      </x:c>
      <x:c r="AE11" s="154" t="n">
        <x:v>1.6</x:v>
      </x:c>
      <x:c r="AF11" s="154" t="n">
        <x:f>AA11*AC11*AD11*AE11</x:f>
        <x:v>230.4</x:v>
      </x:c>
      <x:c r="AG11" s="154" t="str">
        <x:v>TCVN 10304:2025 · Bảng 3 + Bảng 4</x:v>
      </x:c>
    </x:row>
    <x:row r="12">
      <x:c r="W12" s="154" t="str">
        <x:v>SPT · PHỤ LỤC D</x:v>
      </x:c>
    </x:row>
    <x:row r="14">
      <x:c r="W14" s="154" t="str">
        <x:v>CƠ LÝ · 7.2.2 CỌC ĐÓNG/ÉP</x:v>
      </x:c>
    </x:row>
    <x:row r="16">
      <x:c r="W16" s="154" t="str">
        <x:v>CƠ LÝ · 7.2.2 CỌC ĐÓNG/ÉP</x:v>
      </x:c>
    </x:row>
    <x:row r="18">
      <x:c r="W18" s="154" t="str">
        <x:v>CƠ LÝ · 7.2.2 CỌC ĐÓNG/ÉP</x:v>
      </x:c>
    </x:row>
    <x:row r="20">
      <x:c r="W20" s="154" t="str">
        <x:v>CƠ LÝ · 7.2.2 CỌC ĐÓNG/ÉP</x:v>
      </x:c>
    </x:row>
    <x:row r="22">
      <x:c r="V22" s="154" t="str">
        <x:v>HK2</x:v>
      </x:c>
      <x:c r="W22" s="154" t="str">
        <x:v>SPT · PHỤ LỤC D</x:v>
      </x:c>
      <x:c r="X22" s="154" t="n">
        <x:v>2</x:v>
      </x:c>
      <x:c r="Y22" s="154" t="n">
        <x:v>4</x:v>
      </x:c>
      <x:c r="Z22" s="154" t="n">
        <x:v>9</x:v>
      </x:c>
      <x:c r="AA22" s="154" t="n">
        <x:v>5</x:v>
      </x:c>
      <x:c r="AB22" s="154" t="n">
        <x:v>6.5</x:v>
      </x:c>
      <x:c r="AC22" s="154" t="n">
        <x:v>30</x:v>
      </x:c>
      <x:c r="AD22" s="154" t="n">
        <x:v>1</x:v>
      </x:c>
      <x:c r="AE22" s="154" t="n">
        <x:v>1.6</x:v>
      </x:c>
      <x:c r="AF22" s="154" t="n">
        <x:f>AA22*AC22*AD22*AE22</x:f>
        <x:v>240</x:v>
      </x:c>
      <x:c r="AG22" s="154" t="str">
        <x:v>TCVN 10304:2025 · Bảng 3 + Bảng 4</x:v>
      </x:c>
    </x:row>
    <x:row r="23">
      <x:c r="V23" s="154" t="str">
        <x:v>HK2</x:v>
      </x:c>
      <x:c r="W23" s="154" t="str">
        <x:v>SPT · PHỤ LỤC D</x:v>
      </x:c>
      <x:c r="X23" s="154" t="n">
        <x:v>3</x:v>
      </x:c>
      <x:c r="Y23" s="154" t="n">
        <x:v>9</x:v>
      </x:c>
      <x:c r="Z23" s="154" t="n">
        <x:v>12</x:v>
      </x:c>
      <x:c r="AA23" s="154" t="n">
        <x:v>3</x:v>
      </x:c>
      <x:c r="AB23" s="154" t="n">
        <x:v>10.5</x:v>
      </x:c>
      <x:c r="AC23" s="154" t="n">
        <x:v>40</x:v>
      </x:c>
      <x:c r="AD23" s="154" t="n">
        <x:v>1</x:v>
      </x:c>
      <x:c r="AE23" s="154" t="n">
        <x:v>1.6</x:v>
      </x:c>
      <x:c r="AF23" s="154" t="n">
        <x:f>AA23*AC23*AD23*AE23</x:f>
        <x:v>192</x:v>
      </x:c>
      <x:c r="AG23" s="154" t="str">
        <x:v>TCVN 10304:2025 · Bảng 3 + Bảng 4</x:v>
      </x:c>
    </x:row>
    <x:row r="24">
      <x:c r="A24" s="154"/>
      <x:c r="V24" s="154" t="str">
        <x:v>HK3</x:v>
      </x:c>
      <x:c r="B24" s="154"/>
      <x:c r="W24" s="154" t="str">
        <x:v>CƠ LÝ · 7.2.2 CỌC ĐÓNG/ÉP</x:v>
      </x:c>
      <x:c r="C24" s="154"/>
      <x:c r="X24" s="154" t="n">
        <x:v>1</x:v>
      </x:c>
      <x:c r="D24" s="154"/>
      <x:c r="Y24" s="154" t="n">
        <x:v>0</x:v>
      </x:c>
      <x:c r="E24" s="154"/>
      <x:c r="Z24" s="154" t="n">
        <x:v>2</x:v>
      </x:c>
      <x:c r="F24" s="154"/>
      <x:c r="AA24" s="154" t="n">
        <x:v>2</x:v>
      </x:c>
      <x:c r="G24" s="154"/>
      <x:c r="AB24" s="154" t="n">
        <x:v>1</x:v>
      </x:c>
      <x:c r="H24" s="154"/>
      <x:c r="AC24" s="154" t="n">
        <x:v>35</x:v>
      </x:c>
      <x:c r="I24" s="154"/>
      <x:c r="AD24" s="154" t="n">
        <x:v>1</x:v>
      </x:c>
      <x:c r="J24" s="154"/>
      <x:c r="AE24" s="154" t="n">
        <x:v>1.6</x:v>
      </x:c>
      <x:c r="K24" s="154"/>
      <x:c r="AF24" s="154" t="n">
        <x:f>AA24*AC24*AD24*AE24</x:f>
        <x:v>112</x:v>
      </x:c>
      <x:c r="L24" s="154"/>
      <x:c r="AG24" s="154" t="str">
        <x:v>TCVN 10304:2025 · Bảng 3 + Bảng 4</x:v>
      </x:c>
      <x:c r="M24" s="154"/>
      <x:c r="N24" s="154"/>
      <x:c r="O24" s="154"/>
      <x:c r="P24" s="154"/>
      <x:c r="Q24" s="154"/>
      <x:c r="R24" s="154"/>
      <x:c r="S24" s="154"/>
    </x:row>
    <x:row r="25">
      <x:c r="A25" s="154"/>
      <x:c r="V25" s="154" t="str">
        <x:v>HK3</x:v>
      </x:c>
      <x:c r="B25" s="154"/>
      <x:c r="W25" s="154" t="str">
        <x:v>CƠ LÝ · 7.2.2 CỌC ĐÓNG/ÉP</x:v>
      </x:c>
      <x:c r="C25" s="154"/>
      <x:c r="X25" s="154" t="n">
        <x:v>2</x:v>
      </x:c>
      <x:c r="D25" s="154"/>
      <x:c r="Y25" s="154" t="n">
        <x:v>2</x:v>
      </x:c>
      <x:c r="E25" s="154"/>
      <x:c r="Z25" s="154" t="n">
        <x:v>4</x:v>
      </x:c>
      <x:c r="F25" s="154"/>
      <x:c r="AA25" s="154" t="n">
        <x:v>2</x:v>
      </x:c>
      <x:c r="G25" s="154"/>
      <x:c r="AB25" s="154" t="n">
        <x:v>3</x:v>
      </x:c>
      <x:c r="H25" s="154"/>
      <x:c r="AC25" s="154" t="n">
        <x:v>48</x:v>
      </x:c>
      <x:c r="I25" s="154"/>
      <x:c r="AD25" s="154" t="n">
        <x:v>1</x:v>
      </x:c>
      <x:c r="J25" s="154"/>
      <x:c r="AE25" s="154" t="n">
        <x:v>1.6</x:v>
      </x:c>
      <x:c r="K25" s="154"/>
      <x:c r="AF25" s="154" t="n">
        <x:f>AA25*AC25*AD25*AE25</x:f>
        <x:v>153.60000000000002</x:v>
      </x:c>
      <x:c r="L25" s="154"/>
      <x:c r="AG25" s="154" t="str">
        <x:v>TCVN 10304:2025 · Bảng 3 + Bảng 4</x:v>
      </x:c>
      <x:c r="M25" s="154"/>
      <x:c r="N25" s="154"/>
      <x:c r="O25" s="154"/>
      <x:c r="P25" s="154"/>
      <x:c r="Q25" s="154"/>
      <x:c r="R25" s="154"/>
      <x:c r="S25" s="154"/>
    </x:row>
    <x:row r="26">
      <x:c r="A26" s="154"/>
      <x:c r="V26" s="154" t="str">
        <x:v>HK3</x:v>
      </x:c>
      <x:c r="B26" s="154"/>
      <x:c r="W26" s="154" t="str">
        <x:v>CƠ LÝ · 7.2.2 CỌC ĐÓNG/ÉP</x:v>
      </x:c>
      <x:c r="C26" s="154"/>
      <x:c r="X26" s="154" t="n">
        <x:v>3</x:v>
      </x:c>
      <x:c r="D26" s="154"/>
      <x:c r="Y26" s="154" t="n">
        <x:v>4</x:v>
      </x:c>
      <x:c r="E26" s="154"/>
      <x:c r="Z26" s="154" t="n">
        <x:v>6</x:v>
      </x:c>
      <x:c r="F26" s="154"/>
      <x:c r="AA26" s="154" t="n">
        <x:v>2</x:v>
      </x:c>
      <x:c r="G26" s="154"/>
      <x:c r="AB26" s="154" t="n">
        <x:v>5</x:v>
      </x:c>
      <x:c r="H26" s="154"/>
      <x:c r="AC26" s="154" t="n">
        <x:v>56</x:v>
      </x:c>
      <x:c r="I26" s="154"/>
      <x:c r="AD26" s="154" t="n">
        <x:v>1</x:v>
      </x:c>
      <x:c r="J26" s="154"/>
      <x:c r="AE26" s="154" t="n">
        <x:v>1.6</x:v>
      </x:c>
      <x:c r="K26" s="154"/>
      <x:c r="AF26" s="154" t="n">
        <x:f>AA26*AC26*AD26*AE26</x:f>
        <x:v>179.20000000000002</x:v>
      </x:c>
      <x:c r="L26" s="154"/>
      <x:c r="AG26" s="154" t="str">
        <x:v>TCVN 10304:2025 · Bảng 3 + Bảng 4</x:v>
      </x:c>
      <x:c r="M26" s="154"/>
      <x:c r="N26" s="154"/>
      <x:c r="O26" s="154"/>
      <x:c r="P26" s="154"/>
      <x:c r="Q26" s="154"/>
      <x:c r="R26" s="154"/>
      <x:c r="S26" s="154"/>
    </x:row>
    <x:row r="27">
      <x:c r="A27" s="154"/>
      <x:c r="V27" s="154" t="str">
        <x:v>HK3</x:v>
      </x:c>
      <x:c r="B27" s="154"/>
      <x:c r="W27" s="154" t="str">
        <x:v>CƠ LÝ · 7.2.2 CỌC ĐÓNG/ÉP</x:v>
      </x:c>
      <x:c r="C27" s="154"/>
      <x:c r="X27" s="154" t="n">
        <x:v>4</x:v>
      </x:c>
      <x:c r="D27" s="154"/>
      <x:c r="Y27" s="154" t="n">
        <x:v>6</x:v>
      </x:c>
      <x:c r="E27" s="154"/>
      <x:c r="Z27" s="154" t="n">
        <x:v>8</x:v>
      </x:c>
      <x:c r="F27" s="154"/>
      <x:c r="AA27" s="154" t="n">
        <x:v>2</x:v>
      </x:c>
      <x:c r="G27" s="154"/>
      <x:c r="AB27" s="154" t="n">
        <x:v>7</x:v>
      </x:c>
      <x:c r="H27" s="154"/>
      <x:c r="AC27" s="154" t="n">
        <x:v>60</x:v>
      </x:c>
      <x:c r="I27" s="154"/>
      <x:c r="AD27" s="154" t="n">
        <x:v>1</x:v>
      </x:c>
      <x:c r="J27" s="154"/>
      <x:c r="AE27" s="154" t="n">
        <x:v>1.6</x:v>
      </x:c>
      <x:c r="K27" s="154"/>
      <x:c r="AF27" s="154" t="n">
        <x:f>AA27*AC27*AD27*AE27</x:f>
        <x:v>192</x:v>
      </x:c>
      <x:c r="L27" s="154"/>
      <x:c r="AG27" s="154" t="str">
        <x:v>TCVN 10304:2025 · Bảng 3 + Bảng 4</x:v>
      </x:c>
      <x:c r="M27" s="154"/>
      <x:c r="N27" s="154"/>
      <x:c r="O27" s="154"/>
      <x:c r="P27" s="154"/>
      <x:c r="Q27" s="154"/>
      <x:c r="R27" s="154"/>
      <x:c r="S27" s="154"/>
    </x:row>
    <x:row r="28">
      <x:c r="A28" s="154"/>
      <x:c r="V28" s="154" t="str">
        <x:v>HK3</x:v>
      </x:c>
      <x:c r="B28" s="154"/>
      <x:c r="W28" s="154" t="str">
        <x:v>CƠ LÝ · 7.2.2 CỌC ĐÓNG/ÉP</x:v>
      </x:c>
      <x:c r="C28" s="154"/>
      <x:c r="X28" s="154" t="n">
        <x:v>5</x:v>
      </x:c>
      <x:c r="D28" s="154"/>
      <x:c r="Y28" s="154" t="n">
        <x:v>8</x:v>
      </x:c>
      <x:c r="E28" s="154"/>
      <x:c r="Z28" s="154" t="n">
        <x:v>9</x:v>
      </x:c>
      <x:c r="F28" s="154"/>
      <x:c r="AA28" s="154" t="n">
        <x:v>1</x:v>
      </x:c>
      <x:c r="G28" s="154"/>
      <x:c r="AB28" s="154" t="n">
        <x:v>8.5</x:v>
      </x:c>
      <x:c r="H28" s="154"/>
      <x:c r="AC28" s="154" t="n">
        <x:v>62.75</x:v>
      </x:c>
      <x:c r="I28" s="154"/>
      <x:c r="AD28" s="154" t="n">
        <x:v>1</x:v>
      </x:c>
      <x:c r="J28" s="154"/>
      <x:c r="AE28" s="154" t="n">
        <x:v>1.6</x:v>
      </x:c>
      <x:c r="K28" s="154"/>
      <x:c r="AF28" s="154" t="n">
        <x:f>AA28*AC28*AD28*AE28</x:f>
        <x:v>100.4</x:v>
      </x:c>
      <x:c r="L28" s="154"/>
      <x:c r="AG28" s="154" t="str">
        <x:v>TCVN 10304:2025 · Bảng 3 + Bảng 4</x:v>
      </x:c>
      <x:c r="M28" s="154"/>
      <x:c r="N28" s="154"/>
      <x:c r="O28" s="154"/>
      <x:c r="P28" s="154"/>
      <x:c r="Q28" s="154"/>
      <x:c r="R28" s="154"/>
      <x:c r="S28" s="154"/>
    </x:row>
    <x:row r="29">
      <x:c r="A29" s="154"/>
      <x:c r="V29" s="154" t="str">
        <x:v>HK3</x:v>
      </x:c>
      <x:c r="B29" s="154"/>
      <x:c r="W29" s="154" t="str">
        <x:v>CƠ LÝ · 7.2.2 CỌC ĐÓNG/ÉP</x:v>
      </x:c>
      <x:c r="C29" s="154"/>
      <x:c r="X29" s="154" t="n">
        <x:v>6</x:v>
      </x:c>
      <x:c r="D29" s="154"/>
      <x:c r="Y29" s="154" t="n">
        <x:v>9</x:v>
      </x:c>
      <x:c r="E29" s="154"/>
      <x:c r="Z29" s="154" t="n">
        <x:v>11</x:v>
      </x:c>
      <x:c r="F29" s="154"/>
      <x:c r="AA29" s="154" t="n">
        <x:v>2</x:v>
      </x:c>
      <x:c r="G29" s="154"/>
      <x:c r="AB29" s="154" t="n">
        <x:v>10</x:v>
      </x:c>
      <x:c r="H29" s="154"/>
      <x:c r="AC29" s="154" t="n">
        <x:v>65</x:v>
      </x:c>
      <x:c r="I29" s="154"/>
      <x:c r="AD29" s="154" t="n">
        <x:v>1</x:v>
      </x:c>
      <x:c r="J29" s="154"/>
      <x:c r="AE29" s="154" t="n">
        <x:v>1.6</x:v>
      </x:c>
      <x:c r="K29" s="154"/>
      <x:c r="AF29" s="154" t="n">
        <x:f>AA29*AC29*AD29*AE29</x:f>
        <x:v>208</x:v>
      </x:c>
      <x:c r="L29" s="154"/>
      <x:c r="AG29" s="154" t="str">
        <x:v>TCVN 10304:2025 · Bảng 3 + Bảng 4</x:v>
      </x:c>
      <x:c r="M29" s="154"/>
      <x:c r="N29" s="154"/>
      <x:c r="O29" s="154"/>
      <x:c r="P29" s="154"/>
      <x:c r="Q29" s="154"/>
      <x:c r="R29" s="154"/>
      <x:c r="S29" s="154"/>
    </x:row>
    <x:row r="30">
      <x:c r="A30" s="154"/>
      <x:c r="V30" s="154" t="str">
        <x:v>HK3</x:v>
      </x:c>
      <x:c r="B30" s="154"/>
      <x:c r="W30" s="154" t="str">
        <x:v>CƠ LÝ · 7.2.2 CỌC ĐÓNG/ÉP</x:v>
      </x:c>
      <x:c r="C30" s="154"/>
      <x:c r="X30" s="154" t="n">
        <x:v>7</x:v>
      </x:c>
      <x:c r="D30" s="154"/>
      <x:c r="Y30" s="154" t="n">
        <x:v>11</x:v>
      </x:c>
      <x:c r="E30" s="154"/>
      <x:c r="Z30" s="154" t="n">
        <x:v>12</x:v>
      </x:c>
      <x:c r="F30" s="154"/>
      <x:c r="AA30" s="154" t="n">
        <x:v>1</x:v>
      </x:c>
      <x:c r="G30" s="154"/>
      <x:c r="AB30" s="154" t="n">
        <x:v>11.5</x:v>
      </x:c>
      <x:c r="H30" s="154"/>
      <x:c r="AC30" s="154" t="n">
        <x:v>67.1</x:v>
      </x:c>
      <x:c r="I30" s="154"/>
      <x:c r="AD30" s="154" t="n">
        <x:v>1</x:v>
      </x:c>
      <x:c r="J30" s="154"/>
      <x:c r="AE30" s="154" t="n">
        <x:v>1.6</x:v>
      </x:c>
      <x:c r="K30" s="154"/>
      <x:c r="AF30" s="154" t="n">
        <x:f>AA30*AC30*AD30*AE30</x:f>
        <x:v>107.36</x:v>
      </x:c>
      <x:c r="L30" s="154"/>
      <x:c r="AG30" s="154" t="str">
        <x:v>TCVN 10304:2025 · Bảng 3 + Bảng 4</x:v>
      </x:c>
      <x:c r="M30" s="154"/>
      <x:c r="N30" s="154"/>
      <x:c r="O30" s="154"/>
      <x:c r="P30" s="154"/>
      <x:c r="Q30" s="154"/>
      <x:c r="R30" s="154"/>
      <x:c r="S30" s="154"/>
    </x:row>
    <x:row r="31">
      <x:c r="A31" s="154"/>
      <x:c r="V31" s="154" t="str">
        <x:v>HK3</x:v>
      </x:c>
      <x:c r="B31" s="154"/>
      <x:c r="W31" s="154" t="str">
        <x:v>SPT · PHỤ LỤC D</x:v>
      </x:c>
      <x:c r="C31" s="154"/>
      <x:c r="X31" s="154" t="n">
        <x:v>1</x:v>
      </x:c>
      <x:c r="D31" s="154"/>
      <x:c r="Y31" s="154" t="n">
        <x:v>0</x:v>
      </x:c>
      <x:c r="E31" s="154"/>
      <x:c r="Z31" s="154" t="n">
        <x:v>4</x:v>
      </x:c>
      <x:c r="F31" s="154"/>
      <x:c r="AA31" s="154" t="n">
        <x:v>4</x:v>
      </x:c>
      <x:c r="G31" s="154"/>
      <x:c r="AB31" s="154" t="n">
        <x:v>2</x:v>
      </x:c>
      <x:c r="H31" s="154"/>
      <x:c r="AC31" s="154" t="n">
        <x:v>50</x:v>
      </x:c>
      <x:c r="I31" s="154"/>
      <x:c r="AD31" s="154" t="n">
        <x:v>1</x:v>
      </x:c>
      <x:c r="J31" s="154"/>
      <x:c r="AE31" s="154" t="n">
        <x:v>1.6</x:v>
      </x:c>
      <x:c r="K31" s="154"/>
      <x:c r="AF31" s="154" t="n">
        <x:f>AA31*AC31*AD31*AE31</x:f>
        <x:v>320</x:v>
      </x:c>
      <x:c r="L31" s="154"/>
      <x:c r="AG31" s="154" t="str">
        <x:v>TCVN 10304:2025 · Bảng 3 + Bảng 4</x:v>
      </x:c>
      <x:c r="M31" s="154"/>
      <x:c r="N31" s="154"/>
      <x:c r="O31" s="154"/>
      <x:c r="P31" s="154"/>
      <x:c r="Q31" s="154"/>
      <x:c r="R31" s="154"/>
      <x:c r="S31" s="154"/>
    </x:row>
    <x:row r="32">
      <x:c r="A32" s="154"/>
      <x:c r="V32" s="154" t="str">
        <x:v>HK3</x:v>
      </x:c>
      <x:c r="B32" s="154"/>
      <x:c r="W32" s="154" t="str">
        <x:v>SPT · PHỤ LỤC D</x:v>
      </x:c>
      <x:c r="C32" s="154"/>
      <x:c r="X32" s="154" t="n">
        <x:v>2</x:v>
      </x:c>
      <x:c r="D32" s="154"/>
      <x:c r="Y32" s="154" t="n">
        <x:v>4</x:v>
      </x:c>
      <x:c r="E32" s="154"/>
      <x:c r="Z32" s="154" t="n">
        <x:v>9</x:v>
      </x:c>
      <x:c r="F32" s="154"/>
      <x:c r="AA32" s="154" t="n">
        <x:v>5</x:v>
      </x:c>
      <x:c r="G32" s="154"/>
      <x:c r="AB32" s="154" t="n">
        <x:v>6.5</x:v>
      </x:c>
      <x:c r="H32" s="154"/>
      <x:c r="AC32" s="154" t="n">
        <x:v>70</x:v>
      </x:c>
      <x:c r="I32" s="154"/>
      <x:c r="AD32" s="154" t="n">
        <x:v>1</x:v>
      </x:c>
      <x:c r="J32" s="154"/>
      <x:c r="AE32" s="154" t="n">
        <x:v>1.6</x:v>
      </x:c>
      <x:c r="K32" s="154"/>
      <x:c r="AF32" s="154" t="n">
        <x:f>AA32*AC32*AD32*AE32</x:f>
        <x:v>560</x:v>
      </x:c>
      <x:c r="L32" s="154"/>
      <x:c r="AG32" s="154" t="str">
        <x:v>TCVN 10304:2025 · Bảng 3 + Bảng 4</x:v>
      </x:c>
      <x:c r="M32" s="154"/>
      <x:c r="N32" s="154"/>
      <x:c r="O32" s="154"/>
      <x:c r="P32" s="154"/>
      <x:c r="Q32" s="154"/>
      <x:c r="R32" s="154"/>
      <x:c r="S32" s="154"/>
    </x:row>
    <x:row r="33">
      <x:c r="A33" s="154"/>
      <x:c r="V33" s="154" t="str">
        <x:v>HK3</x:v>
      </x:c>
      <x:c r="B33" s="154"/>
      <x:c r="W33" s="154" t="str">
        <x:v>SPT · PHỤ LỤC D</x:v>
      </x:c>
      <x:c r="C33" s="154"/>
      <x:c r="X33" s="154" t="n">
        <x:v>3</x:v>
      </x:c>
      <x:c r="D33" s="154"/>
      <x:c r="Y33" s="154" t="n">
        <x:v>9</x:v>
      </x:c>
      <x:c r="E33" s="154"/>
      <x:c r="Z33" s="154" t="n">
        <x:v>12</x:v>
      </x:c>
      <x:c r="F33" s="154"/>
      <x:c r="AA33" s="154" t="n">
        <x:v>3</x:v>
      </x:c>
      <x:c r="G33" s="154"/>
      <x:c r="AB33" s="154" t="n">
        <x:v>10.5</x:v>
      </x:c>
      <x:c r="H33" s="154"/>
      <x:c r="AC33" s="154" t="n">
        <x:v>90</x:v>
      </x:c>
      <x:c r="I33" s="154"/>
      <x:c r="AD33" s="154" t="n">
        <x:v>1</x:v>
      </x:c>
      <x:c r="J33" s="154"/>
      <x:c r="AE33" s="154" t="n">
        <x:v>1.6</x:v>
      </x:c>
      <x:c r="K33" s="154"/>
      <x:c r="AF33" s="154" t="n">
        <x:f>AA33*AC33*AD33*AE33</x:f>
        <x:v>432</x:v>
      </x:c>
      <x:c r="L33" s="154"/>
      <x:c r="AG33" s="154" t="str">
        <x:v>TCVN 10304:2025 · Bảng 3 + Bảng 4</x:v>
      </x:c>
      <x:c r="M33" s="154"/>
      <x:c r="N33" s="154"/>
      <x:c r="O33" s="154"/>
      <x:c r="P33" s="154"/>
      <x:c r="Q33" s="154"/>
      <x:c r="R33" s="154"/>
      <x:c r="S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55" hidden="0" customWidth="1"/>
    <x:col min="6" max="6" width="30" hidden="0" customWidth="1"/>
    <x:col min="7" max="7" width="48" hidden="0" customWidth="1"/>
  </x:cols>
  <x:sheetData>
    <x:row r="1">
      <x:c r="A1" s="6" t="str">
        <x:v>SỨC CHỊU TẢI THEO VẬT LIỆU – TCVN 5574:2018</x:v>
      </x:c>
      <x:c r="B1" s="6"/>
      <x:c r="C1" s="6"/>
      <x:c r="D1" s="6"/>
      <x:c r="E1" s="6"/>
      <x:c r="F1" s="6"/>
      <x:c r="G1" s="155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Thông số</x:v>
      </x:c>
      <x:c r="B3" s="29" t="str">
        <x:v>Giá trị</x:v>
      </x:c>
      <x:c r="C3" s="29" t="str">
        <x:v>Đơn vị</x:v>
      </x:c>
      <x:c r="D3" s="30" t="str">
        <x:v>Nguồn</x:v>
      </x:c>
      <x:c r="E3" s="155"/>
      <x:c r="F3" s="155"/>
      <x:c r="G3" s="155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Cấp bê tông</x:v>
      </x:c>
      <x:c r="B4" s="172" t="str">
        <x:v>B30</x:v>
      </x:c>
      <x:c r="C4" s="172" t="str">
        <x:v>-</x:v>
      </x:c>
      <x:c r="D4" s="157" t="str">
        <x:v>Bảng 7 / Bảng 10</x:v>
      </x:c>
      <x:c r="E4" s="155"/>
      <x:c r="F4" s="155"/>
      <x:c r="G4" s="155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Cấp thép</x:v>
      </x:c>
      <x:c r="B5" s="172" t="str">
        <x:v>CB400-V</x:v>
      </x:c>
      <x:c r="C5" s="172" t="str">
        <x:v>-</x:v>
      </x:c>
      <x:c r="D5" s="157" t="str">
        <x:v>Bảng 13 / Bảng 14</x:v>
      </x:c>
      <x:c r="E5" s="155"/>
      <x:c r="F5" s="155"/>
      <x:c r="G5" s="155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Bề rộng b</x:v>
      </x:c>
      <x:c r="B6" s="172" t="n">
        <x:v>400</x:v>
      </x:c>
      <x:c r="C6" s="172" t="str">
        <x:v>mm</x:v>
      </x:c>
      <x:c r="D6" s="157" t="str">
        <x:v>Đầu vào</x:v>
      </x:c>
      <x:c r="E6" s="155"/>
      <x:c r="F6" s="155"/>
      <x:c r="G6" s="155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Chiều cao h</x:v>
      </x:c>
      <x:c r="B7" s="172" t="n">
        <x:v>400</x:v>
      </x:c>
      <x:c r="C7" s="172" t="str">
        <x:v>mm</x:v>
      </x:c>
      <x:c r="D7" s="157" t="str">
        <x:v>Đầu vào</x:v>
      </x:c>
      <x:c r="E7" s="155"/>
      <x:c r="F7" s="155"/>
      <x:c r="G7" s="155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As,tot</x:v>
      </x:c>
      <x:c r="B8" s="172" t="n">
        <x:v>1600</x:v>
      </x:c>
      <x:c r="C8" s="172" t="str">
        <x:v>mm²</x:v>
      </x:c>
      <x:c r="D8" s="157" t="str">
        <x:v>Đầu vào</x:v>
      </x:c>
      <x:c r="E8" s="155"/>
      <x:c r="F8" s="155"/>
      <x:c r="G8" s="155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L0</x:v>
      </x:c>
      <x:c r="B9" s="172" t="n">
        <x:v>4000</x:v>
      </x:c>
      <x:c r="C9" s="172" t="str">
        <x:v>mm</x:v>
      </x:c>
      <x:c r="D9" s="157" t="str">
        <x:v>Đầu vào</x:v>
      </x:c>
      <x:c r="E9" s="155"/>
      <x:c r="F9" s="155"/>
      <x:c r="G9" s="155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e0</x:v>
      </x:c>
      <x:c r="B10" s="172" t="n">
        <x:v>13.333333333333334</x:v>
      </x:c>
      <x:c r="C10" s="172" t="str">
        <x:v>mm</x:v>
      </x:c>
      <x:c r="D10" s="157" t="str">
        <x:v>Đầu vào</x:v>
      </x:c>
      <x:c r="E10" s="155"/>
      <x:c r="F10" s="155"/>
      <x:c r="G10" s="155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Tải trọng</x:v>
      </x:c>
      <x:c r="B11" s="172" t="str">
        <x:v>Dài hạn</x:v>
      </x:c>
      <x:c r="C11" s="172" t="str">
        <x:v>-</x:v>
      </x:c>
      <x:c r="D11" s="157" t="str">
        <x:v>Bảng 16</x:v>
      </x:c>
      <x:c r="E11" s="155"/>
      <x:c r="F11" s="155"/>
      <x:c r="G11" s="155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Điều kiện cốt dọc</x:v>
      </x:c>
      <x:c r="B12" s="174" t="str">
        <x:v>Hai phía đối diện</x:v>
      </x:c>
      <x:c r="C12" s="174" t="str">
        <x:v>-</x:v>
      </x:c>
      <x:c r="D12" s="159" t="str">
        <x:v>8.1.2.4.3</x:v>
      </x:c>
      <x:c r="E12" s="155"/>
      <x:c r="F12" s="155"/>
      <x:c r="G12" s="155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5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Bước tính</x:v>
      </x:c>
      <x:c r="B14" s="29" t="str">
        <x:v>Giá trị</x:v>
      </x:c>
      <x:c r="C14" s="29" t="str">
        <x:v>Đơn vị</x:v>
      </x:c>
      <x:c r="D14" s="30" t="str">
        <x:v>Công thức / nguồn</x:v>
      </x:c>
      <x:c r="E14" s="155"/>
      <x:c r="F14" s="16" t="str">
        <x:v>Điều kiện Production</x:v>
      </x:c>
      <x:c r="G14" s="16" t="str">
        <x:v>Kết quả</x:v>
      </x:c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Diện tích A</x:v>
      </x:c>
      <x:c r="B15" s="199" t="n">
        <x:f>B6*B7</x:f>
        <x:v>160000</x:v>
      </x:c>
      <x:c r="C15" s="172" t="str">
        <x:v>mm²</x:v>
      </x:c>
      <x:c r="D15" s="157" t="str">
        <x:v>A=b×h</x:v>
      </x:c>
      <x:c r="E15" s="155"/>
      <x:c r="F15" s="155" t="str">
        <x:v>L0/h ≤ 20</x:v>
      </x:c>
      <x:c r="G15" s="155" t="str">
        <x:f>IF(B16&lt;=20,"ĐẠT","KHÓA TÍNH")</x:f>
        <x:v>ĐẠT</x:v>
      </x:c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Độ mảnh L0/h</x:v>
      </x:c>
      <x:c r="B16" s="199" t="n">
        <x:f>B9/B7</x:f>
        <x:v>10</x:v>
      </x:c>
      <x:c r="C16" s="172" t="str">
        <x:v>-</x:v>
      </x:c>
      <x:c r="D16" s="157" t="str">
        <x:v>8.1.2.4.3</x:v>
      </x:c>
      <x:c r="E16" s="155"/>
      <x:c r="F16" s="155" t="str">
        <x:v>e0 ≤ h/30</x:v>
      </x:c>
      <x:c r="G16" s="155" t="str">
        <x:f>IF(B10&lt;=B7/30,"ĐẠT","KHÓA TÍNH")</x:f>
        <x:v>ĐẠT</x:v>
      </x:c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Cấp bê tông dạng số</x:v>
      </x:c>
      <x:c r="B17" s="199" t="n">
        <x:f>VALUE(SUBSTITUTE(B4,"B",""))</x:f>
        <x:v>30</x:v>
      </x:c>
      <x:c r="C17" s="172" t="str">
        <x:v>-</x:v>
      </x:c>
      <x:c r="D17" s="157" t="str">
        <x:v>Phục vụ chọn dòng Bảng 16</x:v>
      </x:c>
      <x:c r="E17" s="155"/>
      <x:c r="F17" s="155" t="str">
        <x:v>L0/h trong Bảng 16 (6…20)</x:v>
      </x:c>
      <x:c r="G17" s="155" t="str">
        <x:f>IF(AND(B16&gt;=6,B16&lt;=20),"ĐẠT","KHÓA TÍNH")</x:f>
        <x:v>ĐẠT</x:v>
      </x:c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Rb</x:v>
      </x:c>
      <x:c r="B18" s="199" t="n">
        <x:f>VLOOKUP(B4,'11_BẢNG_TRA'!$A$4:$D$22,2,FALSE)</x:f>
        <x:v>17</x:v>
      </x:c>
      <x:c r="C18" s="172" t="str">
        <x:v>MPa</x:v>
      </x:c>
      <x:c r="D18" s="157" t="str">
        <x:v>VLOOKUP Bảng 7</x:v>
      </x:c>
      <x:c r="E18" s="155"/>
      <x:c r="F18" s="155" t="str">
        <x:v>Nu Excel≈Engine</x:v>
      </x:c>
      <x:c r="G18" s="155" t="str">
        <x:f>IF(ABS(B25)&lt;1E-6,"ĐẠT","KHÔNG KHỚP")</x:f>
        <x:v>ĐẠT</x:v>
      </x:c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Rsc</x:v>
      </x:c>
      <x:c r="B19" s="199" t="n">
        <x:f>VLOOKUP(B5,'11_BẢNG_TRA'!$F$4:$I$8,3,FALSE)</x:f>
        <x:v>350</x:v>
      </x:c>
      <x:c r="C19" s="172" t="str">
        <x:v>MPa</x:v>
      </x:c>
      <x:c r="D19" s="157" t="str">
        <x:v>VLOOKUP Bảng 13</x:v>
      </x:c>
      <x:c r="E19" s="155"/>
      <x:c r="F19" s="155" t="str">
        <x:v>Trạng thái</x:v>
      </x:c>
      <x:c r="G19" s="155" t="str">
        <x:f>IF(COUNTIF(G15:G18,"ĐẠT")=4,"VERIFIED","KHÓA TÍNH")</x:f>
        <x:v>VERIFIED</x:v>
      </x:c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φ</x:v>
      </x:c>
      <x:c r="B20" s="199" t="n">
        <x:f>IF(OR(B16&lt;6,B16&gt;20),NA(),IF(B17&lt;=55,IF(B16&lt;=10,'11_BẢNG_TRA'!$L$4+(B16-6)*('11_BẢNG_TRA'!$M$4-'11_BẢNG_TRA'!$L$4)/4,IF(B16&lt;=15,'11_BẢNG_TRA'!$M$4+(B16-10)*('11_BẢNG_TRA'!$N$4-'11_BẢNG_TRA'!$M$4)/5,'11_BẢNG_TRA'!$N$4+(B16-15)*('11_BẢNG_TRA'!$O$4-'11_BẢNG_TRA'!$N$4)/5)),IF(B17&lt;=70,IF(B16&lt;=10,'11_BẢNG_TRA'!$L$5+(B16-6)*('11_BẢNG_TRA'!$M$5-'11_BẢNG_TRA'!$L$5)/4,IF(B16&lt;=15,'11_BẢNG_TRA'!$M$5+(B16-10)*('11_BẢNG_TRA'!$N$5-'11_BẢNG_TRA'!$M$5)/5,'11_BẢNG_TRA'!$N$5+(B16-15)*('11_BẢNG_TRA'!$O$5-'11_BẢNG_TRA'!$N$5)/5)),IF(B17&lt;=90,IF(B16&lt;=10,'11_BẢNG_TRA'!$L$6+(B16-6)*('11_BẢNG_TRA'!$M$6-'11_BẢNG_TRA'!$L$6)/4,IF(B16&lt;=15,'11_BẢNG_TRA'!$M$6+(B16-10)*('11_BẢNG_TRA'!$N$6-'11_BẢNG_TRA'!$M$6)/5,'11_BẢNG_TRA'!$N$6+(B16-15)*('11_BẢNG_TRA'!$O$6-'11_BẢNG_TRA'!$N$6)/5)),IF(B17=100,IF(B16&lt;=10,'11_BẢNG_TRA'!$L$7+(B16-6)*('11_BẢNG_TRA'!$M$7-'11_BẢNG_TRA'!$L$7)/4,IF(B16&lt;=15,'11_BẢNG_TRA'!$M$7+(B16-10)*('11_BẢNG_TRA'!$N$7-'11_BẢNG_TRA'!$M$7)/5,'11_BẢNG_TRA'!$N$7+(B16-15)*('11_BẢNG_TRA'!$O$7-'11_BẢNG_TRA'!$N$7)/5)),NA())))))</x:f>
        <x:v>0.9</x:v>
      </x:c>
      <x:c r="C20" s="172" t="str">
        <x:v>-</x:v>
      </x:c>
      <x:c r="D20" s="157" t="str">
        <x:v>Bảng 16; nội suy 1D trong miền 6…20</x:v>
      </x:c>
      <x:c r="E20" s="155"/>
      <x:c r="F20" s="155" t="str">
        <x:v>Nguồn</x:v>
      </x:c>
      <x:c r="G20" s="155" t="str">
        <x:v>TCVN 5574:2018 · 8.1.2.4.3 · CT (49)–(50) · Bảng 16 · trang 61–62 / PDF 59–60</x:v>
      </x:c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v>Phần bê tông</x:v>
      </x:c>
      <x:c r="B21" s="199" t="n">
        <x:f>B20*B18*B15/1000</x:f>
        <x:v>2448</x:v>
      </x:c>
      <x:c r="C21" s="172" t="str">
        <x:v>kN</x:v>
      </x:c>
      <x:c r="D21" s="157" t="str">
        <x:v>φ×Rb×A/1000</x:v>
      </x:c>
      <x:c r="E21" s="155"/>
      <x:c r="F21" s="155"/>
      <x:c r="G21" s="155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6" t="str">
        <x:v>Phần cốt thép</x:v>
      </x:c>
      <x:c r="B22" s="199" t="n">
        <x:f>B20*B19*B8/1000</x:f>
        <x:v>504</x:v>
      </x:c>
      <x:c r="C22" s="172" t="str">
        <x:v>kN</x:v>
      </x:c>
      <x:c r="D22" s="157" t="str">
        <x:v>φ×Rsc×As/1000</x:v>
      </x:c>
      <x:c r="E22" s="155"/>
      <x:c r="F22" s="155"/>
      <x:c r="G22" s="155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6" t="str">
        <x:v>Nu = Rmaterial</x:v>
      </x:c>
      <x:c r="B23" s="199" t="n">
        <x:f>B21+B22</x:f>
        <x:v>2952</x:v>
      </x:c>
      <x:c r="C23" s="172" t="str">
        <x:v>kN</x:v>
      </x:c>
      <x:c r="D23" s="157" t="str">
        <x:v>CT (50)</x:v>
      </x:c>
      <x:c r="E23" s="155"/>
      <x:c r="F23" s="155"/>
      <x:c r="G23" s="155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6" t="str">
        <x:v>Nu Engine LOCKED</x:v>
      </x:c>
      <x:c r="B24" s="212" t="n">
        <x:v>2952</x:v>
      </x:c>
      <x:c r="C24" s="172" t="str">
        <x:v>kN</x:v>
      </x:c>
      <x:c r="D24" s="157" t="str">
        <x:v>Đối chiếu PileMaterialEngine</x:v>
      </x:c>
      <x:c r="E24" s="155"/>
      <x:c r="F24" s="155"/>
      <x:c r="G24" s="155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8" t="str">
        <x:v>Sai lệch Excel↔Engine</x:v>
      </x:c>
      <x:c r="B25" s="213" t="n">
        <x:f>B23-B24</x:f>
        <x:v>0</x:v>
      </x:c>
      <x:c r="C25" s="174" t="str">
        <x:v>kN</x:v>
      </x:c>
      <x:c r="D25" s="159" t="str">
        <x:v>Phải ≈ 0</x:v>
      </x:c>
      <x:c r="E25" s="155"/>
      <x:c r="F25" s="155"/>
      <x:c r="G25" s="155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54" hidden="0" customWidth="1"/>
  </x:cols>
  <x:sheetData>
    <x:row r="1">
      <x:c r="A1" s="6" t="str">
        <x:v>TỔNG HỢP SỨC CHỊU TẢI CỌC – CHUỖI Rsoil → Rmaterial → Rpile → Nd,max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Bước</x:v>
      </x:c>
      <x:c r="B3" s="29" t="str">
        <x:v>Giá trị</x:v>
      </x:c>
      <x:c r="C3" s="29" t="str">
        <x:v>Đơn vị</x:v>
      </x:c>
      <x:c r="D3" s="29" t="str">
        <x:v>Công thức</x:v>
      </x:c>
      <x:c r="E3" s="29" t="str">
        <x:v>Khống chế / Trạng thái</x:v>
      </x:c>
      <x:c r="F3" s="30" t="str">
        <x:v>Nguồn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 = Rd,min</x:v>
      </x:c>
      <x:c r="B4" s="199" t="n">
        <x:f>'04_TÍNH_ĐẤT'!B13</x:f>
        <x:v>843.4285714285716</x:v>
      </x:c>
      <x:c r="C4" s="172" t="str">
        <x:v>kN</x:v>
      </x:c>
      <x:c r="D4" s="172" t="str">
        <x:v>MIN(Rd HK×method)</x:v>
      </x:c>
      <x:c r="E4" s="172" t="str">
        <x:f>IF(B4&lt;=B5,"ĐẤT NỀN","VẬT LIỆU")</x:f>
        <x:v>ĐẤT NỀN</x:v>
      </x:c>
      <x:c r="F4" s="157" t="str">
        <x:v>TCVN 10304:2025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 = Nu</x:v>
      </x:c>
      <x:c r="B5" s="199" t="n">
        <x:f>'05_VẬT_LIỆU'!B23</x:f>
        <x:v>2952</x:v>
      </x:c>
      <x:c r="C5" s="172" t="str">
        <x:v>kN</x:v>
      </x:c>
      <x:c r="D5" s="172" t="str">
        <x:v>CT (50)</x:v>
      </x:c>
      <x:c r="E5" s="172" t="str">
        <x:f>IF(B5&lt;B4,"VẬT LIỆU","KHÔNG KHỐNG CHẾ")</x:f>
        <x:v>KHÔNG KHỐNG CHẾ</x:v>
      </x:c>
      <x:c r="F5" s="157" t="str">
        <x:v>TCVN 5574:2018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99" t="n">
        <x:f>MIN(B4,B5)</x:f>
        <x:v>843.4285714285716</x:v>
      </x:c>
      <x:c r="C6" s="172" t="str">
        <x:v>kN</x:v>
      </x:c>
      <x:c r="D6" s="172" t="str">
        <x:v>MIN(Rsoil,Rmaterial)</x:v>
      </x:c>
      <x:c r="E6" s="172" t="str">
        <x:f>IF(B4&lt;=B5,"ĐẤT NỀN KHỐNG CHẾ","VẬT LIỆU KHỐNG CHẾ")</x:f>
        <x:v>ĐẤT NỀN KHỐNG CHẾ</x:v>
      </x:c>
      <x:c r="F6" s="157" t="str">
        <x:v>HNL LOCKED composition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99" t="n">
        <x:v>1.2</x:v>
      </x:c>
      <x:c r="C7" s="172" t="str">
        <x:v>-</x:v>
      </x:c>
      <x:c r="D7" s="172" t="str">
        <x:v>Đầu vào</x:v>
      </x:c>
      <x:c r="E7" s="172" t="str">
        <x:v>ÁP DỤNG SAU Rpile</x:v>
      </x:c>
      <x:c r="F7" s="157" t="str">
        <x:v>Hệ số sau phép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 / cọc</x:v>
      </x:c>
      <x:c r="B8" s="199" t="n">
        <x:f>B6/B7</x:f>
        <x:v>702.857142857143</x:v>
      </x:c>
      <x:c r="C8" s="172" t="str">
        <x:v>kN</x:v>
      </x:c>
      <x:c r="D8" s="172" t="str">
        <x:v>Rpile/γn</x:v>
      </x:c>
      <x:c r="E8" s="172" t="str">
        <x:v>SẴN SÀNG KIỂM PHẢN LỰC</x:v>
      </x:c>
      <x:c r="F8" s="157" t="str">
        <x:v>Giới hạn tác động thiết kế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Lỗ khoan bất lợi</x:v>
      </x:c>
      <x:c r="B9" s="172" t="str">
        <x:v>HK2</x:v>
      </x:c>
      <x:c r="C9" s="172" t="str">
        <x:v>-</x:v>
      </x:c>
      <x:c r="D9" s="172" t="str">
        <x:v>Engine</x:v>
      </x:c>
      <x:c r="E9" s="172"/>
      <x:c r="F9" s="157" t="str">
        <x:v>Multi-Borehole LOCKED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8" t="str">
        <x:v>Phương pháp bất lợi</x:v>
      </x:c>
      <x:c r="B10" s="174" t="str">
        <x:v>CƠ LÝ · 7.2.2 CỌC ĐÓNG/ÉP</x:v>
      </x:c>
      <x:c r="C10" s="174" t="str">
        <x:v>-</x:v>
      </x:c>
      <x:c r="D10" s="174" t="str">
        <x:v>Engine</x:v>
      </x:c>
      <x:c r="E10" s="174"/>
      <x:c r="F10" s="159" t="str">
        <x:v>Multi-Borehole LOCKED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8" t="str">
        <x:v>Đối chiếu Engine</x:v>
      </x:c>
      <x:c r="B12" s="29" t="str">
        <x:v>Excel</x:v>
      </x:c>
      <x:c r="C12" s="29" t="str">
        <x:v>Engine LOCKED</x:v>
      </x:c>
      <x:c r="D12" s="29" t="str">
        <x:v>Sai lệch</x:v>
      </x:c>
      <x:c r="E12" s="29" t="str">
        <x:v>Gate</x:v>
      </x:c>
      <x:c r="F12" s="30" t="str">
        <x:v>Ghi chú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Rsoil</x:v>
      </x:c>
      <x:c r="B13" s="198" t="n">
        <x:f>B4</x:f>
        <x:v>843.4285714285716</x:v>
      </x:c>
      <x:c r="C13" s="198" t="n">
        <x:v>843.4285714285716</x:v>
      </x:c>
      <x:c r="D13" s="198" t="n">
        <x:f>B13-C13</x:f>
        <x:v>0</x:v>
      </x:c>
      <x:c r="E13" s="198" t="str">
        <x:f>IF(ABS(D13)&lt;1E-6,"ĐẠT","KHÔNG KHỚP")</x:f>
        <x:v>ĐẠT</x:v>
      </x:c>
      <x:c r="F13" s="157" t="str">
        <x:v>HK2 · cơ lý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Rmaterial</x:v>
      </x:c>
      <x:c r="B14" s="198" t="n">
        <x:f>B5</x:f>
        <x:v>2952</x:v>
      </x:c>
      <x:c r="C14" s="198" t="n">
        <x:v>2952</x:v>
      </x:c>
      <x:c r="D14" s="198" t="n">
        <x:f>B14-C14</x:f>
        <x:v>0</x:v>
      </x:c>
      <x:c r="E14" s="198" t="str">
        <x:f>IF(ABS(D14)&lt;1E-6,"ĐẠT","KHÔNG KHỚP")</x:f>
        <x:v>ĐẠT</x:v>
      </x:c>
      <x:c r="F14" s="157" t="str">
        <x:v>CT (50)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Rpile</x:v>
      </x:c>
      <x:c r="B15" s="198" t="n">
        <x:f>B6</x:f>
        <x:v>843.4285714285716</x:v>
      </x:c>
      <x:c r="C15" s="198" t="n">
        <x:v>843.4285714285716</x:v>
      </x:c>
      <x:c r="D15" s="198" t="n">
        <x:f>B15-C15</x:f>
        <x:v>0</x:v>
      </x:c>
      <x:c r="E15" s="198" t="str">
        <x:f>IF(ABS(D15)&lt;1E-6,"ĐẠT","KHÔNG KHỚP")</x:f>
        <x:v>ĐẠT</x:v>
      </x:c>
      <x:c r="F15" s="157" t="str">
        <x:v>min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γn</x:v>
      </x:c>
      <x:c r="B16" s="198" t="n">
        <x:f>B7</x:f>
        <x:v>1.2</x:v>
      </x:c>
      <x:c r="C16" s="198" t="n">
        <x:v>1.2</x:v>
      </x:c>
      <x:c r="D16" s="198" t="n">
        <x:f>B16-C16</x:f>
        <x:v>0</x:v>
      </x:c>
      <x:c r="E16" s="198" t="str">
        <x:f>IF(ABS(D16)&lt;1E-6,"ĐẠT","KHÔNG KHỚP")</x:f>
        <x:v>ĐẠT</x:v>
      </x:c>
      <x:c r="F16" s="157" t="str">
        <x:v>sau min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Nd,max</x:v>
      </x:c>
      <x:c r="B17" s="198" t="n">
        <x:f>B8</x:f>
        <x:v>702.857142857143</x:v>
      </x:c>
      <x:c r="C17" s="198" t="n">
        <x:v>702.857142857143</x:v>
      </x:c>
      <x:c r="D17" s="198" t="n">
        <x:f>B17-C17</x:f>
        <x:v>0</x:v>
      </x:c>
      <x:c r="E17" s="198" t="str">
        <x:f>IF(ABS(D17)&lt;1E-6,"ĐẠT","KHÔNG KHỚP")</x:f>
        <x:v>ĐẠT</x:v>
      </x:c>
      <x:c r="F17" s="157" t="str">
        <x:v>Rpile/γn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8" t="str">
        <x:v>Trạng thái tổng</x:v>
      </x:c>
      <x:c r="B18" s="174" t="str">
        <x:f>IF(COUNTIF(E13:E17,"ĐẠT")=5,"ĐẠT","KHÓA TÍNH")</x:f>
        <x:v>ĐẠT</x:v>
      </x:c>
      <x:c r="C18" s="174"/>
      <x:c r="D18" s="174"/>
      <x:c r="E18" s="174"/>
      <x:c r="F18" s="159" t="str">
        <x:v>Phải ĐẠT trước khi sang phản lực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</x:cols>
  <x:sheetData>
    <x:row r="1">
      <x:c r="A1" s="6" t="str">
        <x:v>DỮ LIỆU KẾT CẤU ĐÃ NHẬP VÀ CHUẨN HÓA – PASS 5 CORE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Z (m)</x:v>
      </x:c>
      <x:c r="F3" s="29" t="str">
        <x:v>Fz thô (kN)</x:v>
      </x:c>
      <x:c r="G3" s="29" t="str">
        <x:v>Nhu cầu nén (kN)</x:v>
      </x:c>
      <x:c r="H3" s="29" t="str">
        <x:v>Fx</x:v>
      </x:c>
      <x:c r="I3" s="29" t="str">
        <x:v>Fy</x:v>
      </x:c>
      <x:c r="J3" s="29" t="str">
        <x:v>Mx</x:v>
      </x:c>
      <x:c r="K3" s="29" t="str">
        <x:v>My</x:v>
      </x:c>
      <x:c r="L3" s="29" t="str">
        <x:v>Mz</x:v>
      </x:c>
      <x:c r="M3" s="29" t="str">
        <x:v>Loại kiểm</x:v>
      </x:c>
      <x:c r="N3" s="30" t="str">
        <x:v>Nguồn</x:v>
      </x:c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216" t="str">
        <x:v>136</x:v>
      </x:c>
      <x:c r="B4" s="217" t="str">
        <x:v>EULS</x:v>
      </x:c>
      <x:c r="C4" s="212" t="n">
        <x:v>1.8499999999999999</x:v>
      </x:c>
      <x:c r="D4" s="212" t="n">
        <x:v>4.96</x:v>
      </x:c>
      <x:c r="E4" s="212" t="n">
        <x:v>0</x:v>
      </x:c>
      <x:c r="F4" s="212" t="n">
        <x:v>286.91991774862805</x:v>
      </x:c>
      <x:c r="G4" s="212" t="n">
        <x:v>286.91991774862805</x:v>
      </x:c>
      <x:c r="H4" s="212" t="n">
        <x:v>6.114587136873498</x:v>
      </x:c>
      <x:c r="I4" s="212" t="n">
        <x:v>7.60160881133767</x:v>
      </x:c>
      <x:c r="J4" s="212" t="n">
        <x:v>0</x:v>
      </x:c>
      <x:c r="K4" s="212" t="n">
        <x:v>0</x:v>
      </x:c>
      <x:c r="L4" s="212" t="n">
        <x:v>0</x:v>
      </x:c>
      <x:c r="M4" s="217" t="str">
        <x:v>NÉN</x:v>
      </x:c>
      <x:c r="N4" s="218" t="str">
        <x:v>Pass 5 canonical · DCE_TABLES</x:v>
      </x:c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216" t="str">
        <x:v>137</x:v>
      </x:c>
      <x:c r="B5" s="217" t="str">
        <x:v>EULS</x:v>
      </x:c>
      <x:c r="C5" s="212" t="n">
        <x:v>1.68</x:v>
      </x:c>
      <x:c r="D5" s="212" t="n">
        <x:v>4.03</x:v>
      </x:c>
      <x:c r="E5" s="212" t="n">
        <x:v>0</x:v>
      </x:c>
      <x:c r="F5" s="212" t="n">
        <x:v>260.9278268061119</x:v>
      </x:c>
      <x:c r="G5" s="212" t="n">
        <x:v>260.9278268061119</x:v>
      </x:c>
      <x:c r="H5" s="212" t="n">
        <x:v>6.024313228742632</x:v>
      </x:c>
      <x:c r="I5" s="212" t="n">
        <x:v>7.565465189987405</x:v>
      </x:c>
      <x:c r="J5" s="212" t="n">
        <x:v>0</x:v>
      </x:c>
      <x:c r="K5" s="212" t="n">
        <x:v>0</x:v>
      </x:c>
      <x:c r="L5" s="212" t="n">
        <x:v>0</x:v>
      </x:c>
      <x:c r="M5" s="217" t="str">
        <x:v>NÉN</x:v>
      </x:c>
      <x:c r="N5" s="218" t="str">
        <x:v>Pass 5 canonical · DCE_TABLES</x:v>
      </x:c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216" t="str">
        <x:v>144</x:v>
      </x:c>
      <x:c r="B6" s="217" t="str">
        <x:v>EULS</x:v>
      </x:c>
      <x:c r="C6" s="212" t="n">
        <x:v>0.75</x:v>
      </x:c>
      <x:c r="D6" s="212" t="n">
        <x:v>4.03</x:v>
      </x:c>
      <x:c r="E6" s="212" t="n">
        <x:v>0</x:v>
      </x:c>
      <x:c r="F6" s="212" t="n">
        <x:v>270.8934985824897</x:v>
      </x:c>
      <x:c r="G6" s="212" t="n">
        <x:v>270.8934985824897</x:v>
      </x:c>
      <x:c r="H6" s="212" t="n">
        <x:v>6.023922627709259</x:v>
      </x:c>
      <x:c r="I6" s="212" t="n">
        <x:v>7.367116593119833</x:v>
      </x:c>
      <x:c r="J6" s="212" t="n">
        <x:v>0</x:v>
      </x:c>
      <x:c r="K6" s="212" t="n">
        <x:v>0</x:v>
      </x:c>
      <x:c r="L6" s="212" t="n">
        <x:v>0</x:v>
      </x:c>
      <x:c r="M6" s="217" t="str">
        <x:v>NÉN</x:v>
      </x:c>
      <x:c r="N6" s="218" t="str">
        <x:v>Pass 5 canonical · DCE_TABLES</x:v>
      </x:c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216" t="str">
        <x:v>145</x:v>
      </x:c>
      <x:c r="B7" s="217" t="str">
        <x:v>EULS</x:v>
      </x:c>
      <x:c r="C7" s="212" t="n">
        <x:v>0.75</x:v>
      </x:c>
      <x:c r="D7" s="212" t="n">
        <x:v>4.96</x:v>
      </x:c>
      <x:c r="E7" s="212" t="n">
        <x:v>0</x:v>
      </x:c>
      <x:c r="F7" s="212" t="n">
        <x:v>285.1184277095996</x:v>
      </x:c>
      <x:c r="G7" s="212" t="n">
        <x:v>285.1184277095996</x:v>
      </x:c>
      <x:c r="H7" s="212" t="n">
        <x:v>6.115032894584146</x:v>
      </x:c>
      <x:c r="I7" s="212" t="n">
        <x:v>7.367175449779903</x:v>
      </x:c>
      <x:c r="J7" s="212" t="n">
        <x:v>0</x:v>
      </x:c>
      <x:c r="K7" s="212" t="n">
        <x:v>0</x:v>
      </x:c>
      <x:c r="L7" s="212" t="n">
        <x:v>0</x:v>
      </x:c>
      <x:c r="M7" s="217" t="str">
        <x:v>NÉN</x:v>
      </x:c>
      <x:c r="N7" s="218" t="str">
        <x:v>Pass 5 canonical · DCE_TABLES</x:v>
      </x:c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216" t="str">
        <x:v>146</x:v>
      </x:c>
      <x:c r="B8" s="217" t="str">
        <x:v>EULS</x:v>
      </x:c>
      <x:c r="C8" s="212" t="n">
        <x:v>3.33</x:v>
      </x:c>
      <x:c r="D8" s="212" t="n">
        <x:v>5.39</x:v>
      </x:c>
      <x:c r="E8" s="212" t="n">
        <x:v>0</x:v>
      </x:c>
      <x:c r="F8" s="212" t="n">
        <x:v>297.4859063516979</x:v>
      </x:c>
      <x:c r="G8" s="212" t="n">
        <x:v>297.4859063516979</x:v>
      </x:c>
      <x:c r="H8" s="212" t="n">
        <x:v>6.151526405771362</x:v>
      </x:c>
      <x:c r="I8" s="212" t="n">
        <x:v>7.920268130304808</x:v>
      </x:c>
      <x:c r="J8" s="212" t="n">
        <x:v>0</x:v>
      </x:c>
      <x:c r="K8" s="212" t="n">
        <x:v>0</x:v>
      </x:c>
      <x:c r="L8" s="212" t="n">
        <x:v>0</x:v>
      </x:c>
      <x:c r="M8" s="217" t="str">
        <x:v>NÉN</x:v>
      </x:c>
      <x:c r="N8" s="218" t="str">
        <x:v>Pass 5 canonical · DCE_TABLES</x:v>
      </x:c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216" t="str">
        <x:v>147</x:v>
      </x:c>
      <x:c r="B9" s="217" t="str">
        <x:v>EULS</x:v>
      </x:c>
      <x:c r="C9" s="212" t="n">
        <x:v>4.07</x:v>
      </x:c>
      <x:c r="D9" s="212" t="n">
        <x:v>5.48</x:v>
      </x:c>
      <x:c r="E9" s="212" t="n">
        <x:v>0</x:v>
      </x:c>
      <x:c r="F9" s="212" t="n">
        <x:v>300.3376508670345</x:v>
      </x:c>
      <x:c r="G9" s="212" t="n">
        <x:v>300.3376508670345</x:v>
      </x:c>
      <x:c r="H9" s="212" t="n">
        <x:v>6.161931381625057</x:v>
      </x:c>
      <x:c r="I9" s="212" t="n">
        <x:v>8.087346492023325</x:v>
      </x:c>
      <x:c r="J9" s="212" t="n">
        <x:v>0</x:v>
      </x:c>
      <x:c r="K9" s="212" t="n">
        <x:v>0</x:v>
      </x:c>
      <x:c r="L9" s="212" t="n">
        <x:v>0</x:v>
      </x:c>
      <x:c r="M9" s="217" t="str">
        <x:v>NÉN</x:v>
      </x:c>
      <x:c r="N9" s="218" t="str">
        <x:v>Pass 5 canonical · DCE_TABLES</x:v>
      </x:c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216" t="str">
        <x:v>148</x:v>
      </x:c>
      <x:c r="B10" s="217" t="str">
        <x:v>EULS</x:v>
      </x:c>
      <x:c r="C10" s="212" t="n">
        <x:v>4.81</x:v>
      </x:c>
      <x:c r="D10" s="212" t="n">
        <x:v>5.57</x:v>
      </x:c>
      <x:c r="E10" s="212" t="n">
        <x:v>0</x:v>
      </x:c>
      <x:c r="F10" s="212" t="n">
        <x:v>300.04555821930734</x:v>
      </x:c>
      <x:c r="G10" s="212" t="n">
        <x:v>300.04555821930734</x:v>
      </x:c>
      <x:c r="H10" s="212" t="n">
        <x:v>6.1732453085127945</x:v>
      </x:c>
      <x:c r="I10" s="212" t="n">
        <x:v>8.252345699073759</x:v>
      </x:c>
      <x:c r="J10" s="212" t="n">
        <x:v>0</x:v>
      </x:c>
      <x:c r="K10" s="212" t="n">
        <x:v>0</x:v>
      </x:c>
      <x:c r="L10" s="212" t="n">
        <x:v>0</x:v>
      </x:c>
      <x:c r="M10" s="217" t="str">
        <x:v>NÉN</x:v>
      </x:c>
      <x:c r="N10" s="218" t="str">
        <x:v>Pass 5 canonical · DCE_TABLES</x:v>
      </x:c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216" t="str">
        <x:v>159</x:v>
      </x:c>
      <x:c r="B11" s="217" t="str">
        <x:v>EULS</x:v>
      </x:c>
      <x:c r="C11" s="212" t="n">
        <x:v>7.19</x:v>
      </x:c>
      <x:c r="D11" s="212" t="n">
        <x:v>5.72</x:v>
      </x:c>
      <x:c r="E11" s="212" t="n">
        <x:v>0</x:v>
      </x:c>
      <x:c r="F11" s="212" t="n">
        <x:v>303.4136821443748</x:v>
      </x:c>
      <x:c r="G11" s="212" t="n">
        <x:v>303.4136821443748</x:v>
      </x:c>
      <x:c r="H11" s="212" t="n">
        <x:v>6.142195768650366</x:v>
      </x:c>
      <x:c r="I11" s="212" t="n">
        <x:v>8.859360969705284</x:v>
      </x:c>
      <x:c r="J11" s="212" t="n">
        <x:v>0</x:v>
      </x:c>
      <x:c r="K11" s="212" t="n">
        <x:v>0</x:v>
      </x:c>
      <x:c r="L11" s="212" t="n">
        <x:v>0</x:v>
      </x:c>
      <x:c r="M11" s="217" t="str">
        <x:v>NÉN</x:v>
      </x:c>
      <x:c r="N11" s="218" t="str">
        <x:v>Pass 5 canonical · DCE_TABLES</x:v>
      </x:c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16" t="str">
        <x:v>160</x:v>
      </x:c>
      <x:c r="B12" s="217" t="str">
        <x:v>EULS</x:v>
      </x:c>
      <x:c r="C12" s="212" t="n">
        <x:v>7.93</x:v>
      </x:c>
      <x:c r="D12" s="212" t="n">
        <x:v>5.81</x:v>
      </x:c>
      <x:c r="E12" s="212" t="n">
        <x:v>0</x:v>
      </x:c>
      <x:c r="F12" s="212" t="n">
        <x:v>343.63918974684805</x:v>
      </x:c>
      <x:c r="G12" s="212" t="n">
        <x:v>343.63918974684805</x:v>
      </x:c>
      <x:c r="H12" s="212" t="n">
        <x:v>6.1583195951613225</x:v>
      </x:c>
      <x:c r="I12" s="212" t="n">
        <x:v>9.061839847568978</x:v>
      </x:c>
      <x:c r="J12" s="212" t="n">
        <x:v>0</x:v>
      </x:c>
      <x:c r="K12" s="212" t="n">
        <x:v>0</x:v>
      </x:c>
      <x:c r="L12" s="212" t="n">
        <x:v>0</x:v>
      </x:c>
      <x:c r="M12" s="217" t="str">
        <x:v>NÉN</x:v>
      </x:c>
      <x:c r="N12" s="218" t="str">
        <x:v>Pass 5 canonical · DCE_TABLES</x:v>
      </x:c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216" t="str">
        <x:v>161</x:v>
      </x:c>
      <x:c r="B13" s="217" t="str">
        <x:v>EULS</x:v>
      </x:c>
      <x:c r="C13" s="212" t="n">
        <x:v>8.2</x:v>
      </x:c>
      <x:c r="D13" s="212" t="n">
        <x:v>5.11</x:v>
      </x:c>
      <x:c r="E13" s="212" t="n">
        <x:v>0</x:v>
      </x:c>
      <x:c r="F13" s="212" t="n">
        <x:v>280.22771574243876</x:v>
      </x:c>
      <x:c r="G13" s="212" t="n">
        <x:v>280.22771574243876</x:v>
      </x:c>
      <x:c r="H13" s="212" t="n">
        <x:v>6.031814131395742</x:v>
      </x:c>
      <x:c r="I13" s="212" t="n">
        <x:v>9.13403868642082</x:v>
      </x:c>
      <x:c r="J13" s="212" t="n">
        <x:v>0</x:v>
      </x:c>
      <x:c r="K13" s="212" t="n">
        <x:v>0</x:v>
      </x:c>
      <x:c r="L13" s="212" t="n">
        <x:v>0</x:v>
      </x:c>
      <x:c r="M13" s="217" t="str">
        <x:v>NÉN</x:v>
      </x:c>
      <x:c r="N13" s="218" t="str">
        <x:v>Pass 5 canonical · DCE_TABLES</x:v>
      </x:c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16" t="str">
        <x:v>167</x:v>
      </x:c>
      <x:c r="B14" s="217" t="str">
        <x:v>EULS</x:v>
      </x:c>
      <x:c r="C14" s="212" t="n">
        <x:v>6.9</x:v>
      </x:c>
      <x:c r="D14" s="212" t="n">
        <x:v>0.46</x:v>
      </x:c>
      <x:c r="E14" s="212" t="n">
        <x:v>0</x:v>
      </x:c>
      <x:c r="F14" s="212" t="n">
        <x:v>310.9017790337088</x:v>
      </x:c>
      <x:c r="G14" s="212" t="n">
        <x:v>310.9017790337088</x:v>
      </x:c>
      <x:c r="H14" s="212" t="n">
        <x:v>5.786179924709186</x:v>
      </x:c>
      <x:c r="I14" s="212" t="n">
        <x:v>8.706874064178617</x:v>
      </x:c>
      <x:c r="J14" s="212" t="n">
        <x:v>0</x:v>
      </x:c>
      <x:c r="K14" s="212" t="n">
        <x:v>0</x:v>
      </x:c>
      <x:c r="L14" s="212" t="n">
        <x:v>0</x:v>
      </x:c>
      <x:c r="M14" s="217" t="str">
        <x:v>NÉN</x:v>
      </x:c>
      <x:c r="N14" s="218" t="str">
        <x:v>Pass 5 canonical · DCE_TABLES</x:v>
      </x:c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216" t="str">
        <x:v>168</x:v>
      </x:c>
      <x:c r="B15" s="217" t="str">
        <x:v>EULS</x:v>
      </x:c>
      <x:c r="C15" s="212" t="n">
        <x:v>7.65</x:v>
      </x:c>
      <x:c r="D15" s="212" t="n">
        <x:v>0.46</x:v>
      </x:c>
      <x:c r="E15" s="212" t="n">
        <x:v>0</x:v>
      </x:c>
      <x:c r="F15" s="212" t="n">
        <x:v>365.2920507005818</x:v>
      </x:c>
      <x:c r="G15" s="212" t="n">
        <x:v>365.2920507005818</x:v>
      </x:c>
      <x:c r="H15" s="212" t="n">
        <x:v>5.785111990798642</x:v>
      </x:c>
      <x:c r="I15" s="212" t="n">
        <x:v>8.93949061197766</x:v>
      </x:c>
      <x:c r="J15" s="212" t="n">
        <x:v>0</x:v>
      </x:c>
      <x:c r="K15" s="212" t="n">
        <x:v>0</x:v>
      </x:c>
      <x:c r="L15" s="212" t="n">
        <x:v>0</x:v>
      </x:c>
      <x:c r="M15" s="217" t="str">
        <x:v>NÉN</x:v>
      </x:c>
      <x:c r="N15" s="218" t="str">
        <x:v>Pass 5 canonical · DCE_TABLES</x:v>
      </x:c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216" t="str">
        <x:v>169</x:v>
      </x:c>
      <x:c r="B16" s="217" t="str">
        <x:v>EULS</x:v>
      </x:c>
      <x:c r="C16" s="212" t="n">
        <x:v>7.65</x:v>
      </x:c>
      <x:c r="D16" s="212" t="n">
        <x:v>1.1</x:v>
      </x:c>
      <x:c r="E16" s="212" t="n">
        <x:v>0</x:v>
      </x:c>
      <x:c r="F16" s="212" t="n">
        <x:v>290.52138193625683</x:v>
      </x:c>
      <x:c r="G16" s="212" t="n">
        <x:v>290.52138193625683</x:v>
      </x:c>
      <x:c r="H16" s="212" t="n">
        <x:v>5.821947418471196</x:v>
      </x:c>
      <x:c r="I16" s="212" t="n">
        <x:v>8.940186832427152</x:v>
      </x:c>
      <x:c r="J16" s="212" t="n">
        <x:v>0</x:v>
      </x:c>
      <x:c r="K16" s="212" t="n">
        <x:v>0</x:v>
      </x:c>
      <x:c r="L16" s="212" t="n">
        <x:v>0</x:v>
      </x:c>
      <x:c r="M16" s="217" t="str">
        <x:v>NÉN</x:v>
      </x:c>
      <x:c r="N16" s="218" t="str">
        <x:v>Pass 5 canonical · DCE_TABLES</x:v>
      </x:c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216" t="str">
        <x:v>170</x:v>
      </x:c>
      <x:c r="B17" s="217" t="str">
        <x:v>EULS</x:v>
      </x:c>
      <x:c r="C17" s="212" t="n">
        <x:v>4.82</x:v>
      </x:c>
      <x:c r="D17" s="212" t="n">
        <x:v>0.49</x:v>
      </x:c>
      <x:c r="E17" s="212" t="n">
        <x:v>0</x:v>
      </x:c>
      <x:c r="F17" s="212" t="n">
        <x:v>285.949573636969</x:v>
      </x:c>
      <x:c r="G17" s="212" t="n">
        <x:v>285.949573636969</x:v>
      </x:c>
      <x:c r="H17" s="212" t="n">
        <x:v>5.8191715581666035</x:v>
      </x:c>
      <x:c r="I17" s="212" t="n">
        <x:v>8.237220549414246</x:v>
      </x:c>
      <x:c r="J17" s="212" t="n">
        <x:v>0</x:v>
      </x:c>
      <x:c r="K17" s="212" t="n">
        <x:v>0</x:v>
      </x:c>
      <x:c r="L17" s="212" t="n">
        <x:v>0</x:v>
      </x:c>
      <x:c r="M17" s="217" t="str">
        <x:v>NÉN</x:v>
      </x:c>
      <x:c r="N17" s="218" t="str">
        <x:v>Pass 5 canonical · DCE_TABLES</x:v>
      </x:c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216" t="str">
        <x:v>171</x:v>
      </x:c>
      <x:c r="B18" s="217" t="str">
        <x:v>EULS</x:v>
      </x:c>
      <x:c r="C18" s="212" t="n">
        <x:v>4.07</x:v>
      </x:c>
      <x:c r="D18" s="212" t="n">
        <x:v>0.49</x:v>
      </x:c>
      <x:c r="E18" s="212" t="n">
        <x:v>0</x:v>
      </x:c>
      <x:c r="F18" s="212" t="n">
        <x:v>285.78082587948563</x:v>
      </x:c>
      <x:c r="G18" s="212" t="n">
        <x:v>285.78082587948563</x:v>
      </x:c>
      <x:c r="H18" s="212" t="n">
        <x:v>5.819147985537895</x:v>
      </x:c>
      <x:c r="I18" s="212" t="n">
        <x:v>8.075804450906592</x:v>
      </x:c>
      <x:c r="J18" s="212" t="n">
        <x:v>0</x:v>
      </x:c>
      <x:c r="K18" s="212" t="n">
        <x:v>0</x:v>
      </x:c>
      <x:c r="L18" s="212" t="n">
        <x:v>0</x:v>
      </x:c>
      <x:c r="M18" s="217" t="str">
        <x:v>NÉN</x:v>
      </x:c>
      <x:c r="N18" s="218" t="str">
        <x:v>Pass 5 canonical · DCE_TABLES</x:v>
      </x:c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216" t="str">
        <x:v>172</x:v>
      </x:c>
      <x:c r="B19" s="217" t="str">
        <x:v>EULS</x:v>
      </x:c>
      <x:c r="C19" s="212" t="n">
        <x:v>3.32</x:v>
      </x:c>
      <x:c r="D19" s="212" t="n">
        <x:v>0.49</x:v>
      </x:c>
      <x:c r="E19" s="212" t="n">
        <x:v>0</x:v>
      </x:c>
      <x:c r="F19" s="212" t="n">
        <x:v>282.45435302362756</x:v>
      </x:c>
      <x:c r="G19" s="212" t="n">
        <x:v>282.45435302362756</x:v>
      </x:c>
      <x:c r="H19" s="212" t="n">
        <x:v>5.817643430921133</x:v>
      </x:c>
      <x:c r="I19" s="212" t="n">
        <x:v>7.914175544381543</x:v>
      </x:c>
      <x:c r="J19" s="212" t="n">
        <x:v>0</x:v>
      </x:c>
      <x:c r="K19" s="212" t="n">
        <x:v>0</x:v>
      </x:c>
      <x:c r="L19" s="212" t="n">
        <x:v>0</x:v>
      </x:c>
      <x:c r="M19" s="217" t="str">
        <x:v>NÉN</x:v>
      </x:c>
      <x:c r="N19" s="218" t="str">
        <x:v>Pass 5 canonical · DCE_TABLES</x:v>
      </x:c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216" t="str">
        <x:v>177</x:v>
      </x:c>
      <x:c r="B20" s="217" t="str">
        <x:v>EULS</x:v>
      </x:c>
      <x:c r="C20" s="212" t="n">
        <x:v>1.98</x:v>
      </x:c>
      <x:c r="D20" s="212" t="n">
        <x:v>0.46</x:v>
      </x:c>
      <x:c r="E20" s="212" t="n">
        <x:v>0</x:v>
      </x:c>
      <x:c r="F20" s="212" t="n">
        <x:v>284.1586952648752</x:v>
      </x:c>
      <x:c r="G20" s="212" t="n">
        <x:v>284.1586952648752</x:v>
      </x:c>
      <x:c r="H20" s="212" t="n">
        <x:v>5.784678789736269</x:v>
      </x:c>
      <x:c r="I20" s="212" t="n">
        <x:v>7.630793336483799</x:v>
      </x:c>
      <x:c r="J20" s="212" t="n">
        <x:v>0</x:v>
      </x:c>
      <x:c r="K20" s="212" t="n">
        <x:v>0</x:v>
      </x:c>
      <x:c r="L20" s="212" t="n">
        <x:v>0</x:v>
      </x:c>
      <x:c r="M20" s="217" t="str">
        <x:v>NÉN</x:v>
      </x:c>
      <x:c r="N20" s="218" t="str">
        <x:v>Pass 5 canonical · DCE_TABLES</x:v>
      </x:c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216" t="str">
        <x:v>178</x:v>
      </x:c>
      <x:c r="B21" s="217" t="str">
        <x:v>EULS</x:v>
      </x:c>
      <x:c r="C21" s="212" t="n">
        <x:v>1.23</x:v>
      </x:c>
      <x:c r="D21" s="212" t="n">
        <x:v>0.46</x:v>
      </x:c>
      <x:c r="E21" s="212" t="n">
        <x:v>0</x:v>
      </x:c>
      <x:c r="F21" s="212" t="n">
        <x:v>275.85595425892734</x:v>
      </x:c>
      <x:c r="G21" s="212" t="n">
        <x:v>275.85595425892734</x:v>
      </x:c>
      <x:c r="H21" s="212" t="n">
        <x:v>5.783701766742128</x:v>
      </x:c>
      <x:c r="I21" s="212" t="n">
        <x:v>7.4669307380468535</x:v>
      </x:c>
      <x:c r="J21" s="212" t="n">
        <x:v>0</x:v>
      </x:c>
      <x:c r="K21" s="212" t="n">
        <x:v>0</x:v>
      </x:c>
      <x:c r="L21" s="212" t="n">
        <x:v>0</x:v>
      </x:c>
      <x:c r="M21" s="217" t="str">
        <x:v>NÉN</x:v>
      </x:c>
      <x:c r="N21" s="218" t="str">
        <x:v>Pass 5 canonical · DCE_TABLES</x:v>
      </x:c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219" t="str">
        <x:v>179</x:v>
      </x:c>
      <x:c r="B22" s="220" t="str">
        <x:v>EULS</x:v>
      </x:c>
      <x:c r="C22" s="221" t="n">
        <x:v>0.48</x:v>
      </x:c>
      <x:c r="D22" s="221" t="n">
        <x:v>0.46</x:v>
      </x:c>
      <x:c r="E22" s="221" t="n">
        <x:v>0</x:v>
      </x:c>
      <x:c r="F22" s="221" t="n">
        <x:v>273.6354927832871</x:v>
      </x:c>
      <x:c r="G22" s="221" t="n">
        <x:v>273.6354927832871</x:v>
      </x:c>
      <x:c r="H22" s="221" t="n">
        <x:v>5.78352852822504</x:v>
      </x:c>
      <x:c r="I22" s="221" t="n">
        <x:v>7.307158132585056</x:v>
      </x:c>
      <x:c r="J22" s="221" t="n">
        <x:v>0</x:v>
      </x:c>
      <x:c r="K22" s="221" t="n">
        <x:v>0</x:v>
      </x:c>
      <x:c r="L22" s="221" t="n">
        <x:v>0</x:v>
      </x:c>
      <x:c r="M22" s="220" t="str">
        <x:v>NÉN</x:v>
      </x:c>
      <x:c r="N22" s="222" t="str">
        <x:v>Pass 5 canonical · DCE_TABLES</x:v>
      </x:c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204"/>
      <x:c r="D23" s="204"/>
      <x:c r="E23" s="204"/>
      <x:c r="F23" s="204"/>
      <x:c r="G23" s="204"/>
      <x:c r="H23" s="204"/>
      <x:c r="I23" s="204"/>
      <x:c r="J23" s="204"/>
      <x:c r="K23" s="204"/>
      <x:c r="L23" s="204"/>
      <x:c r="M23" s="155"/>
      <x:c r="N23" s="155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204"/>
      <x:c r="D24" s="204"/>
      <x:c r="E24" s="204"/>
      <x:c r="F24" s="204"/>
      <x:c r="G24" s="204"/>
      <x:c r="H24" s="204"/>
      <x:c r="I24" s="204"/>
      <x:c r="J24" s="204"/>
      <x:c r="K24" s="204"/>
      <x:c r="L24" s="204"/>
      <x:c r="M24" s="155"/>
      <x:c r="N24" s="155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155"/>
      <x:c r="N25" s="155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32" hidden="0" customWidth="1"/>
  </x:cols>
  <x:sheetData>
    <x:row r="1">
      <x:c r="A1" s="6" t="str">
        <x:v>KIỂM TRA TỪNG CỌC – PHẢN LỰC NHẬP ↔ Nd,max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Loại</x:v>
      </x:c>
      <x:c r="F3" s="29" t="str">
        <x:v>Nhu cầu (kN)</x:v>
      </x:c>
      <x:c r="G3" s="29" t="str">
        <x:v>Nd,max/cọc (kN)</x:v>
      </x:c>
      <x:c r="H3" s="29" t="str">
        <x:v>Hệ số sử dụng</x:v>
      </x:c>
      <x:c r="I3" s="29" t="str">
        <x:v>Trạng thái</x:v>
      </x:c>
      <x:c r="J3" s="29" t="str">
        <x:v>Cọc bất lợi</x:v>
      </x:c>
      <x:c r="K3" s="29" t="str">
        <x:v>Lý do khóa</x:v>
      </x:c>
      <x:c r="L3" s="30" t="str">
        <x:v>Nguồn capacity</x:v>
      </x:c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f>'07_DỮ_LIỆU_KẾT_CẤU'!A4</x:f>
        <x:v>136</x:v>
      </x:c>
      <x:c r="B4" s="172" t="str">
        <x:f>'07_DỮ_LIỆU_KẾT_CẤU'!B4</x:f>
        <x:v>EULS</x:v>
      </x:c>
      <x:c r="C4" s="172" t="n">
        <x:f>'07_DỮ_LIỆU_KẾT_CẤU'!C4</x:f>
        <x:v>1.8499999999999999</x:v>
      </x:c>
      <x:c r="D4" s="172" t="n">
        <x:f>'07_DỮ_LIỆU_KẾT_CẤU'!D4</x:f>
        <x:v>4.96</x:v>
      </x:c>
      <x:c r="E4" s="172" t="str">
        <x:f>'07_DỮ_LIỆU_KẾT_CẤU'!M4</x:f>
        <x:v>NÉN</x:v>
      </x:c>
      <x:c r="F4" s="198" t="n">
        <x:f>'07_DỮ_LIỆU_KẾT_CẤU'!G4</x:f>
        <x:v>286.91991774862805</x:v>
      </x:c>
      <x:c r="G4" s="199" t="n">
        <x:f>'06_SỨC_CHỊU_TẢI'!$B$8</x:f>
        <x:v>702.857142857143</x:v>
      </x:c>
      <x:c r="H4" s="199" t="n">
        <x:f>IF(G4&gt;0,F4/G4,1/0)</x:f>
        <x:v>0.4082193951708122</x:v>
      </x:c>
      <x:c r="I4" s="200" t="str">
        <x:f>IF(K4&lt;&gt;"","KHÓA TÍNH",IF(H4&lt;=1,"ĐẠT","KHÔNG ĐẠT"))</x:f>
        <x:v>ĐẠT</x:v>
      </x:c>
      <x:c r="J4" s="200" t="str">
        <x:f>IF(H4=MAX($H$4:$H$22),"CỌC BẤT LỢI","")</x:f>
        <x:v/>
      </x:c>
      <x:c r="K4" s="172"/>
      <x:c r="L4" s="156" t="str">
        <x:v>Pass 2→7 LOCKED chain</x:v>
      </x:c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f>'07_DỮ_LIỆU_KẾT_CẤU'!A5</x:f>
        <x:v>137</x:v>
      </x:c>
      <x:c r="B5" s="172" t="str">
        <x:f>'07_DỮ_LIỆU_KẾT_CẤU'!B5</x:f>
        <x:v>EULS</x:v>
      </x:c>
      <x:c r="C5" s="172" t="n">
        <x:f>'07_DỮ_LIỆU_KẾT_CẤU'!C5</x:f>
        <x:v>1.68</x:v>
      </x:c>
      <x:c r="D5" s="172" t="n">
        <x:f>'07_DỮ_LIỆU_KẾT_CẤU'!D5</x:f>
        <x:v>4.03</x:v>
      </x:c>
      <x:c r="E5" s="172" t="str">
        <x:f>'07_DỮ_LIỆU_KẾT_CẤU'!M5</x:f>
        <x:v>NÉN</x:v>
      </x:c>
      <x:c r="F5" s="198" t="n">
        <x:f>'07_DỮ_LIỆU_KẾT_CẤU'!G5</x:f>
        <x:v>260.9278268061119</x:v>
      </x:c>
      <x:c r="G5" s="199" t="n">
        <x:f>'06_SỨC_CHỊU_TẢI'!$B$8</x:f>
        <x:v>702.857142857143</x:v>
      </x:c>
      <x:c r="H5" s="199" t="n">
        <x:f>IF(G5&gt;0,F5/G5,1/0)</x:f>
        <x:v>0.3712387779761754</x:v>
      </x:c>
      <x:c r="I5" s="200" t="str">
        <x:f>IF(K5&lt;&gt;"","KHÓA TÍNH",IF(H5&lt;=1,"ĐẠT","KHÔNG ĐẠT"))</x:f>
        <x:v>ĐẠT</x:v>
      </x:c>
      <x:c r="J5" s="200" t="str">
        <x:f>IF(H5=MAX($H$4:$H$22),"CỌC BẤT LỢI","")</x:f>
        <x:v/>
      </x:c>
      <x:c r="K5" s="172"/>
      <x:c r="L5" s="156" t="str">
        <x:v>Pass 2→7 LOCKED chain</x:v>
      </x:c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f>'07_DỮ_LIỆU_KẾT_CẤU'!A6</x:f>
        <x:v>144</x:v>
      </x:c>
      <x:c r="B6" s="172" t="str">
        <x:f>'07_DỮ_LIỆU_KẾT_CẤU'!B6</x:f>
        <x:v>EULS</x:v>
      </x:c>
      <x:c r="C6" s="172" t="n">
        <x:f>'07_DỮ_LIỆU_KẾT_CẤU'!C6</x:f>
        <x:v>0.75</x:v>
      </x:c>
      <x:c r="D6" s="172" t="n">
        <x:f>'07_DỮ_LIỆU_KẾT_CẤU'!D6</x:f>
        <x:v>4.03</x:v>
      </x:c>
      <x:c r="E6" s="172" t="str">
        <x:f>'07_DỮ_LIỆU_KẾT_CẤU'!M6</x:f>
        <x:v>NÉN</x:v>
      </x:c>
      <x:c r="F6" s="198" t="n">
        <x:f>'07_DỮ_LIỆU_KẾT_CẤU'!G6</x:f>
        <x:v>270.8934985824897</x:v>
      </x:c>
      <x:c r="G6" s="199" t="n">
        <x:f>'06_SỨC_CHỊU_TẢI'!$B$8</x:f>
        <x:v>702.857142857143</x:v>
      </x:c>
      <x:c r="H6" s="199" t="n">
        <x:f>IF(G6&gt;0,F6/G6,1/0)</x:f>
        <x:v>0.38541757928403</x:v>
      </x:c>
      <x:c r="I6" s="200" t="str">
        <x:f>IF(K6&lt;&gt;"","KHÓA TÍNH",IF(H6&lt;=1,"ĐẠT","KHÔNG ĐẠT"))</x:f>
        <x:v>ĐẠT</x:v>
      </x:c>
      <x:c r="J6" s="200" t="str">
        <x:f>IF(H6=MAX($H$4:$H$22),"CỌC BẤT LỢI","")</x:f>
        <x:v/>
      </x:c>
      <x:c r="K6" s="172"/>
      <x:c r="L6" s="156" t="str">
        <x:v>Pass 2→7 LOCKED chain</x:v>
      </x:c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f>'07_DỮ_LIỆU_KẾT_CẤU'!A7</x:f>
        <x:v>145</x:v>
      </x:c>
      <x:c r="B7" s="172" t="str">
        <x:f>'07_DỮ_LIỆU_KẾT_CẤU'!B7</x:f>
        <x:v>EULS</x:v>
      </x:c>
      <x:c r="C7" s="172" t="n">
        <x:f>'07_DỮ_LIỆU_KẾT_CẤU'!C7</x:f>
        <x:v>0.75</x:v>
      </x:c>
      <x:c r="D7" s="172" t="n">
        <x:f>'07_DỮ_LIỆU_KẾT_CẤU'!D7</x:f>
        <x:v>4.96</x:v>
      </x:c>
      <x:c r="E7" s="172" t="str">
        <x:f>'07_DỮ_LIỆU_KẾT_CẤU'!M7</x:f>
        <x:v>NÉN</x:v>
      </x:c>
      <x:c r="F7" s="198" t="n">
        <x:f>'07_DỮ_LIỆU_KẾT_CẤU'!G7</x:f>
        <x:v>285.1184277095996</x:v>
      </x:c>
      <x:c r="G7" s="199" t="n">
        <x:f>'06_SỨC_CHỊU_TẢI'!$B$8</x:f>
        <x:v>702.857142857143</x:v>
      </x:c>
      <x:c r="H7" s="199" t="n">
        <x:f>IF(G7&gt;0,F7/G7,1/0)</x:f>
        <x:v>0.4056562995868286</x:v>
      </x:c>
      <x:c r="I7" s="200" t="str">
        <x:f>IF(K7&lt;&gt;"","KHÓA TÍNH",IF(H7&lt;=1,"ĐẠT","KHÔNG ĐẠT"))</x:f>
        <x:v>ĐẠT</x:v>
      </x:c>
      <x:c r="J7" s="200" t="str">
        <x:f>IF(H7=MAX($H$4:$H$22),"CỌC BẤT LỢI","")</x:f>
        <x:v/>
      </x:c>
      <x:c r="K7" s="172"/>
      <x:c r="L7" s="156" t="str">
        <x:v>Pass 2→7 LOCKED chain</x:v>
      </x:c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f>'07_DỮ_LIỆU_KẾT_CẤU'!A8</x:f>
        <x:v>146</x:v>
      </x:c>
      <x:c r="B8" s="172" t="str">
        <x:f>'07_DỮ_LIỆU_KẾT_CẤU'!B8</x:f>
        <x:v>EULS</x:v>
      </x:c>
      <x:c r="C8" s="172" t="n">
        <x:f>'07_DỮ_LIỆU_KẾT_CẤU'!C8</x:f>
        <x:v>3.33</x:v>
      </x:c>
      <x:c r="D8" s="172" t="n">
        <x:f>'07_DỮ_LIỆU_KẾT_CẤU'!D8</x:f>
        <x:v>5.39</x:v>
      </x:c>
      <x:c r="E8" s="172" t="str">
        <x:f>'07_DỮ_LIỆU_KẾT_CẤU'!M8</x:f>
        <x:v>NÉN</x:v>
      </x:c>
      <x:c r="F8" s="198" t="n">
        <x:f>'07_DỮ_LIỆU_KẾT_CẤU'!G8</x:f>
        <x:v>297.4859063516979</x:v>
      </x:c>
      <x:c r="G8" s="199" t="n">
        <x:f>'06_SỨC_CHỊU_TẢI'!$B$8</x:f>
        <x:v>702.857142857143</x:v>
      </x:c>
      <x:c r="H8" s="199" t="n">
        <x:f>IF(G8&gt;0,F8/G8,1/0)</x:f>
        <x:v>0.42325230578493594</x:v>
      </x:c>
      <x:c r="I8" s="200" t="str">
        <x:f>IF(K8&lt;&gt;"","KHÓA TÍNH",IF(H8&lt;=1,"ĐẠT","KHÔNG ĐẠT"))</x:f>
        <x:v>ĐẠT</x:v>
      </x:c>
      <x:c r="J8" s="200" t="str">
        <x:f>IF(H8=MAX($H$4:$H$22),"CỌC BẤT LỢI","")</x:f>
        <x:v/>
      </x:c>
      <x:c r="K8" s="172"/>
      <x:c r="L8" s="156" t="str">
        <x:v>Pass 2→7 LOCKED chain</x:v>
      </x:c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f>'07_DỮ_LIỆU_KẾT_CẤU'!A9</x:f>
        <x:v>147</x:v>
      </x:c>
      <x:c r="B9" s="172" t="str">
        <x:f>'07_DỮ_LIỆU_KẾT_CẤU'!B9</x:f>
        <x:v>EULS</x:v>
      </x:c>
      <x:c r="C9" s="172" t="n">
        <x:f>'07_DỮ_LIỆU_KẾT_CẤU'!C9</x:f>
        <x:v>4.07</x:v>
      </x:c>
      <x:c r="D9" s="172" t="n">
        <x:f>'07_DỮ_LIỆU_KẾT_CẤU'!D9</x:f>
        <x:v>5.48</x:v>
      </x:c>
      <x:c r="E9" s="172" t="str">
        <x:f>'07_DỮ_LIỆU_KẾT_CẤU'!M9</x:f>
        <x:v>NÉN</x:v>
      </x:c>
      <x:c r="F9" s="198" t="n">
        <x:f>'07_DỮ_LIỆU_KẾT_CẤU'!G9</x:f>
        <x:v>300.3376508670345</x:v>
      </x:c>
      <x:c r="G9" s="199" t="n">
        <x:f>'06_SỨC_CHỊU_TẢI'!$B$8</x:f>
        <x:v>702.857142857143</x:v>
      </x:c>
      <x:c r="H9" s="199" t="n">
        <x:f>IF(G9&gt;0,F9/G9,1/0)</x:f>
        <x:v>0.4273096658677319</x:v>
      </x:c>
      <x:c r="I9" s="200" t="str">
        <x:f>IF(K9&lt;&gt;"","KHÓA TÍNH",IF(H9&lt;=1,"ĐẠT","KHÔNG ĐẠT"))</x:f>
        <x:v>ĐẠT</x:v>
      </x:c>
      <x:c r="J9" s="200" t="str">
        <x:f>IF(H9=MAX($H$4:$H$22),"CỌC BẤT LỢI","")</x:f>
        <x:v/>
      </x:c>
      <x:c r="K9" s="172"/>
      <x:c r="L9" s="156" t="str">
        <x:v>Pass 2→7 LOCKED chain</x:v>
      </x:c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f>'07_DỮ_LIỆU_KẾT_CẤU'!A10</x:f>
        <x:v>148</x:v>
      </x:c>
      <x:c r="B10" s="172" t="str">
        <x:f>'07_DỮ_LIỆU_KẾT_CẤU'!B10</x:f>
        <x:v>EULS</x:v>
      </x:c>
      <x:c r="C10" s="172" t="n">
        <x:f>'07_DỮ_LIỆU_KẾT_CẤU'!C10</x:f>
        <x:v>4.81</x:v>
      </x:c>
      <x:c r="D10" s="172" t="n">
        <x:f>'07_DỮ_LIỆU_KẾT_CẤU'!D10</x:f>
        <x:v>5.57</x:v>
      </x:c>
      <x:c r="E10" s="172" t="str">
        <x:f>'07_DỮ_LIỆU_KẾT_CẤU'!M10</x:f>
        <x:v>NÉN</x:v>
      </x:c>
      <x:c r="F10" s="198" t="n">
        <x:f>'07_DỮ_LIỆU_KẾT_CẤU'!G10</x:f>
        <x:v>300.04555821930734</x:v>
      </x:c>
      <x:c r="G10" s="199" t="n">
        <x:f>'06_SỨC_CHỊU_TẢI'!$B$8</x:f>
        <x:v>702.857142857143</x:v>
      </x:c>
      <x:c r="H10" s="199" t="n">
        <x:f>IF(G10&gt;0,F10/G10,1/0)</x:f>
        <x:v>0.4268940868973884</x:v>
      </x:c>
      <x:c r="I10" s="200" t="str">
        <x:f>IF(K10&lt;&gt;"","KHÓA TÍNH",IF(H10&lt;=1,"ĐẠT","KHÔNG ĐẠT"))</x:f>
        <x:v>ĐẠT</x:v>
      </x:c>
      <x:c r="J10" s="200" t="str">
        <x:f>IF(H10=MAX($H$4:$H$22),"CỌC BẤT LỢI","")</x:f>
        <x:v/>
      </x:c>
      <x:c r="K10" s="172"/>
      <x:c r="L10" s="156" t="str">
        <x:v>Pass 2→7 LOCKED chain</x:v>
      </x:c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f>'07_DỮ_LIỆU_KẾT_CẤU'!A11</x:f>
        <x:v>159</x:v>
      </x:c>
      <x:c r="B11" s="172" t="str">
        <x:f>'07_DỮ_LIỆU_KẾT_CẤU'!B11</x:f>
        <x:v>EULS</x:v>
      </x:c>
      <x:c r="C11" s="172" t="n">
        <x:f>'07_DỮ_LIỆU_KẾT_CẤU'!C11</x:f>
        <x:v>7.19</x:v>
      </x:c>
      <x:c r="D11" s="172" t="n">
        <x:f>'07_DỮ_LIỆU_KẾT_CẤU'!D11</x:f>
        <x:v>5.72</x:v>
      </x:c>
      <x:c r="E11" s="172" t="str">
        <x:f>'07_DỮ_LIỆU_KẾT_CẤU'!M11</x:f>
        <x:v>NÉN</x:v>
      </x:c>
      <x:c r="F11" s="198" t="n">
        <x:f>'07_DỮ_LIỆU_KẾT_CẤU'!G11</x:f>
        <x:v>303.4136821443748</x:v>
      </x:c>
      <x:c r="G11" s="199" t="n">
        <x:f>'06_SỨC_CHỊU_TẢI'!$B$8</x:f>
        <x:v>702.857142857143</x:v>
      </x:c>
      <x:c r="H11" s="199" t="n">
        <x:f>IF(G11&gt;0,F11/G11,1/0)</x:f>
        <x:v>0.43168613313224047</x:v>
      </x:c>
      <x:c r="I11" s="200" t="str">
        <x:f>IF(K11&lt;&gt;"","KHÓA TÍNH",IF(H11&lt;=1,"ĐẠT","KHÔNG ĐẠT"))</x:f>
        <x:v>ĐẠT</x:v>
      </x:c>
      <x:c r="J11" s="200" t="str">
        <x:f>IF(H11=MAX($H$4:$H$22),"CỌC BẤT LỢI","")</x:f>
        <x:v/>
      </x:c>
      <x:c r="K11" s="172"/>
      <x:c r="L11" s="156" t="str">
        <x:v>Pass 2→7 LOCKED chain</x:v>
      </x:c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f>'07_DỮ_LIỆU_KẾT_CẤU'!A12</x:f>
        <x:v>160</x:v>
      </x:c>
      <x:c r="B12" s="172" t="str">
        <x:f>'07_DỮ_LIỆU_KẾT_CẤU'!B12</x:f>
        <x:v>EULS</x:v>
      </x:c>
      <x:c r="C12" s="172" t="n">
        <x:f>'07_DỮ_LIỆU_KẾT_CẤU'!C12</x:f>
        <x:v>7.93</x:v>
      </x:c>
      <x:c r="D12" s="172" t="n">
        <x:f>'07_DỮ_LIỆU_KẾT_CẤU'!D12</x:f>
        <x:v>5.81</x:v>
      </x:c>
      <x:c r="E12" s="172" t="str">
        <x:f>'07_DỮ_LIỆU_KẾT_CẤU'!M12</x:f>
        <x:v>NÉN</x:v>
      </x:c>
      <x:c r="F12" s="198" t="n">
        <x:f>'07_DỮ_LIỆU_KẾT_CẤU'!G12</x:f>
        <x:v>343.63918974684805</x:v>
      </x:c>
      <x:c r="G12" s="199" t="n">
        <x:f>'06_SỨC_CHỊU_TẢI'!$B$8</x:f>
        <x:v>702.857142857143</x:v>
      </x:c>
      <x:c r="H12" s="199" t="n">
        <x:f>IF(G12&gt;0,F12/G12,1/0)</x:f>
        <x:v>0.48891754638779183</x:v>
      </x:c>
      <x:c r="I12" s="200" t="str">
        <x:f>IF(K12&lt;&gt;"","KHÓA TÍNH",IF(H12&lt;=1,"ĐẠT","KHÔNG ĐẠT"))</x:f>
        <x:v>ĐẠT</x:v>
      </x:c>
      <x:c r="J12" s="200" t="str">
        <x:f>IF(H12=MAX($H$4:$H$22),"CỌC BẤT LỢI","")</x:f>
        <x:v/>
      </x:c>
      <x:c r="K12" s="172"/>
      <x:c r="L12" s="156" t="str">
        <x:v>Pass 2→7 LOCKED chain</x:v>
      </x:c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f>'07_DỮ_LIỆU_KẾT_CẤU'!A13</x:f>
        <x:v>161</x:v>
      </x:c>
      <x:c r="B13" s="172" t="str">
        <x:f>'07_DỮ_LIỆU_KẾT_CẤU'!B13</x:f>
        <x:v>EULS</x:v>
      </x:c>
      <x:c r="C13" s="172" t="n">
        <x:f>'07_DỮ_LIỆU_KẾT_CẤU'!C13</x:f>
        <x:v>8.2</x:v>
      </x:c>
      <x:c r="D13" s="172" t="n">
        <x:f>'07_DỮ_LIỆU_KẾT_CẤU'!D13</x:f>
        <x:v>5.11</x:v>
      </x:c>
      <x:c r="E13" s="172" t="str">
        <x:f>'07_DỮ_LIỆU_KẾT_CẤU'!M13</x:f>
        <x:v>NÉN</x:v>
      </x:c>
      <x:c r="F13" s="198" t="n">
        <x:f>'07_DỮ_LIỆU_KẾT_CẤU'!G13</x:f>
        <x:v>280.22771574243876</x:v>
      </x:c>
      <x:c r="G13" s="199" t="n">
        <x:f>'06_SỨC_CHỊU_TẢI'!$B$8</x:f>
        <x:v>702.857142857143</x:v>
      </x:c>
      <x:c r="H13" s="199" t="n">
        <x:f>IF(G13&gt;0,F13/G13,1/0)</x:f>
        <x:v>0.3986979695522502</x:v>
      </x:c>
      <x:c r="I13" s="200" t="str">
        <x:f>IF(K13&lt;&gt;"","KHÓA TÍNH",IF(H13&lt;=1,"ĐẠT","KHÔNG ĐẠT"))</x:f>
        <x:v>ĐẠT</x:v>
      </x:c>
      <x:c r="J13" s="200" t="str">
        <x:f>IF(H13=MAX($H$4:$H$22),"CỌC BẤT LỢI","")</x:f>
        <x:v/>
      </x:c>
      <x:c r="K13" s="172"/>
      <x:c r="L13" s="156" t="str">
        <x:v>Pass 2→7 LOCKED chain</x:v>
      </x:c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f>'07_DỮ_LIỆU_KẾT_CẤU'!A14</x:f>
        <x:v>167</x:v>
      </x:c>
      <x:c r="B14" s="172" t="str">
        <x:f>'07_DỮ_LIỆU_KẾT_CẤU'!B14</x:f>
        <x:v>EULS</x:v>
      </x:c>
      <x:c r="C14" s="172" t="n">
        <x:f>'07_DỮ_LIỆU_KẾT_CẤU'!C14</x:f>
        <x:v>6.9</x:v>
      </x:c>
      <x:c r="D14" s="172" t="n">
        <x:f>'07_DỮ_LIỆU_KẾT_CẤU'!D14</x:f>
        <x:v>0.46</x:v>
      </x:c>
      <x:c r="E14" s="172" t="str">
        <x:f>'07_DỮ_LIỆU_KẾT_CẤU'!M14</x:f>
        <x:v>NÉN</x:v>
      </x:c>
      <x:c r="F14" s="198" t="n">
        <x:f>'07_DỮ_LIỆU_KẾT_CẤU'!G14</x:f>
        <x:v>310.9017790337088</x:v>
      </x:c>
      <x:c r="G14" s="199" t="n">
        <x:f>'06_SỨC_CHỊU_TẢI'!$B$8</x:f>
        <x:v>702.857142857143</x:v>
      </x:c>
      <x:c r="H14" s="199" t="n">
        <x:f>IF(G14&gt;0,F14/G14,1/0)</x:f>
        <x:v>0.4423399295195043</x:v>
      </x:c>
      <x:c r="I14" s="200" t="str">
        <x:f>IF(K14&lt;&gt;"","KHÓA TÍNH",IF(H14&lt;=1,"ĐẠT","KHÔNG ĐẠT"))</x:f>
        <x:v>ĐẠT</x:v>
      </x:c>
      <x:c r="J14" s="200" t="str">
        <x:f>IF(H14=MAX($H$4:$H$22),"CỌC BẤT LỢI","")</x:f>
        <x:v/>
      </x:c>
      <x:c r="K14" s="172"/>
      <x:c r="L14" s="156" t="str">
        <x:v>Pass 2→7 LOCKED chain</x:v>
      </x:c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f>'07_DỮ_LIỆU_KẾT_CẤU'!A15</x:f>
        <x:v>168</x:v>
      </x:c>
      <x:c r="B15" s="172" t="str">
        <x:f>'07_DỮ_LIỆU_KẾT_CẤU'!B15</x:f>
        <x:v>EULS</x:v>
      </x:c>
      <x:c r="C15" s="172" t="n">
        <x:f>'07_DỮ_LIỆU_KẾT_CẤU'!C15</x:f>
        <x:v>7.65</x:v>
      </x:c>
      <x:c r="D15" s="172" t="n">
        <x:f>'07_DỮ_LIỆU_KẾT_CẤU'!D15</x:f>
        <x:v>0.46</x:v>
      </x:c>
      <x:c r="E15" s="172" t="str">
        <x:f>'07_DỮ_LIỆU_KẾT_CẤU'!M15</x:f>
        <x:v>NÉN</x:v>
      </x:c>
      <x:c r="F15" s="198" t="n">
        <x:f>'07_DỮ_LIỆU_KẾT_CẤU'!G15</x:f>
        <x:v>365.2920507005818</x:v>
      </x:c>
      <x:c r="G15" s="199" t="n">
        <x:f>'06_SỨC_CHỊU_TẢI'!$B$8</x:f>
        <x:v>702.857142857143</x:v>
      </x:c>
      <x:c r="H15" s="199" t="n">
        <x:f>IF(G15&gt;0,F15/G15,1/0)</x:f>
        <x:v>0.5197244623788765</x:v>
      </x:c>
      <x:c r="I15" s="200" t="str">
        <x:f>IF(K15&lt;&gt;"","KHÓA TÍNH",IF(H15&lt;=1,"ĐẠT","KHÔNG ĐẠT"))</x:f>
        <x:v>ĐẠT</x:v>
      </x:c>
      <x:c r="J15" s="200" t="str">
        <x:f>IF(H15=MAX($H$4:$H$22),"CỌC BẤT LỢI","")</x:f>
        <x:v>CỌC BẤT LỢI</x:v>
      </x:c>
      <x:c r="K15" s="172"/>
      <x:c r="L15" s="156" t="str">
        <x:v>Pass 2→7 LOCKED chain</x:v>
      </x:c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f>'07_DỮ_LIỆU_KẾT_CẤU'!A16</x:f>
        <x:v>169</x:v>
      </x:c>
      <x:c r="B16" s="172" t="str">
        <x:f>'07_DỮ_LIỆU_KẾT_CẤU'!B16</x:f>
        <x:v>EULS</x:v>
      </x:c>
      <x:c r="C16" s="172" t="n">
        <x:f>'07_DỮ_LIỆU_KẾT_CẤU'!C16</x:f>
        <x:v>7.65</x:v>
      </x:c>
      <x:c r="D16" s="172" t="n">
        <x:f>'07_DỮ_LIỆU_KẾT_CẤU'!D16</x:f>
        <x:v>1.1</x:v>
      </x:c>
      <x:c r="E16" s="172" t="str">
        <x:f>'07_DỮ_LIỆU_KẾT_CẤU'!M16</x:f>
        <x:v>NÉN</x:v>
      </x:c>
      <x:c r="F16" s="198" t="n">
        <x:f>'07_DỮ_LIỆU_KẾT_CẤU'!G16</x:f>
        <x:v>290.52138193625683</x:v>
      </x:c>
      <x:c r="G16" s="199" t="n">
        <x:f>'06_SỨC_CHỊU_TẢI'!$B$8</x:f>
        <x:v>702.857142857143</x:v>
      </x:c>
      <x:c r="H16" s="199" t="n">
        <x:f>IF(G16&gt;0,F16/G16,1/0)</x:f>
        <x:v>0.41334342958410514</x:v>
      </x:c>
      <x:c r="I16" s="200" t="str">
        <x:f>IF(K16&lt;&gt;"","KHÓA TÍNH",IF(H16&lt;=1,"ĐẠT","KHÔNG ĐẠT"))</x:f>
        <x:v>ĐẠT</x:v>
      </x:c>
      <x:c r="J16" s="200" t="str">
        <x:f>IF(H16=MAX($H$4:$H$22),"CỌC BẤT LỢI","")</x:f>
        <x:v/>
      </x:c>
      <x:c r="K16" s="172"/>
      <x:c r="L16" s="156" t="str">
        <x:v>Pass 2→7 LOCKED chain</x:v>
      </x:c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f>'07_DỮ_LIỆU_KẾT_CẤU'!A17</x:f>
        <x:v>170</x:v>
      </x:c>
      <x:c r="B17" s="172" t="str">
        <x:f>'07_DỮ_LIỆU_KẾT_CẤU'!B17</x:f>
        <x:v>EULS</x:v>
      </x:c>
      <x:c r="C17" s="172" t="n">
        <x:f>'07_DỮ_LIỆU_KẾT_CẤU'!C17</x:f>
        <x:v>4.82</x:v>
      </x:c>
      <x:c r="D17" s="172" t="n">
        <x:f>'07_DỮ_LIỆU_KẾT_CẤU'!D17</x:f>
        <x:v>0.49</x:v>
      </x:c>
      <x:c r="E17" s="172" t="str">
        <x:f>'07_DỮ_LIỆU_KẾT_CẤU'!M17</x:f>
        <x:v>NÉN</x:v>
      </x:c>
      <x:c r="F17" s="198" t="n">
        <x:f>'07_DỮ_LIỆU_KẾT_CẤU'!G17</x:f>
        <x:v>285.949573636969</x:v>
      </x:c>
      <x:c r="G17" s="199" t="n">
        <x:f>'06_SỨC_CHỊU_TẢI'!$B$8</x:f>
        <x:v>702.857142857143</x:v>
      </x:c>
      <x:c r="H17" s="199" t="n">
        <x:f>IF(G17&gt;0,F17/G17,1/0)</x:f>
        <x:v>0.4068388242802403</x:v>
      </x:c>
      <x:c r="I17" s="200" t="str">
        <x:f>IF(K17&lt;&gt;"","KHÓA TÍNH",IF(H17&lt;=1,"ĐẠT","KHÔNG ĐẠT"))</x:f>
        <x:v>ĐẠT</x:v>
      </x:c>
      <x:c r="J17" s="200" t="str">
        <x:f>IF(H17=MAX($H$4:$H$22),"CỌC BẤT LỢI","")</x:f>
        <x:v/>
      </x:c>
      <x:c r="K17" s="172"/>
      <x:c r="L17" s="156" t="str">
        <x:v>Pass 2→7 LOCKED chain</x:v>
      </x:c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f>'07_DỮ_LIỆU_KẾT_CẤU'!A18</x:f>
        <x:v>171</x:v>
      </x:c>
      <x:c r="B18" s="172" t="str">
        <x:f>'07_DỮ_LIỆU_KẾT_CẤU'!B18</x:f>
        <x:v>EULS</x:v>
      </x:c>
      <x:c r="C18" s="172" t="n">
        <x:f>'07_DỮ_LIỆU_KẾT_CẤU'!C18</x:f>
        <x:v>4.07</x:v>
      </x:c>
      <x:c r="D18" s="172" t="n">
        <x:f>'07_DỮ_LIỆU_KẾT_CẤU'!D18</x:f>
        <x:v>0.49</x:v>
      </x:c>
      <x:c r="E18" s="172" t="str">
        <x:f>'07_DỮ_LIỆU_KẾT_CẤU'!M18</x:f>
        <x:v>NÉN</x:v>
      </x:c>
      <x:c r="F18" s="198" t="n">
        <x:f>'07_DỮ_LIỆU_KẾT_CẤU'!G18</x:f>
        <x:v>285.78082587948563</x:v>
      </x:c>
      <x:c r="G18" s="199" t="n">
        <x:f>'06_SỨC_CHỊU_TẢI'!$B$8</x:f>
        <x:v>702.857142857143</x:v>
      </x:c>
      <x:c r="H18" s="199" t="n">
        <x:f>IF(G18&gt;0,F18/G18,1/0)</x:f>
        <x:v>0.40659873600739815</x:v>
      </x:c>
      <x:c r="I18" s="200" t="str">
        <x:f>IF(K18&lt;&gt;"","KHÓA TÍNH",IF(H18&lt;=1,"ĐẠT","KHÔNG ĐẠT"))</x:f>
        <x:v>ĐẠT</x:v>
      </x:c>
      <x:c r="J18" s="200" t="str">
        <x:f>IF(H18=MAX($H$4:$H$22),"CỌC BẤT LỢI","")</x:f>
        <x:v/>
      </x:c>
      <x:c r="K18" s="172"/>
      <x:c r="L18" s="156" t="str">
        <x:v>Pass 2→7 LOCKED chain</x:v>
      </x:c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f>'07_DỮ_LIỆU_KẾT_CẤU'!A19</x:f>
        <x:v>172</x:v>
      </x:c>
      <x:c r="B19" s="172" t="str">
        <x:f>'07_DỮ_LIỆU_KẾT_CẤU'!B19</x:f>
        <x:v>EULS</x:v>
      </x:c>
      <x:c r="C19" s="172" t="n">
        <x:f>'07_DỮ_LIỆU_KẾT_CẤU'!C19</x:f>
        <x:v>3.32</x:v>
      </x:c>
      <x:c r="D19" s="172" t="n">
        <x:f>'07_DỮ_LIỆU_KẾT_CẤU'!D19</x:f>
        <x:v>0.49</x:v>
      </x:c>
      <x:c r="E19" s="172" t="str">
        <x:f>'07_DỮ_LIỆU_KẾT_CẤU'!M19</x:f>
        <x:v>NÉN</x:v>
      </x:c>
      <x:c r="F19" s="198" t="n">
        <x:f>'07_DỮ_LIỆU_KẾT_CẤU'!G19</x:f>
        <x:v>282.45435302362756</x:v>
      </x:c>
      <x:c r="G19" s="199" t="n">
        <x:f>'06_SỨC_CHỊU_TẢI'!$B$8</x:f>
        <x:v>702.857142857143</x:v>
      </x:c>
      <x:c r="H19" s="199" t="n">
        <x:f>IF(G19&gt;0,F19/G19,1/0)</x:f>
        <x:v>0.4018659494238603</x:v>
      </x:c>
      <x:c r="I19" s="200" t="str">
        <x:f>IF(K19&lt;&gt;"","KHÓA TÍNH",IF(H19&lt;=1,"ĐẠT","KHÔNG ĐẠT"))</x:f>
        <x:v>ĐẠT</x:v>
      </x:c>
      <x:c r="J19" s="200" t="str">
        <x:f>IF(H19=MAX($H$4:$H$22),"CỌC BẤT LỢI","")</x:f>
        <x:v/>
      </x:c>
      <x:c r="K19" s="172"/>
      <x:c r="L19" s="156" t="str">
        <x:v>Pass 2→7 LOCKED chain</x:v>
      </x:c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f>'07_DỮ_LIỆU_KẾT_CẤU'!A20</x:f>
        <x:v>177</x:v>
      </x:c>
      <x:c r="B20" s="172" t="str">
        <x:f>'07_DỮ_LIỆU_KẾT_CẤU'!B20</x:f>
        <x:v>EULS</x:v>
      </x:c>
      <x:c r="C20" s="172" t="n">
        <x:f>'07_DỮ_LIỆU_KẾT_CẤU'!C20</x:f>
        <x:v>1.98</x:v>
      </x:c>
      <x:c r="D20" s="172" t="n">
        <x:f>'07_DỮ_LIỆU_KẾT_CẤU'!D20</x:f>
        <x:v>0.46</x:v>
      </x:c>
      <x:c r="E20" s="172" t="str">
        <x:f>'07_DỮ_LIỆU_KẾT_CẤU'!M20</x:f>
        <x:v>NÉN</x:v>
      </x:c>
      <x:c r="F20" s="198" t="n">
        <x:f>'07_DỮ_LIỆU_KẾT_CẤU'!G20</x:f>
        <x:v>284.1586952648752</x:v>
      </x:c>
      <x:c r="G20" s="199" t="n">
        <x:f>'06_SỨC_CHỊU_TẢI'!$B$8</x:f>
        <x:v>702.857142857143</x:v>
      </x:c>
      <x:c r="H20" s="199" t="n">
        <x:f>IF(G20&gt;0,F20/G20,1/0)</x:f>
        <x:v>0.40429082659636706</x:v>
      </x:c>
      <x:c r="I20" s="200" t="str">
        <x:f>IF(K20&lt;&gt;"","KHÓA TÍNH",IF(H20&lt;=1,"ĐẠT","KHÔNG ĐẠT"))</x:f>
        <x:v>ĐẠT</x:v>
      </x:c>
      <x:c r="J20" s="200" t="str">
        <x:f>IF(H20=MAX($H$4:$H$22),"CỌC BẤT LỢI","")</x:f>
        <x:v/>
      </x:c>
      <x:c r="K20" s="172"/>
      <x:c r="L20" s="156" t="str">
        <x:v>Pass 2→7 LOCKED chain</x:v>
      </x:c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f>'07_DỮ_LIỆU_KẾT_CẤU'!A21</x:f>
        <x:v>178</x:v>
      </x:c>
      <x:c r="B21" s="172" t="str">
        <x:f>'07_DỮ_LIỆU_KẾT_CẤU'!B21</x:f>
        <x:v>EULS</x:v>
      </x:c>
      <x:c r="C21" s="172" t="n">
        <x:f>'07_DỮ_LIỆU_KẾT_CẤU'!C21</x:f>
        <x:v>1.23</x:v>
      </x:c>
      <x:c r="D21" s="172" t="n">
        <x:f>'07_DỮ_LIỆU_KẾT_CẤU'!D21</x:f>
        <x:v>0.46</x:v>
      </x:c>
      <x:c r="E21" s="172" t="str">
        <x:f>'07_DỮ_LIỆU_KẾT_CẤU'!M21</x:f>
        <x:v>NÉN</x:v>
      </x:c>
      <x:c r="F21" s="198" t="n">
        <x:f>'07_DỮ_LIỆU_KẾT_CẤU'!G21</x:f>
        <x:v>275.85595425892734</x:v>
      </x:c>
      <x:c r="G21" s="199" t="n">
        <x:f>'06_SỨC_CHỊU_TẢI'!$B$8</x:f>
        <x:v>702.857142857143</x:v>
      </x:c>
      <x:c r="H21" s="199" t="n">
        <x:f>IF(G21&gt;0,F21/G21,1/0)</x:f>
        <x:v>0.3924779837017258</x:v>
      </x:c>
      <x:c r="I21" s="200" t="str">
        <x:f>IF(K21&lt;&gt;"","KHÓA TÍNH",IF(H21&lt;=1,"ĐẠT","KHÔNG ĐẠT"))</x:f>
        <x:v>ĐẠT</x:v>
      </x:c>
      <x:c r="J21" s="200" t="str">
        <x:f>IF(H21=MAX($H$4:$H$22),"CỌC BẤT LỢI","")</x:f>
        <x:v/>
      </x:c>
      <x:c r="K21" s="172"/>
      <x:c r="L21" s="156" t="str">
        <x:v>Pass 2→7 LOCKED chain</x:v>
      </x:c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8" t="str">
        <x:f>'07_DỮ_LIỆU_KẾT_CẤU'!A22</x:f>
        <x:v>179</x:v>
      </x:c>
      <x:c r="B22" s="174" t="str">
        <x:f>'07_DỮ_LIỆU_KẾT_CẤU'!B22</x:f>
        <x:v>EULS</x:v>
      </x:c>
      <x:c r="C22" s="174" t="n">
        <x:f>'07_DỮ_LIỆU_KẾT_CẤU'!C22</x:f>
        <x:v>0.48</x:v>
      </x:c>
      <x:c r="D22" s="174" t="n">
        <x:f>'07_DỮ_LIỆU_KẾT_CẤU'!D22</x:f>
        <x:v>0.46</x:v>
      </x:c>
      <x:c r="E22" s="174" t="str">
        <x:f>'07_DỮ_LIỆU_KẾT_CẤU'!M22</x:f>
        <x:v>NÉN</x:v>
      </x:c>
      <x:c r="F22" s="201" t="n">
        <x:f>'07_DỮ_LIỆU_KẾT_CẤU'!G22</x:f>
        <x:v>273.6354927832871</x:v>
      </x:c>
      <x:c r="G22" s="202" t="n">
        <x:f>'06_SỨC_CHỊU_TẢI'!$B$8</x:f>
        <x:v>702.857142857143</x:v>
      </x:c>
      <x:c r="H22" s="202" t="n">
        <x:f>IF(G22&gt;0,F22/G22,1/0)</x:f>
        <x:v>0.3893187905453271</x:v>
      </x:c>
      <x:c r="I22" s="203" t="str">
        <x:f>IF(K22&lt;&gt;"","KHÓA TÍNH",IF(H22&lt;=1,"ĐẠT","KHÔNG ĐẠT"))</x:f>
        <x:v>ĐẠT</x:v>
      </x:c>
      <x:c r="J22" s="203" t="str">
        <x:f>IF(H22=MAX($H$4:$H$22),"CỌC BẤT LỢI","")</x:f>
        <x:v/>
      </x:c>
      <x:c r="K22" s="174"/>
      <x:c r="L22" s="158" t="str">
        <x:v>Pass 2→7 LOCKED chain</x:v>
      </x:c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L1"/>
  </x:mergeCells>
  <x:conditionalFormatting sqref="I4:I22">
    <x:cfRule type="expression" dxfId="0" priority="1">
      <x:formula>I4="ĐẠT"</x:formula>
    </x:cfRule>
    <x:cfRule type="expression" dxfId="1" priority="2">
      <x:formula>I4="KHÔNG ĐẠT"</x:formula>
    </x:cfRule>
    <x:cfRule type="expression" dxfId="2" priority="3">
      <x:formula>I4="KHÓA TÍNH"</x:formula>
    </x:cfRule>
  </x:conditionalFormatting>
  <x:conditionalFormatting sqref="J4:J22">
    <x:cfRule type="expression" dxfId="3" priority="4">
      <x:formula>J4="CỌC BẤT LỢI"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5" max="5" width="28" hidden="0" customWidth="1"/>
    <x:col min="6" max="6" width="88" hidden="0" customWidth="1"/>
  </x:cols>
  <x:sheetData>
    <x:row r="1">
      <x:c r="A1" s="6" t="str">
        <x:v>CỌC BẤT LỢI VÀ KẾT LUẬN CUỐI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Hạng mục</x:v>
      </x:c>
      <x:c r="B3" s="29" t="str">
        <x:v>Giá trị</x:v>
      </x:c>
      <x:c r="C3" s="30" t="str">
        <x:v>Đơn vị</x:v>
      </x:c>
      <x:c r="D3" s="155"/>
      <x:c r="E3" s="16" t="str">
        <x:v>Diễn giải kỹ thuật</x:v>
      </x:c>
      <x:c r="F3" s="16" t="str">
        <x:v>Nội dung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bất lợi</x:v>
      </x:c>
      <x:c r="B4" s="230" t="str">
        <x:f>INDEX('08_KIỂM_TRA_CỌC'!A4:A22,MATCH(MAX('08_KIỂM_TRA_CỌC'!H4:H22),'08_KIỂM_TRA_CỌC'!H4:H22,0))</x:f>
        <x:v>168</x:v>
      </x:c>
      <x:c r="C4" s="157" t="str">
        <x:v>-</x:v>
      </x:c>
      <x:c r="D4" s="155"/>
      <x:c r="E4" s="155" t="str">
        <x:v>Chuỗi tính</x:v>
      </x:c>
      <x:c r="F4" s="155" t="str">
        <x:v>Rsoil → Rmaterial → Rpile → γn → Nd,max → phản lực từng cọc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Tổ hợp bất lợi</x:v>
      </x:c>
      <x:c r="B5" s="230" t="str">
        <x:f>INDEX('08_KIỂM_TRA_CỌC'!B4:B22,MATCH(MAX('08_KIỂM_TRA_CỌC'!H4:H22),'08_KIỂM_TRA_CỌC'!H4:H22,0))</x:f>
        <x:v>EULS</x:v>
      </x:c>
      <x:c r="C5" s="157" t="str">
        <x:v>-</x:v>
      </x:c>
      <x:c r="D5" s="155"/>
      <x:c r="E5" s="155" t="str">
        <x:v>Địa chất bất lợi</x:v>
      </x:c>
      <x:c r="F5" s="155" t="str">
        <x:v>HK2 · CƠ LÝ · 7.2.2 CỌC ĐÓNG/ÉP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Phản lực nén bất lợi</x:v>
      </x:c>
      <x:c r="B6" s="231" t="n">
        <x:f>INDEX('08_KIỂM_TRA_CỌC'!F4:F22,MATCH(MAX('08_KIỂM_TRA_CỌC'!H4:H22),'08_KIỂM_TRA_CỌC'!H4:H22,0))</x:f>
        <x:v>365.2920507005818</x:v>
      </x:c>
      <x:c r="C6" s="157" t="str">
        <x:v>kN</x:v>
      </x:c>
      <x:c r="D6" s="155"/>
      <x:c r="E6" s="155" t="str">
        <x:v>Nguyên nhân khống chế</x:v>
      </x:c>
      <x:c r="F6" s="155" t="str">
        <x:v>Đất nền khống chế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Nd,max/cọc</x:v>
      </x:c>
      <x:c r="B7" s="231" t="n">
        <x:f>'06_SỨC_CHỊU_TẢI'!B8</x:f>
        <x:v>702.857142857143</x:v>
      </x:c>
      <x:c r="C7" s="157" t="str">
        <x:v>kN</x:v>
      </x:c>
      <x:c r="D7" s="155"/>
      <x:c r="E7" s="155" t="str">
        <x:v>Golden governing</x:v>
      </x:c>
      <x:c r="F7" s="155" t="str">
        <x:v>Point 168 · EULS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sử dụng</x:v>
      </x:c>
      <x:c r="B8" s="231" t="n">
        <x:f>MAX('08_KIỂM_TRA_CỌC'!H4:H22)</x:f>
        <x:v>0.5197244623788765</x:v>
      </x:c>
      <x:c r="C8" s="157" t="str">
        <x:v>-</x:v>
      </x:c>
      <x:c r="D8" s="155"/>
      <x:c r="E8" s="155" t="str">
        <x:v>Engine utilization</x:v>
      </x:c>
      <x:c r="F8" s="204" t="n">
        <x:v>0.5197244623788765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Rsoil</x:v>
      </x:c>
      <x:c r="B9" s="231" t="n">
        <x:f>'06_SỨC_CHỊU_TẢI'!B4</x:f>
        <x:v>843.4285714285716</x:v>
      </x:c>
      <x:c r="C9" s="157" t="str">
        <x:v>kN</x:v>
      </x:c>
      <x:c r="D9" s="155"/>
      <x:c r="E9" s="155" t="str">
        <x:v>Kết luận Engine</x:v>
      </x:c>
      <x:c r="F9" s="155" t="str">
        <x:v>ĐẠT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Rmaterial</x:v>
      </x:c>
      <x:c r="B10" s="231" t="n">
        <x:f>'06_SỨC_CHỊU_TẢI'!B5</x:f>
        <x:v>2952</x:v>
      </x:c>
      <x:c r="C10" s="157" t="str">
        <x:v>kN</x:v>
      </x:c>
      <x:c r="D10" s="155"/>
      <x:c r="E10" s="155" t="str">
        <x:v>Câu kết luận</x:v>
      </x:c>
      <x:c r="F10" s="155" t="str">
        <x:v>ĐẠT: cọc bất lợi 168 · tổ hợp EULS · hệ số sử dụng 0.5197 ≤ 1,0000. Sức chịu tải cọc Rpile=843.429 kN; giới hạn tác động Nd,max=702.857 kN/cọc. Địa chất bất lợi: HK2 · CƠ LÝ · 7.2.2 CỌC ĐÓNG/ÉP; đất nền khống chế.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Rpile</x:v>
      </x:c>
      <x:c r="B11" s="231" t="n">
        <x:f>'06_SỨC_CHỊU_TẢI'!B6</x:f>
        <x:v>843.4285714285716</x:v>
      </x:c>
      <x:c r="C11" s="157" t="str">
        <x:v>kN</x:v>
      </x:c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232" t="str">
        <x:f>IF(COUNTIF('08_KIỂM_TRA_CỌC'!I4:I22,"KHÓA TÍNH")&gt;0,"KHÓA TÍNH",IF(MAX('08_KIỂM_TRA_CỌC'!H4:H22)&lt;=1,"ĐẠT","KHÔNG ĐẠT"))</x:f>
        <x:v>ĐẠT</x:v>
      </x:c>
      <x:c r="C12" s="159" t="str">
        <x:v>-</x:v>
      </x:c>
      <x:c r="D12" s="155"/>
      <x:c r="E12" s="155"/>
      <x:c r="F12" s="155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conditionalFormatting sqref="B12:B12">
    <x:cfRule type="expression" dxfId="4" priority="1">
      <x:formula>B12="ĐẠT"</x:formula>
    </x:cfRule>
    <x:cfRule type="expression" dxfId="5" priority="2">
      <x:formula>B12&lt;&gt;"ĐẠT"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4" hidden="0" customWidth="1"/>
    <x:col min="5" max="5" width="38" hidden="0" customWidth="1"/>
    <x:col min="6" max="6" width="26" hidden="0" customWidth="1"/>
  </x:cols>
  <x:sheetData>
    <x:row r="1">
      <x:c r="A1" s="6" t="str">
        <x:v>NGUỒN TIÊU CHUẨN, CÔNG THỨC, BẢNG TRA VÀ PROVENANCE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Khối</x:v>
      </x:c>
      <x:c r="B3" s="29" t="str">
        <x:v>Tiêu chuẩn / nguồn</x:v>
      </x:c>
      <x:c r="C3" s="29" t="str">
        <x:v>Điều / Công thức</x:v>
      </x:c>
      <x:c r="D3" s="29" t="str">
        <x:v>Bảng</x:v>
      </x:c>
      <x:c r="E3" s="29" t="str">
        <x:v>Trang chuẩn / PDF</x:v>
      </x:c>
      <x:c r="F3" s="30" t="str">
        <x:v>Trạng thái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đóng/ép</x:v>
      </x:c>
      <x:c r="B4" s="172" t="str">
        <x:v>TCVN 10304:2025</x:v>
      </x:c>
      <x:c r="C4" s="172" t="str">
        <x:v>7.2.2.1 · CT (9)</x:v>
      </x:c>
      <x:c r="D4" s="172" t="str">
        <x:v>Bảng 2, 3, 4</x:v>
      </x:c>
      <x:c r="E4" s="172" t="str">
        <x:v>32–35 / 32–35</x:v>
      </x:c>
      <x:c r="F4" s="157" t="str">
        <x:v>ĐÃ XÁC MINH / ĐÃ KHÓA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SPT</x:v>
      </x:c>
      <x:c r="B5" s="172" t="str">
        <x:v>TCVN 10304:2025</x:v>
      </x:c>
      <x:c r="C5" s="172" t="str">
        <x:v>Phụ lục D · D.1–D.6</x:v>
      </x:c>
      <x:c r="D5" s="172" t="str">
        <x:v>Bảng D.1</x:v>
      </x:c>
      <x:c r="E5" s="172" t="str">
        <x:v>110–111 / 110–111</x:v>
      </x:c>
      <x:c r="F5" s="157" t="str">
        <x:v>ĐÃ XÁC MINH / ĐÃ KHÓA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Vật liệu</x:v>
      </x:c>
      <x:c r="B6" s="172" t="str">
        <x:v>TCVN 5574:2018</x:v>
      </x:c>
      <x:c r="C6" s="172" t="str">
        <x:v>8.1.2.4.3 · CT (49)–(50)</x:v>
      </x:c>
      <x:c r="D6" s="172" t="str">
        <x:v>Bảng 7,10,13,14,16</x:v>
      </x:c>
      <x:c r="E6" s="172" t="str">
        <x:v>35,38,47,48,61–62 / 33,36,45,46,59–60</x:v>
      </x:c>
      <x:c r="F6" s="157" t="str">
        <x:v>ĐÃ XÁC MINH / ĐÃ KHÓA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Tổng hợp sức chịu tải</x:v>
      </x:c>
      <x:c r="B7" s="172" t="str">
        <x:v>HNL PileCapacityEngine</x:v>
      </x:c>
      <x:c r="C7" s="172" t="str">
        <x:v>Rpile=min(Rsoil,Rmaterial)</x:v>
      </x:c>
      <x:c r="D7" s="172" t="str">
        <x:v>-</x:v>
      </x:c>
      <x:c r="E7" s="172" t="str">
        <x:v>-</x:v>
      </x:c>
      <x:c r="F7" s="157" t="str">
        <x:v>GHÉP ĐÃ KHÓA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γn</x:v>
      </x:c>
      <x:c r="B8" s="172" t="str">
        <x:v>HNL integrated chain</x:v>
      </x:c>
      <x:c r="C8" s="172" t="str">
        <x:v>Nd,max=Rpile/γn</x:v>
      </x:c>
      <x:c r="D8" s="172" t="str">
        <x:v>-</x:v>
      </x:c>
      <x:c r="E8" s="172" t="str">
        <x:v>-</x:v>
      </x:c>
      <x:c r="F8" s="157" t="str">
        <x:v>ĐÃ KHÓA; áp dụng sau min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Import kết cấu</x:v>
      </x:c>
      <x:c r="B9" s="172" t="str">
        <x:v>P1 Pass 5 Core</x:v>
      </x:c>
      <x:c r="C9" s="172" t="str">
        <x:v>parse→normalize→map→validate→handoff</x:v>
      </x:c>
      <x:c r="D9" s="172" t="str">
        <x:v>DCE/CSV canonical</x:v>
      </x:c>
      <x:c r="E9" s="172" t="str">
        <x:v>-</x:v>
      </x:c>
      <x:c r="F9" s="157" t="str">
        <x:v>ĐÃ KHÓA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Kiểm phản lực</x:v>
      </x:c>
      <x:c r="B10" s="172" t="str">
        <x:v>P1 Pass 4</x:v>
      </x:c>
      <x:c r="C10" s="172" t="str">
        <x:v>Imported nodal reaction checker</x:v>
      </x:c>
      <x:c r="D10" s="172" t="str">
        <x:v>TM SCT Coc behavioral benchmark</x:v>
      </x:c>
      <x:c r="E10" s="172" t="str">
        <x:v>-</x:v>
      </x:c>
      <x:c r="F10" s="157" t="str">
        <x:v>LOCKED numeric core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Workbook DCE</x:v>
      </x:c>
      <x:c r="B11" s="172" t="str">
        <x:v>10.1 DCE_SctCoc_10304 2025.xlsm</x:v>
      </x:c>
      <x:c r="C11" s="172" t="str">
        <x:v>REFERENCE ONLY</x:v>
      </x:c>
      <x:c r="D11" s="172" t="str">
        <x:v>TM SCT Coc</x:v>
      </x:c>
      <x:c r="E11" s="172" t="str">
        <x:v>-</x:v>
      </x:c>
      <x:c r="F11" s="157" t="str">
        <x:v>THAM KHẢO; không phải nguồn pháp lý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Search Brain</x:v>
      </x:c>
      <x:c r="B12" s="174" t="str">
        <x:v>src/search.js</x:v>
      </x:c>
      <x:c r="C12" s="174" t="str">
        <x:v>SHA-256 khóa</x:v>
      </x:c>
      <x:c r="D12" s="174" t="str">
        <x:v>-</x:v>
      </x:c>
      <x:c r="E12" s="174" t="str">
        <x:v>-</x:v>
      </x:c>
      <x:c r="F12" s="159" t="str">
        <x:v>KHÔNG SỬA TRONG PATCH PASS 7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Pass 8.1 exporter</x:v>
      </x:c>
      <x:c r="B14" s="155" t="str">
        <x:v>Dynamic OOXML từ template v18</x:v>
      </x:c>
      <x:c r="C14" s="155" t="str">
        <x:v>Không tính lại kỹ thuật</x:v>
      </x:c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Mã lần xuất</x:v>
      </x:c>
      <x:c r="B15" s="155" t="str">
        <x:v>5e94bf0b-42b5-42c9-9529-9eb641f054b1</x:v>
      </x:c>
      <x:c r="C15" s="155" t="str">
        <x:v>UUID</x:v>
      </x:c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Thời điểm xuất</x:v>
      </x:c>
      <x:c r="B16" s="155" t="str">
        <x:v>2026-08-25T12:56:24.019Z</x:v>
      </x:c>
      <x:c r="C16" s="155" t="str">
        <x:v>ISO-8601</x:v>
      </x:c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Template SHA-256</x:v>
      </x:c>
      <x:c r="B17" s="155" t="str">
        <x:v>582e897788d3aa96895f7ff63e604899ad489cbe2d5fb59238bb186a4b62b9d1</x:v>
      </x:c>
      <x:c r="C17" s="155" t="str">
        <x:v>Exact</x:v>
      </x:c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Kết quả server</x:v>
      </x:c>
      <x:c r="B18" s="155" t="str">
        <x:v>VERIFIED_PASS</x:v>
      </x:c>
      <x:c r="C18" s="155" t="str">
        <x:v>Pass 8 server-side</x:v>
      </x:c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Nguồn kết cấu</x:v>
      </x:c>
      <x:c r="B19" s="155" t="str">
        <x:v>DCE_TABLES</x:v>
      </x:c>
      <x:c r="C19" s="155" t="str">
        <x:v>Pass 5 canonical</x:v>
      </x:c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6" t="str">
        <x:v>BẢNG TRA DÙNG CHO EXCEL SẢN XUẤT – TCVN 5574:2018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16" t="str">
        <x:v>Cấp bê tông</x:v>
      </x:c>
      <x:c r="B3" s="16" t="str">
        <x:v>Rb (MPa)</x:v>
      </x:c>
      <x:c r="C3" s="16" t="str">
        <x:v>Rbt (MPa)</x:v>
      </x:c>
      <x:c r="D3" s="16" t="str">
        <x:v>Eb (MPa)</x:v>
      </x:c>
      <x:c r="E3" s="155"/>
      <x:c r="F3" s="16" t="str">
        <x:v>Cấp thép</x:v>
      </x:c>
      <x:c r="G3" s="16" t="str">
        <x:v>Rs (MPa)</x:v>
      </x:c>
      <x:c r="H3" s="16" t="str">
        <x:v>Rsc (MPa)</x:v>
      </x:c>
      <x:c r="I3" s="16" t="str">
        <x:v>Rsw (MPa)</x:v>
      </x:c>
      <x:c r="J3" s="155"/>
      <x:c r="K3" s="16" t="str">
        <x:v>Nhóm bê tông</x:v>
      </x:c>
      <x:c r="L3" s="16" t="str">
        <x:v>φ @6</x:v>
      </x:c>
      <x:c r="M3" s="16" t="str">
        <x:v>φ @10</x:v>
      </x:c>
      <x:c r="N3" s="16" t="str">
        <x:v>φ @15</x:v>
      </x:c>
      <x:c r="O3" s="16" t="str">
        <x:v>φ @20</x:v>
      </x:c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5" t="str">
        <x:v>B3.5</x:v>
      </x:c>
      <x:c r="B4" s="155" t="n">
        <x:v>2.1</x:v>
      </x:c>
      <x:c r="C4" s="155" t="n">
        <x:v>0.26</x:v>
      </x:c>
      <x:c r="D4" s="155" t="n">
        <x:v>9500</x:v>
      </x:c>
      <x:c r="E4" s="155"/>
      <x:c r="F4" s="155" t="str">
        <x:v>CB240-T</x:v>
      </x:c>
      <x:c r="G4" s="155" t="n">
        <x:v>210</x:v>
      </x:c>
      <x:c r="H4" s="155" t="n">
        <x:v>210</x:v>
      </x:c>
      <x:c r="I4" s="155" t="n">
        <x:v>170</x:v>
      </x:c>
      <x:c r="J4" s="155"/>
      <x:c r="K4" s="155" t="str">
        <x:v>B20–B55</x:v>
      </x:c>
      <x:c r="L4" s="155" t="n">
        <x:v>0.92</x:v>
      </x:c>
      <x:c r="M4" s="155" t="n">
        <x:v>0.9</x:v>
      </x:c>
      <x:c r="N4" s="155" t="n">
        <x:v>0.83</x:v>
      </x:c>
      <x:c r="O4" s="155" t="n">
        <x:v>0.7</x:v>
      </x:c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5" t="str">
        <x:v>B5</x:v>
      </x:c>
      <x:c r="B5" s="155" t="n">
        <x:v>2.8</x:v>
      </x:c>
      <x:c r="C5" s="155" t="n">
        <x:v>0.37</x:v>
      </x:c>
      <x:c r="D5" s="155" t="n">
        <x:v>13000</x:v>
      </x:c>
      <x:c r="E5" s="155"/>
      <x:c r="F5" s="155" t="str">
        <x:v>CB300-T</x:v>
      </x:c>
      <x:c r="G5" s="155" t="n">
        <x:v>260</x:v>
      </x:c>
      <x:c r="H5" s="155" t="n">
        <x:v>260</x:v>
      </x:c>
      <x:c r="I5" s="155" t="n">
        <x:v>210</x:v>
      </x:c>
      <x:c r="J5" s="155"/>
      <x:c r="K5" s="155" t="str">
        <x:v>B60–B70</x:v>
      </x:c>
      <x:c r="L5" s="155" t="n">
        <x:v>0.91</x:v>
      </x:c>
      <x:c r="M5" s="155" t="n">
        <x:v>0.89</x:v>
      </x:c>
      <x:c r="N5" s="155" t="n">
        <x:v>0.8</x:v>
      </x:c>
      <x:c r="O5" s="155" t="n">
        <x:v>0.65</x:v>
      </x:c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5" t="str">
        <x:v>B7.5</x:v>
      </x:c>
      <x:c r="B6" s="155" t="n">
        <x:v>4.5</x:v>
      </x:c>
      <x:c r="C6" s="155" t="n">
        <x:v>0.48</x:v>
      </x:c>
      <x:c r="D6" s="155" t="n">
        <x:v>16000</x:v>
      </x:c>
      <x:c r="E6" s="155"/>
      <x:c r="F6" s="155" t="str">
        <x:v>CB300-V</x:v>
      </x:c>
      <x:c r="G6" s="155" t="n">
        <x:v>260</x:v>
      </x:c>
      <x:c r="H6" s="155" t="n">
        <x:v>260</x:v>
      </x:c>
      <x:c r="I6" s="155" t="n">
        <x:v>210</x:v>
      </x:c>
      <x:c r="J6" s="155"/>
      <x:c r="K6" s="155" t="str">
        <x:v>B80–B90</x:v>
      </x:c>
      <x:c r="L6" s="155" t="n">
        <x:v>0.9</x:v>
      </x:c>
      <x:c r="M6" s="155" t="n">
        <x:v>0.88</x:v>
      </x:c>
      <x:c r="N6" s="155" t="n">
        <x:v>0.79</x:v>
      </x:c>
      <x:c r="O6" s="155" t="n">
        <x:v>0.64</x:v>
      </x:c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5" t="str">
        <x:v>B10</x:v>
      </x:c>
      <x:c r="B7" s="155" t="n">
        <x:v>6</x:v>
      </x:c>
      <x:c r="C7" s="155" t="n">
        <x:v>0.56</x:v>
      </x:c>
      <x:c r="D7" s="155" t="n">
        <x:v>19000</x:v>
      </x:c>
      <x:c r="E7" s="155"/>
      <x:c r="F7" s="155" t="str">
        <x:v>CB400-V</x:v>
      </x:c>
      <x:c r="G7" s="155" t="n">
        <x:v>350</x:v>
      </x:c>
      <x:c r="H7" s="155" t="n">
        <x:v>350</x:v>
      </x:c>
      <x:c r="I7" s="155" t="n">
        <x:v>280</x:v>
      </x:c>
      <x:c r="J7" s="155"/>
      <x:c r="K7" s="155" t="str">
        <x:v>B100</x:v>
      </x:c>
      <x:c r="L7" s="155" t="n">
        <x:v>0.89</x:v>
      </x:c>
      <x:c r="M7" s="155" t="n">
        <x:v>0.87</x:v>
      </x:c>
      <x:c r="N7" s="155" t="n">
        <x:v>0.78</x:v>
      </x:c>
      <x:c r="O7" s="155" t="n">
        <x:v>0.63</x:v>
      </x:c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5" t="str">
        <x:v>B12.5</x:v>
      </x:c>
      <x:c r="B8" s="155" t="n">
        <x:v>7.5</x:v>
      </x:c>
      <x:c r="C8" s="155" t="n">
        <x:v>0.66</x:v>
      </x:c>
      <x:c r="D8" s="155" t="n">
        <x:v>21500</x:v>
      </x:c>
      <x:c r="E8" s="155"/>
      <x:c r="F8" s="155" t="str">
        <x:v>CB500-V</x:v>
      </x:c>
      <x:c r="G8" s="155" t="n">
        <x:v>435</x:v>
      </x:c>
      <x:c r="H8" s="155" t="n">
        <x:v>435</x:v>
      </x:c>
      <x:c r="I8" s="155" t="n">
        <x:v>300</x:v>
      </x:c>
      <x:c r="J8" s="155"/>
      <x:c r="K8" s="155"/>
      <x:c r="L8" s="155"/>
      <x:c r="M8" s="155"/>
      <x:c r="N8" s="155"/>
      <x:c r="O8" s="155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5" t="str">
        <x:v>B15</x:v>
      </x:c>
      <x:c r="B9" s="155" t="n">
        <x:v>8.5</x:v>
      </x:c>
      <x:c r="C9" s="155" t="n">
        <x:v>0.75</x:v>
      </x:c>
      <x:c r="D9" s="155" t="n">
        <x:v>24000</x:v>
      </x:c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 t="str">
        <x:v>B20</x:v>
      </x:c>
      <x:c r="B10" s="155" t="n">
        <x:v>11.5</x:v>
      </x:c>
      <x:c r="C10" s="155" t="n">
        <x:v>0.9</x:v>
      </x:c>
      <x:c r="D10" s="155" t="n">
        <x:v>27500</x:v>
      </x:c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 t="str">
        <x:v>B25</x:v>
      </x:c>
      <x:c r="B11" s="155" t="n">
        <x:v>14.5</x:v>
      </x:c>
      <x:c r="C11" s="155" t="n">
        <x:v>1.05</x:v>
      </x:c>
      <x:c r="D11" s="155" t="n">
        <x:v>30000</x:v>
      </x:c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5" t="str">
        <x:v>B30</x:v>
      </x:c>
      <x:c r="B12" s="155" t="n">
        <x:v>17</x:v>
      </x:c>
      <x:c r="C12" s="155" t="n">
        <x:v>1.15</x:v>
      </x:c>
      <x:c r="D12" s="155" t="n">
        <x:v>32500</x:v>
      </x:c>
      <x:c r="E12" s="155"/>
      <x:c r="F12" s="155"/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B35</x:v>
      </x:c>
      <x:c r="B13" s="155" t="n">
        <x:v>19.5</x:v>
      </x:c>
      <x:c r="C13" s="155" t="n">
        <x:v>1.3</x:v>
      </x:c>
      <x:c r="D13" s="155" t="n">
        <x:v>34500</x:v>
      </x:c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B40</x:v>
      </x:c>
      <x:c r="B14" s="155" t="n">
        <x:v>22</x:v>
      </x:c>
      <x:c r="C14" s="155" t="n">
        <x:v>1.4</x:v>
      </x:c>
      <x:c r="D14" s="155" t="n">
        <x:v>36000</x:v>
      </x:c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B45</x:v>
      </x:c>
      <x:c r="B15" s="155" t="n">
        <x:v>25</x:v>
      </x:c>
      <x:c r="C15" s="155" t="n">
        <x:v>1.5</x:v>
      </x:c>
      <x:c r="D15" s="155" t="n">
        <x:v>37000</x:v>
      </x:c>
      <x:c r="E15" s="155"/>
      <x:c r="F15" s="155"/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B50</x:v>
      </x:c>
      <x:c r="B16" s="155" t="n">
        <x:v>27.5</x:v>
      </x:c>
      <x:c r="C16" s="155" t="n">
        <x:v>1.6</x:v>
      </x:c>
      <x:c r="D16" s="155" t="n">
        <x:v>38000</x:v>
      </x:c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B55</x:v>
      </x:c>
      <x:c r="B17" s="155" t="n">
        <x:v>30</x:v>
      </x:c>
      <x:c r="C17" s="155" t="n">
        <x:v>1.7</x:v>
      </x:c>
      <x:c r="D17" s="155" t="n">
        <x:v>39000</x:v>
      </x:c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B60</x:v>
      </x:c>
      <x:c r="B18" s="155" t="n">
        <x:v>33</x:v>
      </x:c>
      <x:c r="C18" s="155" t="n">
        <x:v>1.8</x:v>
      </x:c>
      <x:c r="D18" s="155" t="n">
        <x:v>39500</x:v>
      </x:c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B70</x:v>
      </x:c>
      <x:c r="B19" s="155" t="n">
        <x:v>37</x:v>
      </x:c>
      <x:c r="C19" s="155" t="n">
        <x:v>1.9</x:v>
      </x:c>
      <x:c r="D19" s="155" t="n">
        <x:v>41000</x:v>
      </x:c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B80</x:v>
      </x:c>
      <x:c r="B20" s="155" t="n">
        <x:v>41</x:v>
      </x:c>
      <x:c r="C20" s="155" t="n">
        <x:v>2.1</x:v>
      </x:c>
      <x:c r="D20" s="155" t="n">
        <x:v>42000</x:v>
      </x:c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 t="str">
        <x:v>B90</x:v>
      </x:c>
      <x:c r="B21" s="155" t="n">
        <x:v>44</x:v>
      </x:c>
      <x:c r="C21" s="155" t="n">
        <x:v>2.15</x:v>
      </x:c>
      <x:c r="D21" s="155" t="n">
        <x:v>42500</x:v>
      </x:c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 t="str">
        <x:v>B100</x:v>
      </x:c>
      <x:c r="B22" s="155" t="n">
        <x:v>47.5</x:v>
      </x:c>
      <x:c r="C22" s="155" t="n">
        <x:v>2.2</x:v>
      </x:c>
      <x:c r="D22" s="155" t="n">
        <x:v>43000</x:v>
      </x:c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6" t="str">
        <x:v>Nguồn</x:v>
      </x:c>
      <x:c r="B25" s="16" t="str">
        <x:v>Điều/Bảng</x:v>
      </x:c>
      <x:c r="C25" s="16" t="str">
        <x:v>Trang tiêu chuẩn</x:v>
      </x:c>
      <x:c r="D25" s="16" t="str">
        <x:v>Trang PDF</x:v>
      </x:c>
      <x:c r="E25" s="16" t="str">
        <x:v>Ghi chú</x:v>
      </x:c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 t="str">
        <x:v>TCVN 5574:2018</x:v>
      </x:c>
      <x:c r="B26" s="155" t="str">
        <x:v>Bảng 7; Bảng 10</x:v>
      </x:c>
      <x:c r="C26" s="155" t="str">
        <x:v>35; 38</x:v>
      </x:c>
      <x:c r="D26" s="155" t="str">
        <x:v>33; 36</x:v>
      </x:c>
      <x:c r="E26" s="155" t="str">
        <x:v>Rb, Rbt, Eb</x:v>
      </x:c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 t="str">
        <x:v>TCVN 5574:2018</x:v>
      </x:c>
      <x:c r="B27" s="155" t="str">
        <x:v>Bảng 13; Bảng 14</x:v>
      </x:c>
      <x:c r="C27" s="155" t="str">
        <x:v>47; 48</x:v>
      </x:c>
      <x:c r="D27" s="155" t="str">
        <x:v>45; 46</x:v>
      </x:c>
      <x:c r="E27" s="155" t="str">
        <x:v>Rs, Rsc, Rsw</x:v>
      </x:c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 t="str">
        <x:v>TCVN 5574:2018</x:v>
      </x:c>
      <x:c r="B28" s="155" t="str">
        <x:v>8.1.2.4.3; Bảng 16</x:v>
      </x:c>
      <x:c r="C28" s="155" t="str">
        <x:v>61–62</x:v>
      </x:c>
      <x:c r="D28" s="155" t="str">
        <x:v>59–60</x:v>
      </x:c>
      <x:c r="E28" s="155" t="str">
        <x:v>φ cho nén gần đúng tâm; nội suy tuyến tính 1D trong miền</x:v>
      </x:c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 t="str">
        <x:v>Chính sách HNL</x:v>
      </x:c>
      <x:c r="B29" s="155" t="str">
        <x:v>Không ngoại suy</x:v>
      </x:c>
      <x:c r="C29" s="155" t="str">
        <x:v>-</x:v>
      </x:c>
      <x:c r="D29" s="155" t="str">
        <x:v>-</x:v>
      </x:c>
      <x:c r="E29" s="155" t="str">
        <x:v>Ngoài miền Bảng 16 phải KHÓA TÍNH</x:v>
      </x:c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6" t="str">
        <x:v>KIỂM TRA GOLDEN – EXCEL ↔ ENGINE LOCKED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Chỉ tiêu</x:v>
      </x:c>
      <x:c r="B3" s="29" t="str">
        <x:v>Excel</x:v>
      </x:c>
      <x:c r="C3" s="29" t="str">
        <x:v>Engine Golden</x:v>
      </x:c>
      <x:c r="D3" s="29" t="str">
        <x:v>Sai lệch</x:v>
      </x:c>
      <x:c r="E3" s="29" t="str">
        <x:v>Gate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</x:v>
      </x:c>
      <x:c r="B4" s="172" t="n">
        <x:f>'06_SỨC_CHỊU_TẢI'!B4</x:f>
        <x:v>843.4285714285716</x:v>
      </x:c>
      <x:c r="C4" s="172" t="n">
        <x:v>843.4285714285716</x:v>
      </x:c>
      <x:c r="D4" s="172" t="n">
        <x:f>B4-C4</x:f>
        <x:v>0</x:v>
      </x:c>
      <x:c r="E4" s="172" t="str">
        <x:f>IF(ABS(D4)&lt;1E-6,"ĐẠT","KHÔNG KHỚP")</x:f>
        <x:v>ĐẠT</x:v>
      </x:c>
      <x:c r="F4" s="157" t="str">
        <x:v>HK2 · 10304-driven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</x:v>
      </x:c>
      <x:c r="B5" s="172" t="n">
        <x:f>'06_SỨC_CHỊU_TẢI'!B5</x:f>
        <x:v>2952</x:v>
      </x:c>
      <x:c r="C5" s="172" t="n">
        <x:v>2952</x:v>
      </x:c>
      <x:c r="D5" s="172" t="n">
        <x:f>B5-C5</x:f>
        <x:v>0</x:v>
      </x:c>
      <x:c r="E5" s="172" t="str">
        <x:f>IF(ABS(D5)&lt;1E-6,"ĐẠT","KHÔNG KHỚP")</x:f>
        <x:v>ĐẠT</x:v>
      </x:c>
      <x:c r="F5" s="157" t="str">
        <x:v>CT (50)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72" t="n">
        <x:f>'06_SỨC_CHỊU_TẢI'!B6</x:f>
        <x:v>843.4285714285716</x:v>
      </x:c>
      <x:c r="C6" s="172" t="n">
        <x:v>843.4285714285716</x:v>
      </x:c>
      <x:c r="D6" s="172" t="n">
        <x:f>B6-C6</x:f>
        <x:v>0</x:v>
      </x:c>
      <x:c r="E6" s="172" t="str">
        <x:f>IF(ABS(D6)&lt;1E-6,"ĐẠT","KHÔNG KHỚP")</x:f>
        <x:v>ĐẠT</x:v>
      </x:c>
      <x:c r="F6" s="157" t="str">
        <x:v>min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72" t="n">
        <x:f>'06_SỨC_CHỊU_TẢI'!B7</x:f>
        <x:v>1.2</x:v>
      </x:c>
      <x:c r="C7" s="172" t="n">
        <x:v>1.2</x:v>
      </x:c>
      <x:c r="D7" s="172" t="n">
        <x:f>B7-C7</x:f>
        <x:v>0</x:v>
      </x:c>
      <x:c r="E7" s="172" t="str">
        <x:f>IF(ABS(D7)&lt;1E-6,"ĐẠT","KHÔNG KHỚP")</x:f>
        <x:v>ĐẠT</x:v>
      </x:c>
      <x:c r="F7" s="157" t="str">
        <x:v>sau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</x:v>
      </x:c>
      <x:c r="B8" s="172" t="n">
        <x:f>'06_SỨC_CHỊU_TẢI'!B8</x:f>
        <x:v>702.857142857143</x:v>
      </x:c>
      <x:c r="C8" s="172" t="n">
        <x:v>702.857142857143</x:v>
      </x:c>
      <x:c r="D8" s="172" t="n">
        <x:f>B8-C8</x:f>
        <x:v>0</x:v>
      </x:c>
      <x:c r="E8" s="172" t="str">
        <x:f>IF(ABS(D8)&lt;1E-6,"ĐẠT","KHÔNG KHỚP")</x:f>
        <x:v>ĐẠT</x:v>
      </x:c>
      <x:c r="F8" s="157" t="str">
        <x:v>Rpile/γn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Cọc bất lợi</x:v>
      </x:c>
      <x:c r="B9" s="172" t="str">
        <x:f>'09_CỌC_BẤT_LỢI'!B4</x:f>
        <x:v>168</x:v>
      </x:c>
      <x:c r="C9" s="172" t="str">
        <x:v>168</x:v>
      </x:c>
      <x:c r="D9" s="172"/>
      <x:c r="E9" s="172" t="str">
        <x:f>IF(B9=C9,"ĐẠT","KHÔNG KHỚP")</x:f>
        <x:v>ĐẠT</x:v>
      </x:c>
      <x:c r="F9" s="157" t="str">
        <x:v>Point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Tổ hợp bất lợi</x:v>
      </x:c>
      <x:c r="B10" s="172" t="str">
        <x:f>'09_CỌC_BẤT_LỢI'!B5</x:f>
        <x:v>EULS</x:v>
      </x:c>
      <x:c r="C10" s="172" t="str">
        <x:v>EULS</x:v>
      </x:c>
      <x:c r="D10" s="172"/>
      <x:c r="E10" s="172" t="str">
        <x:f>IF(B10=C10,"ĐẠT","KHÔNG KHỚP")</x:f>
        <x:v>ĐẠT</x:v>
      </x:c>
      <x:c r="F10" s="157" t="str">
        <x:v>Combination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Hệ số sử dụng bất lợi</x:v>
      </x:c>
      <x:c r="B11" s="172" t="n">
        <x:f>'09_CỌC_BẤT_LỢI'!B8</x:f>
        <x:v>0.5197244623788765</x:v>
      </x:c>
      <x:c r="C11" s="172" t="n">
        <x:v>0.5197244623788765</x:v>
      </x:c>
      <x:c r="D11" s="172" t="n">
        <x:f>B11-C11</x:f>
        <x:v>0</x:v>
      </x:c>
      <x:c r="E11" s="172" t="str">
        <x:f>IF(ABS(D11)&lt;1E-6,"ĐẠT","KHÔNG KHỚP")</x:f>
        <x:v>ĐẠT</x:v>
      </x:c>
      <x:c r="F11" s="157" t="str">
        <x:v>max utilization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174" t="str">
        <x:f>'09_CỌC_BẤT_LỢI'!B12</x:f>
        <x:v>ĐẠT</x:v>
      </x:c>
      <x:c r="C12" s="174" t="str">
        <x:v>ĐẠT</x:v>
      </x:c>
      <x:c r="D12" s="174"/>
      <x:c r="E12" s="174" t="str">
        <x:f>IF(B12=C12,"ĐẠT","KHÔNG KHỚP")</x:f>
        <x:v>ĐẠT</x:v>
      </x:c>
      <x:c r="F12" s="159" t="str">
        <x:v>ĐẠT/KHÔNG ĐẠT/KHÓA TÍNH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6" t="str">
        <x:v>Gate tổng</x:v>
      </x:c>
      <x:c r="B15" s="16" t="str">
        <x:v>Kết quả</x:v>
      </x:c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Test Node Pass 4→7</x:v>
      </x:c>
      <x:c r="B16" s="155" t="str">
        <x:v>PASS 8.1 SERVER-SIDE EXPORT</x:v>
      </x:c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DCE↔CSV</x:v>
      </x:c>
      <x:c r="B17" s="155" t="str">
        <x:v>Kết quả vừa tính được ghi động vào template v18</x:v>
      </x:c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Formula error scan</x:v>
      </x:c>
      <x:c r="B18" s="155" t="str">
        <x:v>ĐẠT</x:v>
      </x:c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Search Brain</x:v>
      </x:c>
      <x:c r="B19" s="155" t="str">
        <x:v>Không sửa</x:v>
      </x:c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 Pass 7</x:v>
      </x:c>
      <x:c r="B20" s="155" t="str">
        <x:v>RUNTIME GOLDEN</x:v>
      </x:c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