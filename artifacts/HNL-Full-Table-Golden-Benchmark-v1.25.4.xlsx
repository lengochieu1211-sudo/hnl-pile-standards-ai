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7889debfa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ỔNG_HỢP" sheetId="1" r:id="Rea694c448f14432e"/>
    <x:sheet xmlns:r="http://schemas.openxmlformats.org/officeDocument/2006/relationships" name="01_GOLDEN_CASES" sheetId="2" r:id="Ra2aed6025efc4d3e"/>
    <x:sheet xmlns:r="http://schemas.openxmlformats.org/officeDocument/2006/relationships" name="80_BẢNG8_REGRESSION" sheetId="3" r:id="Rf236ad45aeba434f"/>
    <x:sheet xmlns:r="http://schemas.openxmlformats.org/officeDocument/2006/relationships" name="90_POLICY_NGUỒN" sheetId="4" r:id="R672a32c30695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000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64c5af2ed4427" /><Relationship Type="http://schemas.openxmlformats.org/officeDocument/2006/relationships/theme" Target="/xl/theme/theme1.xml" Id="R61d03051f746469e" /><Relationship Type="http://schemas.openxmlformats.org/officeDocument/2006/relationships/sharedStrings" Target="/xl/sharedStrings.xml" Id="R2bf25732d89947a8" /><Relationship Type="http://schemas.openxmlformats.org/officeDocument/2006/relationships/worksheet" Target="/xl/worksheets/sheet1.xml" Id="Rea694c448f14432e" /><Relationship Type="http://schemas.openxmlformats.org/officeDocument/2006/relationships/worksheet" Target="/xl/worksheets/sheet2.xml" Id="Ra2aed6025efc4d3e" /><Relationship Type="http://schemas.openxmlformats.org/officeDocument/2006/relationships/worksheet" Target="/xl/worksheets/sheet3.xml" Id="Rf236ad45aeba434f" /><Relationship Type="http://schemas.openxmlformats.org/officeDocument/2006/relationships/worksheet" Target="/xl/worksheets/sheet4.xml" Id="R672a32c3069549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2f67c3e9594a7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Số case</c:v>
          </c:tx>
          <c:cat>
            <c:strRef>
              <c:f>'00_TỔNG_HỢP'!$A$13:$A$22</c:f>
              <c:strCache>
                <c:ptCount val="0"/>
              </c:strCache>
            </c:strRef>
          </c:cat>
          <c:val>
            <c:numRef>
              <c:f>'00_TỔNG_HỢP'!$B$13:$B$22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2f67c3e9594a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ldenCasesTable" displayName="GoldenCasesTable" ref="A3:Z1133" headerRowCount="1" totalsRowCount="0" totalsRowShown="0">
  <x:tableColumns count="26">
    <x:tableColumn id="1" name="ID"/>
    <x:tableColumn id="2" name="Bảng"/>
    <x:tableColumn id="3" name="Nhánh"/>
    <x:tableColumn id="4" name="Loại case"/>
    <x:tableColumn id="5" name="Input"/>
    <x:tableColumn id="6" name="Kind"/>
    <x:tableColumn id="7" name="x"/>
    <x:tableColumn id="8" name="y"/>
    <x:tableColumn id="9" name="x1"/>
    <x:tableColumn id="10" name="x2"/>
    <x:tableColumn id="11" name="y1"/>
    <x:tableColumn id="12" name="y2"/>
    <x:tableColumn id="13" name="v1"/>
    <x:tableColumn id="14" name="v2"/>
    <x:tableColumn id="15" name="q11"/>
    <x:tableColumn id="16" name="q12"/>
    <x:tableColumn id="17" name="q21"/>
    <x:tableColumn id="18" name="q22"/>
    <x:tableColumn id="19" name="HNL"/>
    <x:tableColumn id="20" name="Expected chuẩn"/>
    <x:tableColumn id="21" name="Excel formula"/>
    <x:tableColumn id="22" name="Sai lệch"/>
    <x:tableColumn id="23" name="HNL↔Expected"/>
    <x:tableColumn id="24" name="HNL↔Excel"/>
    <x:tableColumn id="25" name="Nguồn"/>
    <x:tableColumn id="26" name="Lỗi HN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f977740c0b45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64434b10d425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78" hidden="0" customWidth="1"/>
    <x:col min="5" max="5" width="16" hidden="0" customWidth="1"/>
  </x:cols>
  <x:sheetData>
    <x:row r="1" ht="30" customHeight="1">
      <x:c r="A1" s="6" t="str">
        <x:v>HNL v1.25.4 · FULL TABLE GOLDEN BENCHMARK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16" t="str">
        <x:v>Chỉ tiêu</x:v>
      </x:c>
      <x:c r="B3" s="16" t="str">
        <x:v>Giá trị</x:v>
      </x:c>
      <x:c r="C3" s="16" t="str">
        <x:v>Trạng thái</x:v>
      </x:c>
      <x:c r="D3" s="16" t="str">
        <x:v>Ghi chú</x:v>
      </x:c>
    </x:row>
    <x:row r="4">
      <x:c r="A4" t="str">
        <x:v>Tổng Golden cases</x:v>
      </x:c>
      <x:c r="B4" t="n">
        <x:v>1130</x:v>
      </x:c>
      <x:c r="C4" t="str">
        <x:v>PASS</x:v>
      </x:c>
      <x:c r="D4" t="str">
        <x:v>Đúng mốc + giữa mốc + biên + ngoài biên + ô trống.</x:v>
      </x:c>
    </x:row>
    <x:row r="5">
      <x:c r="A5" t="str">
        <x:v>HNL PASS</x:v>
      </x:c>
      <x:c r="B5" t="n">
        <x:v>1130</x:v>
      </x:c>
      <x:c r="C5" t="str">
        <x:v>PASS</x:v>
      </x:c>
      <x:c r="D5" t="str">
        <x:v>Calculation Engine đối chiếu expected độc lập.</x:v>
      </x:c>
    </x:row>
    <x:row r="6">
      <x:c r="A6" t="str">
        <x:v>HNL FAIL</x:v>
      </x:c>
      <x:c r="B6" t="n">
        <x:v>0</x:v>
      </x:c>
      <x:c r="C6" t="str">
        <x:v>PASS</x:v>
      </x:c>
      <x:c r="D6" t="str">
        <x:v>0 lỗi sau sửa sparse-grid.</x:v>
      </x:c>
    </x:row>
    <x:row r="7">
      <x:c r="A7" t="str">
        <x:v>Bảng 8 trước sửa</x:v>
      </x:c>
      <x:c r="B7" t="n">
        <x:v>19</x:v>
      </x:c>
      <x:c r="C7" t="str">
        <x:v>ĐÃ SỬA</x:v>
      </x:c>
      <x:c r="D7" t="str">
        <x:v>19 case hợp lệ bị BLOCK sai.</x:v>
      </x:c>
    </x:row>
    <x:row r="8">
      <x:c r="A8" t="str">
        <x:v>Bảng 8 sau sửa</x:v>
      </x:c>
      <x:c r="B8" t="n">
        <x:v>121</x:v>
      </x:c>
      <x:c r="C8" t="str">
        <x:v>PASS</x:v>
      </x:c>
      <x:c r="D8" t="str">
        <x:v>121/121 PASS.</x:v>
      </x:c>
    </x:row>
    <x:row r="9">
      <x:c r="A9" t="str">
        <x:v>Regression source</x:v>
      </x:c>
      <x:c r="B9" t="n">
        <x:v>275</x:v>
      </x:c>
      <x:c r="C9" t="str">
        <x:v>PASS</x:v>
      </x:c>
      <x:c r="D9" t="str">
        <x:v>npm test thực chạy: 275/275.</x:v>
      </x:c>
    </x:row>
    <x:row r="12">
      <x:c r="A12" s="16" t="str">
        <x:v>Bảng</x:v>
      </x:c>
      <x:c r="B12" s="16" t="str">
        <x:v>Số case</x:v>
      </x:c>
      <x:c r="C12" s="16" t="str">
        <x:v>PASS</x:v>
      </x:c>
      <x:c r="D12" s="16" t="str">
        <x:v>FAIL</x:v>
      </x:c>
      <x:c r="E12" s="16" t="str">
        <x:v>Tỷ lệ</x:v>
      </x:c>
    </x:row>
    <x:row r="13">
      <x:c r="A13" t="str">
        <x:v>Bảng 2</x:v>
      </x:c>
      <x:c r="B13" t="n">
        <x:v>247</x:v>
      </x:c>
      <x:c r="C13" s="25" t="n">
        <x:v>247</x:v>
      </x:c>
      <x:c r="D13" t="n">
        <x:v>0</x:v>
      </x:c>
      <x:c r="E13" s="22" t="n">
        <x:v>1</x:v>
      </x:c>
    </x:row>
    <x:row r="14">
      <x:c r="A14" t="str">
        <x:v>Bảng 3</x:v>
      </x:c>
      <x:c r="B14" t="n">
        <x:v>342</x:v>
      </x:c>
      <x:c r="C14" s="25" t="n">
        <x:v>342</x:v>
      </x:c>
      <x:c r="D14" t="n">
        <x:v>0</x:v>
      </x:c>
      <x:c r="E14" s="22" t="n">
        <x:v>1</x:v>
      </x:c>
    </x:row>
    <x:row r="15">
      <x:c r="A15" t="str">
        <x:v>Bảng 4</x:v>
      </x:c>
      <x:c r="B15" t="n">
        <x:v>8</x:v>
      </x:c>
      <x:c r="C15" s="25" t="n">
        <x:v>8</x:v>
      </x:c>
      <x:c r="D15" t="n">
        <x:v>0</x:v>
      </x:c>
      <x:c r="E15" s="22" t="n">
        <x:v>1</x:v>
      </x:c>
    </x:row>
    <x:row r="16">
      <x:c r="A16" t="str">
        <x:v>Bảng 6</x:v>
      </x:c>
      <x:c r="B16" t="n">
        <x:v>42</x:v>
      </x:c>
      <x:c r="C16" s="25" t="n">
        <x:v>42</x:v>
      </x:c>
      <x:c r="D16" t="n">
        <x:v>0</x:v>
      </x:c>
      <x:c r="E16" s="22" t="n">
        <x:v>1</x:v>
      </x:c>
    </x:row>
    <x:row r="17">
      <x:c r="A17" t="str">
        <x:v>Bảng 7</x:v>
      </x:c>
      <x:c r="B17" t="n">
        <x:v>140</x:v>
      </x:c>
      <x:c r="C17" s="25" t="n">
        <x:v>140</x:v>
      </x:c>
      <x:c r="D17" t="n">
        <x:v>0</x:v>
      </x:c>
      <x:c r="E17" s="22" t="n">
        <x:v>1</x:v>
      </x:c>
    </x:row>
    <x:row r="18">
      <x:c r="A18" t="str">
        <x:v>Bảng 8</x:v>
      </x:c>
      <x:c r="B18" t="n">
        <x:v>121</x:v>
      </x:c>
      <x:c r="C18" s="25" t="n">
        <x:v>121</x:v>
      </x:c>
      <x:c r="D18" t="n">
        <x:v>0</x:v>
      </x:c>
      <x:c r="E18" s="22" t="n">
        <x:v>1</x:v>
      </x:c>
    </x:row>
    <x:row r="19">
      <x:c r="A19" t="str">
        <x:v>Bảng 12</x:v>
      </x:c>
      <x:c r="B19" t="n">
        <x:v>11</x:v>
      </x:c>
      <x:c r="C19" s="25" t="n">
        <x:v>11</x:v>
      </x:c>
      <x:c r="D19" t="n">
        <x:v>0</x:v>
      </x:c>
      <x:c r="E19" s="22" t="n">
        <x:v>1</x:v>
      </x:c>
    </x:row>
    <x:row r="20">
      <x:c r="A20" t="str">
        <x:v>Bảng 15</x:v>
      </x:c>
      <x:c r="B20" t="n">
        <x:v>104</x:v>
      </x:c>
      <x:c r="C20" s="25" t="n">
        <x:v>104</x:v>
      </x:c>
      <x:c r="D20" t="n">
        <x:v>0</x:v>
      </x:c>
      <x:c r="E20" s="22" t="n">
        <x:v>1</x:v>
      </x:c>
    </x:row>
    <x:row r="21">
      <x:c r="A21" t="str">
        <x:v>Bảng 16</x:v>
      </x:c>
      <x:c r="B21" t="n">
        <x:v>46</x:v>
      </x:c>
      <x:c r="C21" s="25" t="n">
        <x:v>46</x:v>
      </x:c>
      <x:c r="D21" t="n">
        <x:v>0</x:v>
      </x:c>
      <x:c r="E21" s="22" t="n">
        <x:v>1</x:v>
      </x:c>
    </x:row>
    <x:row r="22">
      <x:c r="A22" t="str">
        <x:v>Bảng 17</x:v>
      </x:c>
      <x:c r="B22" t="n">
        <x:v>69</x:v>
      </x:c>
      <x:c r="C22" s="25" t="n">
        <x:v>69</x:v>
      </x:c>
      <x:c r="D22" t="n">
        <x:v>0</x:v>
      </x:c>
      <x:c r="E22" s="22" t="n">
        <x:v>1</x:v>
      </x:c>
    </x:row>
  </x:sheetData>
  <x:mergeCells>
    <x:mergeCell ref="A1:J1"/>
  </x:mergeCells>
  <x:conditionalFormatting sqref="C4:C9">
    <x:cfRule type="expression" dxfId="0" priority="1">
      <x:formula>C4="PASS"</x:formula>
    </x:cfRule>
    <x:cfRule type="expression" dxfId="1" priority="2">
      <x:formula>C4="ĐÃ SỬA"</x:formula>
    </x:cfRule>
  </x:conditionalFormatting>
  <x:pageMargins left="0.7" right="0.7" top="0.75" bottom="0.75" header="0.3" footer="0.3"/>
  <x:drawing xmlns:r="http://schemas.openxmlformats.org/officeDocument/2006/relationships" r:id="Rb8f977740c0b458c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30" hidden="0" customWidth="1"/>
    <x:col min="4" max="4" width="18" hidden="0" customWidth="1"/>
    <x:col min="5" max="5" width="3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  <x:col min="23" max="23" width="18" hidden="0" customWidth="1"/>
    <x:col min="24" max="24" width="18" hidden="0" customWidth="1"/>
    <x:col min="25" max="25" width="34" hidden="0" customWidth="1"/>
    <x:col min="26" max="26" width="48" hidden="0" customWidth="1"/>
  </x:cols>
  <x:sheetData>
    <x:row r="1" ht="30" customHeight="1">
      <x:c r="A1" s="6" t="str">
        <x:v>01 · 1.130 CASE · HNL ↔ EXCEL TỪNG DÒNG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3">
      <x:c r="A3" s="16" t="str">
        <x:v>ID</x:v>
      </x:c>
      <x:c r="B3" s="16" t="str">
        <x:v>Bảng</x:v>
      </x:c>
      <x:c r="C3" s="16" t="str">
        <x:v>Nhánh</x:v>
      </x:c>
      <x:c r="D3" s="16" t="str">
        <x:v>Loại case</x:v>
      </x:c>
      <x:c r="E3" s="16" t="str">
        <x:v>Input</x:v>
      </x:c>
      <x:c r="F3" s="16" t="str">
        <x:v>Kind</x:v>
      </x:c>
      <x:c r="G3" s="16" t="str">
        <x:v>x</x:v>
      </x:c>
      <x:c r="H3" s="16" t="str">
        <x:v>y</x:v>
      </x:c>
      <x:c r="I3" s="16" t="str">
        <x:v>x1</x:v>
      </x:c>
      <x:c r="J3" s="16" t="str">
        <x:v>x2</x:v>
      </x:c>
      <x:c r="K3" s="16" t="str">
        <x:v>y1</x:v>
      </x:c>
      <x:c r="L3" s="16" t="str">
        <x:v>y2</x:v>
      </x:c>
      <x:c r="M3" s="16" t="str">
        <x:v>v1</x:v>
      </x:c>
      <x:c r="N3" s="16" t="str">
        <x:v>v2</x:v>
      </x:c>
      <x:c r="O3" s="16" t="str">
        <x:v>q11</x:v>
      </x:c>
      <x:c r="P3" s="16" t="str">
        <x:v>q12</x:v>
      </x:c>
      <x:c r="Q3" s="16" t="str">
        <x:v>q21</x:v>
      </x:c>
      <x:c r="R3" s="16" t="str">
        <x:v>q22</x:v>
      </x:c>
      <x:c r="S3" s="16" t="str">
        <x:v>HNL</x:v>
      </x:c>
      <x:c r="T3" s="16" t="str">
        <x:v>Expected chuẩn</x:v>
      </x:c>
      <x:c r="U3" s="16" t="str">
        <x:v>Excel formula</x:v>
      </x:c>
      <x:c r="V3" s="16" t="str">
        <x:v>Sai lệch</x:v>
      </x:c>
      <x:c r="W3" s="16" t="str">
        <x:v>HNL↔Expected</x:v>
      </x:c>
      <x:c r="X3" s="16" t="str">
        <x:v>HNL↔Excel</x:v>
      </x:c>
      <x:c r="Y3" s="16" t="str">
        <x:v>Nguồn</x:v>
      </x:c>
      <x:c r="Z3" s="16" t="str">
        <x:v>Lỗi HNL</x:v>
      </x:c>
    </x:row>
    <x:row r="4">
      <x:c r="A4" t="str">
        <x:v>G0001</x:v>
      </x:c>
      <x:c r="B4" t="str">
        <x:v>Bảng 2</x:v>
      </x:c>
      <x:c r="C4" t="str">
        <x:v>sand:gravelly</x:v>
      </x:c>
      <x:c r="D4" t="str">
        <x:v>EXACT</x:v>
      </x:c>
      <x:c r="E4" t="str">
        <x:v>{"z":3}</x:v>
      </x:c>
      <x:c r="F4" t="str">
        <x:v>EXACT</x:v>
      </x:c>
      <x:c r="G4"/>
      <x:c r="H4"/>
      <x:c r="I4"/>
      <x:c r="J4"/>
      <x:c r="K4"/>
      <x:c r="L4"/>
      <x:c r="M4" t="n">
        <x:v>7500</x:v>
      </x:c>
      <x:c r="N4"/>
      <x:c r="O4"/>
      <x:c r="P4"/>
      <x:c r="Q4"/>
      <x:c r="R4"/>
      <x:c r="S4" t="n">
        <x:v>7500</x:v>
      </x:c>
      <x:c r="T4" t="n">
        <x:v>7500</x:v>
      </x:c>
      <x:c r="U4" s="28" t="n">
        <x:f>T4</x:f>
        <x:v>7500</x:v>
      </x:c>
      <x:c r="V4" s="32" t="n">
        <x:f>IF(AND(ISNUMBER(S4),ISNUMBER(U4)),ABS(S4-U4),IF(S4=U4,0,1))</x:f>
        <x:v>0</x:v>
      </x:c>
      <x:c r="W4" s="30" t="str">
        <x:v>PASS</x:v>
      </x:c>
      <x:c r="X4" s="28" t="str">
        <x:f>IF(V4&lt;=1E-9,"PASS","FAIL")</x:f>
        <x:v>PASS</x:v>
      </x:c>
      <x:c r="Y4" t="str">
        <x:v>TCVN 10304:2025 tr.32–33</x:v>
      </x:c>
      <x:c r="Z4" t="str"/>
    </x:row>
    <x:row r="5">
      <x:c r="A5" t="str">
        <x:v>G0002</x:v>
      </x:c>
      <x:c r="B5" t="str">
        <x:v>Bảng 2</x:v>
      </x:c>
      <x:c r="C5" t="str">
        <x:v>sand:gravelly</x:v>
      </x:c>
      <x:c r="D5" t="str">
        <x:v>EXACT</x:v>
      </x:c>
      <x:c r="E5" t="str">
        <x:v>{"z":4}</x:v>
      </x:c>
      <x:c r="F5" t="str">
        <x:v>EXACT</x:v>
      </x:c>
      <x:c r="G5"/>
      <x:c r="H5"/>
      <x:c r="I5"/>
      <x:c r="J5"/>
      <x:c r="K5"/>
      <x:c r="L5"/>
      <x:c r="M5" t="n">
        <x:v>8300</x:v>
      </x:c>
      <x:c r="N5"/>
      <x:c r="O5"/>
      <x:c r="P5"/>
      <x:c r="Q5"/>
      <x:c r="R5"/>
      <x:c r="S5" t="n">
        <x:v>8300</x:v>
      </x:c>
      <x:c r="T5" t="n">
        <x:v>8300</x:v>
      </x:c>
      <x:c r="U5" s="28" t="n">
        <x:f>T5</x:f>
        <x:v>8300</x:v>
      </x:c>
      <x:c r="V5" s="32" t="n">
        <x:f>IF(AND(ISNUMBER(S5),ISNUMBER(U5)),ABS(S5-U5),IF(S5=U5,0,1))</x:f>
        <x:v>0</x:v>
      </x:c>
      <x:c r="W5" s="30" t="str">
        <x:v>PASS</x:v>
      </x:c>
      <x:c r="X5" s="28" t="str">
        <x:f>IF(V5&lt;=1E-9,"PASS","FAIL")</x:f>
        <x:v>PASS</x:v>
      </x:c>
      <x:c r="Y5" t="str">
        <x:v>TCVN 10304:2025 tr.32–33</x:v>
      </x:c>
      <x:c r="Z5" t="str"/>
    </x:row>
    <x:row r="6">
      <x:c r="A6" t="str">
        <x:v>G0003</x:v>
      </x:c>
      <x:c r="B6" t="str">
        <x:v>Bảng 2</x:v>
      </x:c>
      <x:c r="C6" t="str">
        <x:v>sand:gravelly</x:v>
      </x:c>
      <x:c r="D6" t="str">
        <x:v>EXACT</x:v>
      </x:c>
      <x:c r="E6" t="str">
        <x:v>{"z":5}</x:v>
      </x:c>
      <x:c r="F6" t="str">
        <x:v>EXACT</x:v>
      </x:c>
      <x:c r="G6"/>
      <x:c r="H6"/>
      <x:c r="I6"/>
      <x:c r="J6"/>
      <x:c r="K6"/>
      <x:c r="L6"/>
      <x:c r="M6" t="n">
        <x:v>8800</x:v>
      </x:c>
      <x:c r="N6"/>
      <x:c r="O6"/>
      <x:c r="P6"/>
      <x:c r="Q6"/>
      <x:c r="R6"/>
      <x:c r="S6" t="n">
        <x:v>8800</x:v>
      </x:c>
      <x:c r="T6" t="n">
        <x:v>8800</x:v>
      </x:c>
      <x:c r="U6" s="28" t="n">
        <x:f>T6</x:f>
        <x:v>8800</x:v>
      </x:c>
      <x:c r="V6" s="32" t="n">
        <x:f>IF(AND(ISNUMBER(S6),ISNUMBER(U6)),ABS(S6-U6),IF(S6=U6,0,1))</x:f>
        <x:v>0</x:v>
      </x:c>
      <x:c r="W6" s="30" t="str">
        <x:v>PASS</x:v>
      </x:c>
      <x:c r="X6" s="28" t="str">
        <x:f>IF(V6&lt;=1E-9,"PASS","FAIL")</x:f>
        <x:v>PASS</x:v>
      </x:c>
      <x:c r="Y6" t="str">
        <x:v>TCVN 10304:2025 tr.32–33</x:v>
      </x:c>
      <x:c r="Z6" t="str"/>
    </x:row>
    <x:row r="7">
      <x:c r="A7" t="str">
        <x:v>G0004</x:v>
      </x:c>
      <x:c r="B7" t="str">
        <x:v>Bảng 2</x:v>
      </x:c>
      <x:c r="C7" t="str">
        <x:v>sand:gravelly</x:v>
      </x:c>
      <x:c r="D7" t="str">
        <x:v>EXACT</x:v>
      </x:c>
      <x:c r="E7" t="str">
        <x:v>{"z":7}</x:v>
      </x:c>
      <x:c r="F7" t="str">
        <x:v>EXACT</x:v>
      </x:c>
      <x:c r="G7"/>
      <x:c r="H7"/>
      <x:c r="I7"/>
      <x:c r="J7"/>
      <x:c r="K7"/>
      <x:c r="L7"/>
      <x:c r="M7" t="n">
        <x:v>9700</x:v>
      </x:c>
      <x:c r="N7"/>
      <x:c r="O7"/>
      <x:c r="P7"/>
      <x:c r="Q7"/>
      <x:c r="R7"/>
      <x:c r="S7" t="n">
        <x:v>9700</x:v>
      </x:c>
      <x:c r="T7" t="n">
        <x:v>9700</x:v>
      </x:c>
      <x:c r="U7" s="28" t="n">
        <x:f>T7</x:f>
        <x:v>9700</x:v>
      </x:c>
      <x:c r="V7" s="32" t="n">
        <x:f>IF(AND(ISNUMBER(S7),ISNUMBER(U7)),ABS(S7-U7),IF(S7=U7,0,1))</x:f>
        <x:v>0</x:v>
      </x:c>
      <x:c r="W7" s="30" t="str">
        <x:v>PASS</x:v>
      </x:c>
      <x:c r="X7" s="28" t="str">
        <x:f>IF(V7&lt;=1E-9,"PASS","FAIL")</x:f>
        <x:v>PASS</x:v>
      </x:c>
      <x:c r="Y7" t="str">
        <x:v>TCVN 10304:2025 tr.32–33</x:v>
      </x:c>
      <x:c r="Z7" t="str"/>
    </x:row>
    <x:row r="8">
      <x:c r="A8" t="str">
        <x:v>G0005</x:v>
      </x:c>
      <x:c r="B8" t="str">
        <x:v>Bảng 2</x:v>
      </x:c>
      <x:c r="C8" t="str">
        <x:v>sand:gravelly</x:v>
      </x:c>
      <x:c r="D8" t="str">
        <x:v>EXACT</x:v>
      </x:c>
      <x:c r="E8" t="str">
        <x:v>{"z":10}</x:v>
      </x:c>
      <x:c r="F8" t="str">
        <x:v>EXACT</x:v>
      </x:c>
      <x:c r="G8"/>
      <x:c r="H8"/>
      <x:c r="I8"/>
      <x:c r="J8"/>
      <x:c r="K8"/>
      <x:c r="L8"/>
      <x:c r="M8" t="n">
        <x:v>10500</x:v>
      </x:c>
      <x:c r="N8"/>
      <x:c r="O8"/>
      <x:c r="P8"/>
      <x:c r="Q8"/>
      <x:c r="R8"/>
      <x:c r="S8" t="n">
        <x:v>10500</x:v>
      </x:c>
      <x:c r="T8" t="n">
        <x:v>10500</x:v>
      </x:c>
      <x:c r="U8" s="28" t="n">
        <x:f>T8</x:f>
        <x:v>10500</x:v>
      </x:c>
      <x:c r="V8" s="32" t="n">
        <x:f>IF(AND(ISNUMBER(S8),ISNUMBER(U8)),ABS(S8-U8),IF(S8=U8,0,1))</x:f>
        <x:v>0</x:v>
      </x:c>
      <x:c r="W8" s="30" t="str">
        <x:v>PASS</x:v>
      </x:c>
      <x:c r="X8" s="28" t="str">
        <x:f>IF(V8&lt;=1E-9,"PASS","FAIL")</x:f>
        <x:v>PASS</x:v>
      </x:c>
      <x:c r="Y8" t="str">
        <x:v>TCVN 10304:2025 tr.32–33</x:v>
      </x:c>
      <x:c r="Z8" t="str"/>
    </x:row>
    <x:row r="9">
      <x:c r="A9" t="str">
        <x:v>G0006</x:v>
      </x:c>
      <x:c r="B9" t="str">
        <x:v>Bảng 2</x:v>
      </x:c>
      <x:c r="C9" t="str">
        <x:v>sand:gravelly</x:v>
      </x:c>
      <x:c r="D9" t="str">
        <x:v>EXACT</x:v>
      </x:c>
      <x:c r="E9" t="str">
        <x:v>{"z":15}</x:v>
      </x:c>
      <x:c r="F9" t="str">
        <x:v>EXACT</x:v>
      </x:c>
      <x:c r="G9"/>
      <x:c r="H9"/>
      <x:c r="I9"/>
      <x:c r="J9"/>
      <x:c r="K9"/>
      <x:c r="L9"/>
      <x:c r="M9" t="n">
        <x:v>11700</x:v>
      </x:c>
      <x:c r="N9"/>
      <x:c r="O9"/>
      <x:c r="P9"/>
      <x:c r="Q9"/>
      <x:c r="R9"/>
      <x:c r="S9" t="n">
        <x:v>11700</x:v>
      </x:c>
      <x:c r="T9" t="n">
        <x:v>11700</x:v>
      </x:c>
      <x:c r="U9" s="28" t="n">
        <x:f>T9</x:f>
        <x:v>11700</x:v>
      </x:c>
      <x:c r="V9" s="32" t="n">
        <x:f>IF(AND(ISNUMBER(S9),ISNUMBER(U9)),ABS(S9-U9),IF(S9=U9,0,1))</x:f>
        <x:v>0</x:v>
      </x:c>
      <x:c r="W9" s="30" t="str">
        <x:v>PASS</x:v>
      </x:c>
      <x:c r="X9" s="28" t="str">
        <x:f>IF(V9&lt;=1E-9,"PASS","FAIL")</x:f>
        <x:v>PASS</x:v>
      </x:c>
      <x:c r="Y9" t="str">
        <x:v>TCVN 10304:2025 tr.32–33</x:v>
      </x:c>
      <x:c r="Z9" t="str"/>
    </x:row>
    <x:row r="10">
      <x:c r="A10" t="str">
        <x:v>G0007</x:v>
      </x:c>
      <x:c r="B10" t="str">
        <x:v>Bảng 2</x:v>
      </x:c>
      <x:c r="C10" t="str">
        <x:v>sand:gravelly</x:v>
      </x:c>
      <x:c r="D10" t="str">
        <x:v>EXACT</x:v>
      </x:c>
      <x:c r="E10" t="str">
        <x:v>{"z":20}</x:v>
      </x:c>
      <x:c r="F10" t="str">
        <x:v>EXACT</x:v>
      </x:c>
      <x:c r="G10"/>
      <x:c r="H10"/>
      <x:c r="I10"/>
      <x:c r="J10"/>
      <x:c r="K10"/>
      <x:c r="L10"/>
      <x:c r="M10" t="n">
        <x:v>12600</x:v>
      </x:c>
      <x:c r="N10"/>
      <x:c r="O10"/>
      <x:c r="P10"/>
      <x:c r="Q10"/>
      <x:c r="R10"/>
      <x:c r="S10" t="n">
        <x:v>12600</x:v>
      </x:c>
      <x:c r="T10" t="n">
        <x:v>12600</x:v>
      </x:c>
      <x:c r="U10" s="28" t="n">
        <x:f>T10</x:f>
        <x:v>12600</x:v>
      </x:c>
      <x:c r="V10" s="32" t="n">
        <x:f>IF(AND(ISNUMBER(S10),ISNUMBER(U10)),ABS(S10-U10),IF(S10=U10,0,1))</x:f>
        <x:v>0</x:v>
      </x:c>
      <x:c r="W10" s="30" t="str">
        <x:v>PASS</x:v>
      </x:c>
      <x:c r="X10" s="28" t="str">
        <x:f>IF(V10&lt;=1E-9,"PASS","FAIL")</x:f>
        <x:v>PASS</x:v>
      </x:c>
      <x:c r="Y10" t="str">
        <x:v>TCVN 10304:2025 tr.32–33</x:v>
      </x:c>
      <x:c r="Z10" t="str"/>
    </x:row>
    <x:row r="11">
      <x:c r="A11" t="str">
        <x:v>G0008</x:v>
      </x:c>
      <x:c r="B11" t="str">
        <x:v>Bảng 2</x:v>
      </x:c>
      <x:c r="C11" t="str">
        <x:v>sand:gravelly</x:v>
      </x:c>
      <x:c r="D11" t="str">
        <x:v>EXACT</x:v>
      </x:c>
      <x:c r="E11" t="str">
        <x:v>{"z":25}</x:v>
      </x:c>
      <x:c r="F11" t="str">
        <x:v>EXACT</x:v>
      </x:c>
      <x:c r="G11"/>
      <x:c r="H11"/>
      <x:c r="I11"/>
      <x:c r="J11"/>
      <x:c r="K11"/>
      <x:c r="L11"/>
      <x:c r="M11" t="n">
        <x:v>13400</x:v>
      </x:c>
      <x:c r="N11"/>
      <x:c r="O11"/>
      <x:c r="P11"/>
      <x:c r="Q11"/>
      <x:c r="R11"/>
      <x:c r="S11" t="n">
        <x:v>13400</x:v>
      </x:c>
      <x:c r="T11" t="n">
        <x:v>13400</x:v>
      </x:c>
      <x:c r="U11" s="28" t="n">
        <x:f>T11</x:f>
        <x:v>13400</x:v>
      </x:c>
      <x:c r="V11" s="32" t="n">
        <x:f>IF(AND(ISNUMBER(S11),ISNUMBER(U11)),ABS(S11-U11),IF(S11=U11,0,1))</x:f>
        <x:v>0</x:v>
      </x:c>
      <x:c r="W11" s="30" t="str">
        <x:v>PASS</x:v>
      </x:c>
      <x:c r="X11" s="28" t="str">
        <x:f>IF(V11&lt;=1E-9,"PASS","FAIL")</x:f>
        <x:v>PASS</x:v>
      </x:c>
      <x:c r="Y11" t="str">
        <x:v>TCVN 10304:2025 tr.32–33</x:v>
      </x:c>
      <x:c r="Z11" t="str"/>
    </x:row>
    <x:row r="12">
      <x:c r="A12" t="str">
        <x:v>G0009</x:v>
      </x:c>
      <x:c r="B12" t="str">
        <x:v>Bảng 2</x:v>
      </x:c>
      <x:c r="C12" t="str">
        <x:v>sand:gravelly</x:v>
      </x:c>
      <x:c r="D12" t="str">
        <x:v>EXACT</x:v>
      </x:c>
      <x:c r="E12" t="str">
        <x:v>{"z":30}</x:v>
      </x:c>
      <x:c r="F12" t="str">
        <x:v>EXACT</x:v>
      </x:c>
      <x:c r="G12"/>
      <x:c r="H12"/>
      <x:c r="I12"/>
      <x:c r="J12"/>
      <x:c r="K12"/>
      <x:c r="L12"/>
      <x:c r="M12" t="n">
        <x:v>14200</x:v>
      </x:c>
      <x:c r="N12"/>
      <x:c r="O12"/>
      <x:c r="P12"/>
      <x:c r="Q12"/>
      <x:c r="R12"/>
      <x:c r="S12" t="n">
        <x:v>14200</x:v>
      </x:c>
      <x:c r="T12" t="n">
        <x:v>14200</x:v>
      </x:c>
      <x:c r="U12" s="28" t="n">
        <x:f>T12</x:f>
        <x:v>14200</x:v>
      </x:c>
      <x:c r="V12" s="32" t="n">
        <x:f>IF(AND(ISNUMBER(S12),ISNUMBER(U12)),ABS(S12-U12),IF(S12=U12,0,1))</x:f>
        <x:v>0</x:v>
      </x:c>
      <x:c r="W12" s="30" t="str">
        <x:v>PASS</x:v>
      </x:c>
      <x:c r="X12" s="28" t="str">
        <x:f>IF(V12&lt;=1E-9,"PASS","FAIL")</x:f>
        <x:v>PASS</x:v>
      </x:c>
      <x:c r="Y12" t="str">
        <x:v>TCVN 10304:2025 tr.32–33</x:v>
      </x:c>
      <x:c r="Z12" t="str"/>
    </x:row>
    <x:row r="13">
      <x:c r="A13" t="str">
        <x:v>G0010</x:v>
      </x:c>
      <x:c r="B13" t="str">
        <x:v>Bảng 2</x:v>
      </x:c>
      <x:c r="C13" t="str">
        <x:v>sand:gravelly</x:v>
      </x:c>
      <x:c r="D13" t="str">
        <x:v>EXACT</x:v>
      </x:c>
      <x:c r="E13" t="str">
        <x:v>{"z":35}</x:v>
      </x:c>
      <x:c r="F13" t="str">
        <x:v>EXACT</x:v>
      </x:c>
      <x:c r="G13"/>
      <x:c r="H13"/>
      <x:c r="I13"/>
      <x:c r="J13"/>
      <x:c r="K13"/>
      <x:c r="L13"/>
      <x:c r="M13" t="n">
        <x:v>15000</x:v>
      </x:c>
      <x:c r="N13"/>
      <x:c r="O13"/>
      <x:c r="P13"/>
      <x:c r="Q13"/>
      <x:c r="R13"/>
      <x:c r="S13" t="n">
        <x:v>15000</x:v>
      </x:c>
      <x:c r="T13" t="n">
        <x:v>15000</x:v>
      </x:c>
      <x:c r="U13" s="28" t="n">
        <x:f>T13</x:f>
        <x:v>15000</x:v>
      </x:c>
      <x:c r="V13" s="32" t="n">
        <x:f>IF(AND(ISNUMBER(S13),ISNUMBER(U13)),ABS(S13-U13),IF(S13=U13,0,1))</x:f>
        <x:v>0</x:v>
      </x:c>
      <x:c r="W13" s="30" t="str">
        <x:v>PASS</x:v>
      </x:c>
      <x:c r="X13" s="28" t="str">
        <x:f>IF(V13&lt;=1E-9,"PASS","FAIL")</x:f>
        <x:v>PASS</x:v>
      </x:c>
      <x:c r="Y13" t="str">
        <x:v>TCVN 10304:2025 tr.32–33</x:v>
      </x:c>
      <x:c r="Z13" t="str"/>
    </x:row>
    <x:row r="14">
      <x:c r="A14" t="str">
        <x:v>G0011</x:v>
      </x:c>
      <x:c r="B14" t="str">
        <x:v>Bảng 2</x:v>
      </x:c>
      <x:c r="C14" t="str">
        <x:v>sand:gravelly</x:v>
      </x:c>
      <x:c r="D14" t="str">
        <x:v>EXACT</x:v>
      </x:c>
      <x:c r="E14" t="str">
        <x:v>{"z":40}</x:v>
      </x:c>
      <x:c r="F14" t="str">
        <x:v>EXACT</x:v>
      </x:c>
      <x:c r="G14"/>
      <x:c r="H14"/>
      <x:c r="I14"/>
      <x:c r="J14"/>
      <x:c r="K14"/>
      <x:c r="L14"/>
      <x:c r="M14" t="n">
        <x:v>15800</x:v>
      </x:c>
      <x:c r="N14"/>
      <x:c r="O14"/>
      <x:c r="P14"/>
      <x:c r="Q14"/>
      <x:c r="R14"/>
      <x:c r="S14" t="n">
        <x:v>15800</x:v>
      </x:c>
      <x:c r="T14" t="n">
        <x:v>15800</x:v>
      </x:c>
      <x:c r="U14" s="28" t="n">
        <x:f>T14</x:f>
        <x:v>15800</x:v>
      </x:c>
      <x:c r="V14" s="32" t="n">
        <x:f>IF(AND(ISNUMBER(S14),ISNUMBER(U14)),ABS(S14-U14),IF(S14=U14,0,1))</x:f>
        <x:v>0</x:v>
      </x:c>
      <x:c r="W14" s="30" t="str">
        <x:v>PASS</x:v>
      </x:c>
      <x:c r="X14" s="28" t="str">
        <x:f>IF(V14&lt;=1E-9,"PASS","FAIL")</x:f>
        <x:v>PASS</x:v>
      </x:c>
      <x:c r="Y14" t="str">
        <x:v>TCVN 10304:2025 tr.32–33</x:v>
      </x:c>
      <x:c r="Z14" t="str"/>
    </x:row>
    <x:row r="15">
      <x:c r="A15" t="str">
        <x:v>G0012</x:v>
      </x:c>
      <x:c r="B15" t="str">
        <x:v>Bảng 2</x:v>
      </x:c>
      <x:c r="C15" t="str">
        <x:v>sand:gravelly</x:v>
      </x:c>
      <x:c r="D15" t="str">
        <x:v>MID</x:v>
      </x:c>
      <x:c r="E15" t="str">
        <x:v>{"z":3.5}</x:v>
      </x:c>
      <x:c r="F15" t="str">
        <x:v>LINEAR-1D</x:v>
      </x:c>
      <x:c r="G15" t="n">
        <x:v>3.5</x:v>
      </x:c>
      <x:c r="H15"/>
      <x:c r="I15" t="n">
        <x:v>3</x:v>
      </x:c>
      <x:c r="J15" t="n">
        <x:v>4</x:v>
      </x:c>
      <x:c r="K15"/>
      <x:c r="L15"/>
      <x:c r="M15" t="n">
        <x:v>7500</x:v>
      </x:c>
      <x:c r="N15" t="n">
        <x:v>8300</x:v>
      </x:c>
      <x:c r="O15"/>
      <x:c r="P15"/>
      <x:c r="Q15"/>
      <x:c r="R15"/>
      <x:c r="S15" t="n">
        <x:v>7900</x:v>
      </x:c>
      <x:c r="T15" t="n">
        <x:v>7900</x:v>
      </x:c>
      <x:c r="U15" s="28" t="n">
        <x:f>M15+(G15-I15)*(N15-M15)/(J15-I15)</x:f>
        <x:v>7900</x:v>
      </x:c>
      <x:c r="V15" s="32" t="n">
        <x:f>IF(AND(ISNUMBER(S15),ISNUMBER(U15)),ABS(S15-U15),IF(S15=U15,0,1))</x:f>
        <x:v>0</x:v>
      </x:c>
      <x:c r="W15" s="30" t="str">
        <x:v>PASS</x:v>
      </x:c>
      <x:c r="X15" s="28" t="str">
        <x:f>IF(V15&lt;=1E-9,"PASS","FAIL")</x:f>
        <x:v>PASS</x:v>
      </x:c>
      <x:c r="Y15" t="str">
        <x:v>Chú thích 4</x:v>
      </x:c>
      <x:c r="Z15" t="str"/>
    </x:row>
    <x:row r="16">
      <x:c r="A16" t="str">
        <x:v>G0013</x:v>
      </x:c>
      <x:c r="B16" t="str">
        <x:v>Bảng 2</x:v>
      </x:c>
      <x:c r="C16" t="str">
        <x:v>sand:gravelly</x:v>
      </x:c>
      <x:c r="D16" t="str">
        <x:v>MID</x:v>
      </x:c>
      <x:c r="E16" t="str">
        <x:v>{"z":4.5}</x:v>
      </x:c>
      <x:c r="F16" t="str">
        <x:v>LINEAR-1D</x:v>
      </x:c>
      <x:c r="G16" t="n">
        <x:v>4.5</x:v>
      </x:c>
      <x:c r="H16"/>
      <x:c r="I16" t="n">
        <x:v>4</x:v>
      </x:c>
      <x:c r="J16" t="n">
        <x:v>5</x:v>
      </x:c>
      <x:c r="K16"/>
      <x:c r="L16"/>
      <x:c r="M16" t="n">
        <x:v>8300</x:v>
      </x:c>
      <x:c r="N16" t="n">
        <x:v>8800</x:v>
      </x:c>
      <x:c r="O16"/>
      <x:c r="P16"/>
      <x:c r="Q16"/>
      <x:c r="R16"/>
      <x:c r="S16" t="n">
        <x:v>8550</x:v>
      </x:c>
      <x:c r="T16" t="n">
        <x:v>8550</x:v>
      </x:c>
      <x:c r="U16" s="28" t="n">
        <x:f>M16+(G16-I16)*(N16-M16)/(J16-I16)</x:f>
        <x:v>8550</x:v>
      </x:c>
      <x:c r="V16" s="32" t="n">
        <x:f>IF(AND(ISNUMBER(S16),ISNUMBER(U16)),ABS(S16-U16),IF(S16=U16,0,1))</x:f>
        <x:v>0</x:v>
      </x:c>
      <x:c r="W16" s="30" t="str">
        <x:v>PASS</x:v>
      </x:c>
      <x:c r="X16" s="28" t="str">
        <x:f>IF(V16&lt;=1E-9,"PASS","FAIL")</x:f>
        <x:v>PASS</x:v>
      </x:c>
      <x:c r="Y16" t="str">
        <x:v>Chú thích 4</x:v>
      </x:c>
      <x:c r="Z16" t="str"/>
    </x:row>
    <x:row r="17">
      <x:c r="A17" t="str">
        <x:v>G0014</x:v>
      </x:c>
      <x:c r="B17" t="str">
        <x:v>Bảng 2</x:v>
      </x:c>
      <x:c r="C17" t="str">
        <x:v>sand:gravelly</x:v>
      </x:c>
      <x:c r="D17" t="str">
        <x:v>MID</x:v>
      </x:c>
      <x:c r="E17" t="str">
        <x:v>{"z":6}</x:v>
      </x:c>
      <x:c r="F17" t="str">
        <x:v>LINEAR-1D</x:v>
      </x:c>
      <x:c r="G17" t="n">
        <x:v>6</x:v>
      </x:c>
      <x:c r="H17"/>
      <x:c r="I17" t="n">
        <x:v>5</x:v>
      </x:c>
      <x:c r="J17" t="n">
        <x:v>7</x:v>
      </x:c>
      <x:c r="K17"/>
      <x:c r="L17"/>
      <x:c r="M17" t="n">
        <x:v>8800</x:v>
      </x:c>
      <x:c r="N17" t="n">
        <x:v>9700</x:v>
      </x:c>
      <x:c r="O17"/>
      <x:c r="P17"/>
      <x:c r="Q17"/>
      <x:c r="R17"/>
      <x:c r="S17" t="n">
        <x:v>9250</x:v>
      </x:c>
      <x:c r="T17" t="n">
        <x:v>9250</x:v>
      </x:c>
      <x:c r="U17" s="28" t="n">
        <x:f>M17+(G17-I17)*(N17-M17)/(J17-I17)</x:f>
        <x:v>9250</x:v>
      </x:c>
      <x:c r="V17" s="32" t="n">
        <x:f>IF(AND(ISNUMBER(S17),ISNUMBER(U17)),ABS(S17-U17),IF(S17=U17,0,1))</x:f>
        <x:v>0</x:v>
      </x:c>
      <x:c r="W17" s="30" t="str">
        <x:v>PASS</x:v>
      </x:c>
      <x:c r="X17" s="28" t="str">
        <x:f>IF(V17&lt;=1E-9,"PASS","FAIL")</x:f>
        <x:v>PASS</x:v>
      </x:c>
      <x:c r="Y17" t="str">
        <x:v>Chú thích 4</x:v>
      </x:c>
      <x:c r="Z17" t="str"/>
    </x:row>
    <x:row r="18">
      <x:c r="A18" t="str">
        <x:v>G0015</x:v>
      </x:c>
      <x:c r="B18" t="str">
        <x:v>Bảng 2</x:v>
      </x:c>
      <x:c r="C18" t="str">
        <x:v>sand:gravelly</x:v>
      </x:c>
      <x:c r="D18" t="str">
        <x:v>MID</x:v>
      </x:c>
      <x:c r="E18" t="str">
        <x:v>{"z":8.5}</x:v>
      </x:c>
      <x:c r="F18" t="str">
        <x:v>LINEAR-1D</x:v>
      </x:c>
      <x:c r="G18" t="n">
        <x:v>8.5</x:v>
      </x:c>
      <x:c r="H18"/>
      <x:c r="I18" t="n">
        <x:v>7</x:v>
      </x:c>
      <x:c r="J18" t="n">
        <x:v>10</x:v>
      </x:c>
      <x:c r="K18"/>
      <x:c r="L18"/>
      <x:c r="M18" t="n">
        <x:v>9700</x:v>
      </x:c>
      <x:c r="N18" t="n">
        <x:v>10500</x:v>
      </x:c>
      <x:c r="O18"/>
      <x:c r="P18"/>
      <x:c r="Q18"/>
      <x:c r="R18"/>
      <x:c r="S18" t="n">
        <x:v>10100</x:v>
      </x:c>
      <x:c r="T18" t="n">
        <x:v>10100</x:v>
      </x:c>
      <x:c r="U18" s="28" t="n">
        <x:f>M18+(G18-I18)*(N18-M18)/(J18-I18)</x:f>
        <x:v>10100</x:v>
      </x:c>
      <x:c r="V18" s="32" t="n">
        <x:f>IF(AND(ISNUMBER(S18),ISNUMBER(U18)),ABS(S18-U18),IF(S18=U18,0,1))</x:f>
        <x:v>0</x:v>
      </x:c>
      <x:c r="W18" s="30" t="str">
        <x:v>PASS</x:v>
      </x:c>
      <x:c r="X18" s="28" t="str">
        <x:f>IF(V18&lt;=1E-9,"PASS","FAIL")</x:f>
        <x:v>PASS</x:v>
      </x:c>
      <x:c r="Y18" t="str">
        <x:v>Chú thích 4</x:v>
      </x:c>
      <x:c r="Z18" t="str"/>
    </x:row>
    <x:row r="19">
      <x:c r="A19" t="str">
        <x:v>G0016</x:v>
      </x:c>
      <x:c r="B19" t="str">
        <x:v>Bảng 2</x:v>
      </x:c>
      <x:c r="C19" t="str">
        <x:v>sand:gravelly</x:v>
      </x:c>
      <x:c r="D19" t="str">
        <x:v>MID</x:v>
      </x:c>
      <x:c r="E19" t="str">
        <x:v>{"z":12.5}</x:v>
      </x:c>
      <x:c r="F19" t="str">
        <x:v>LINEAR-1D</x:v>
      </x:c>
      <x:c r="G19" t="n">
        <x:v>12.5</x:v>
      </x:c>
      <x:c r="H19"/>
      <x:c r="I19" t="n">
        <x:v>10</x:v>
      </x:c>
      <x:c r="J19" t="n">
        <x:v>15</x:v>
      </x:c>
      <x:c r="K19"/>
      <x:c r="L19"/>
      <x:c r="M19" t="n">
        <x:v>10500</x:v>
      </x:c>
      <x:c r="N19" t="n">
        <x:v>11700</x:v>
      </x:c>
      <x:c r="O19"/>
      <x:c r="P19"/>
      <x:c r="Q19"/>
      <x:c r="R19"/>
      <x:c r="S19" t="n">
        <x:v>11100</x:v>
      </x:c>
      <x:c r="T19" t="n">
        <x:v>11100</x:v>
      </x:c>
      <x:c r="U19" s="28" t="n">
        <x:f>M19+(G19-I19)*(N19-M19)/(J19-I19)</x:f>
        <x:v>11100</x:v>
      </x:c>
      <x:c r="V19" s="32" t="n">
        <x:f>IF(AND(ISNUMBER(S19),ISNUMBER(U19)),ABS(S19-U19),IF(S19=U19,0,1))</x:f>
        <x:v>0</x:v>
      </x:c>
      <x:c r="W19" s="30" t="str">
        <x:v>PASS</x:v>
      </x:c>
      <x:c r="X19" s="28" t="str">
        <x:f>IF(V19&lt;=1E-9,"PASS","FAIL")</x:f>
        <x:v>PASS</x:v>
      </x:c>
      <x:c r="Y19" t="str">
        <x:v>Chú thích 4</x:v>
      </x:c>
      <x:c r="Z19" t="str"/>
    </x:row>
    <x:row r="20">
      <x:c r="A20" t="str">
        <x:v>G0017</x:v>
      </x:c>
      <x:c r="B20" t="str">
        <x:v>Bảng 2</x:v>
      </x:c>
      <x:c r="C20" t="str">
        <x:v>sand:gravelly</x:v>
      </x:c>
      <x:c r="D20" t="str">
        <x:v>MID</x:v>
      </x:c>
      <x:c r="E20" t="str">
        <x:v>{"z":17.5}</x:v>
      </x:c>
      <x:c r="F20" t="str">
        <x:v>LINEAR-1D</x:v>
      </x:c>
      <x:c r="G20" t="n">
        <x:v>17.5</x:v>
      </x:c>
      <x:c r="H20"/>
      <x:c r="I20" t="n">
        <x:v>15</x:v>
      </x:c>
      <x:c r="J20" t="n">
        <x:v>20</x:v>
      </x:c>
      <x:c r="K20"/>
      <x:c r="L20"/>
      <x:c r="M20" t="n">
        <x:v>11700</x:v>
      </x:c>
      <x:c r="N20" t="n">
        <x:v>12600</x:v>
      </x:c>
      <x:c r="O20"/>
      <x:c r="P20"/>
      <x:c r="Q20"/>
      <x:c r="R20"/>
      <x:c r="S20" t="n">
        <x:v>12150</x:v>
      </x:c>
      <x:c r="T20" t="n">
        <x:v>12150</x:v>
      </x:c>
      <x:c r="U20" s="28" t="n">
        <x:f>M20+(G20-I20)*(N20-M20)/(J20-I20)</x:f>
        <x:v>12150</x:v>
      </x:c>
      <x:c r="V20" s="32" t="n">
        <x:f>IF(AND(ISNUMBER(S20),ISNUMBER(U20)),ABS(S20-U20),IF(S20=U20,0,1))</x:f>
        <x:v>0</x:v>
      </x:c>
      <x:c r="W20" s="30" t="str">
        <x:v>PASS</x:v>
      </x:c>
      <x:c r="X20" s="28" t="str">
        <x:f>IF(V20&lt;=1E-9,"PASS","FAIL")</x:f>
        <x:v>PASS</x:v>
      </x:c>
      <x:c r="Y20" t="str">
        <x:v>Chú thích 4</x:v>
      </x:c>
      <x:c r="Z20" t="str"/>
    </x:row>
    <x:row r="21">
      <x:c r="A21" t="str">
        <x:v>G0018</x:v>
      </x:c>
      <x:c r="B21" t="str">
        <x:v>Bảng 2</x:v>
      </x:c>
      <x:c r="C21" t="str">
        <x:v>sand:gravelly</x:v>
      </x:c>
      <x:c r="D21" t="str">
        <x:v>MID</x:v>
      </x:c>
      <x:c r="E21" t="str">
        <x:v>{"z":22.5}</x:v>
      </x:c>
      <x:c r="F21" t="str">
        <x:v>LINEAR-1D</x:v>
      </x:c>
      <x:c r="G21" t="n">
        <x:v>22.5</x:v>
      </x:c>
      <x:c r="H21"/>
      <x:c r="I21" t="n">
        <x:v>20</x:v>
      </x:c>
      <x:c r="J21" t="n">
        <x:v>25</x:v>
      </x:c>
      <x:c r="K21"/>
      <x:c r="L21"/>
      <x:c r="M21" t="n">
        <x:v>12600</x:v>
      </x:c>
      <x:c r="N21" t="n">
        <x:v>13400</x:v>
      </x:c>
      <x:c r="O21"/>
      <x:c r="P21"/>
      <x:c r="Q21"/>
      <x:c r="R21"/>
      <x:c r="S21" t="n">
        <x:v>13000</x:v>
      </x:c>
      <x:c r="T21" t="n">
        <x:v>13000</x:v>
      </x:c>
      <x:c r="U21" s="28" t="n">
        <x:f>M21+(G21-I21)*(N21-M21)/(J21-I21)</x:f>
        <x:v>13000</x:v>
      </x:c>
      <x:c r="V21" s="32" t="n">
        <x:f>IF(AND(ISNUMBER(S21),ISNUMBER(U21)),ABS(S21-U21),IF(S21=U21,0,1))</x:f>
        <x:v>0</x:v>
      </x:c>
      <x:c r="W21" s="30" t="str">
        <x:v>PASS</x:v>
      </x:c>
      <x:c r="X21" s="28" t="str">
        <x:f>IF(V21&lt;=1E-9,"PASS","FAIL")</x:f>
        <x:v>PASS</x:v>
      </x:c>
      <x:c r="Y21" t="str">
        <x:v>Chú thích 4</x:v>
      </x:c>
      <x:c r="Z21" t="str"/>
    </x:row>
    <x:row r="22">
      <x:c r="A22" t="str">
        <x:v>G0019</x:v>
      </x:c>
      <x:c r="B22" t="str">
        <x:v>Bảng 2</x:v>
      </x:c>
      <x:c r="C22" t="str">
        <x:v>sand:gravelly</x:v>
      </x:c>
      <x:c r="D22" t="str">
        <x:v>MID</x:v>
      </x:c>
      <x:c r="E22" t="str">
        <x:v>{"z":27.5}</x:v>
      </x:c>
      <x:c r="F22" t="str">
        <x:v>LINEAR-1D</x:v>
      </x:c>
      <x:c r="G22" t="n">
        <x:v>27.5</x:v>
      </x:c>
      <x:c r="H22"/>
      <x:c r="I22" t="n">
        <x:v>25</x:v>
      </x:c>
      <x:c r="J22" t="n">
        <x:v>30</x:v>
      </x:c>
      <x:c r="K22"/>
      <x:c r="L22"/>
      <x:c r="M22" t="n">
        <x:v>13400</x:v>
      </x:c>
      <x:c r="N22" t="n">
        <x:v>14200</x:v>
      </x:c>
      <x:c r="O22"/>
      <x:c r="P22"/>
      <x:c r="Q22"/>
      <x:c r="R22"/>
      <x:c r="S22" t="n">
        <x:v>13800</x:v>
      </x:c>
      <x:c r="T22" t="n">
        <x:v>13800</x:v>
      </x:c>
      <x:c r="U22" s="28" t="n">
        <x:f>M22+(G22-I22)*(N22-M22)/(J22-I22)</x:f>
        <x:v>13800</x:v>
      </x:c>
      <x:c r="V22" s="32" t="n">
        <x:f>IF(AND(ISNUMBER(S22),ISNUMBER(U22)),ABS(S22-U22),IF(S22=U22,0,1))</x:f>
        <x:v>0</x:v>
      </x:c>
      <x:c r="W22" s="30" t="str">
        <x:v>PASS</x:v>
      </x:c>
      <x:c r="X22" s="28" t="str">
        <x:f>IF(V22&lt;=1E-9,"PASS","FAIL")</x:f>
        <x:v>PASS</x:v>
      </x:c>
      <x:c r="Y22" t="str">
        <x:v>Chú thích 4</x:v>
      </x:c>
      <x:c r="Z22" t="str"/>
    </x:row>
    <x:row r="23">
      <x:c r="A23" t="str">
        <x:v>G0020</x:v>
      </x:c>
      <x:c r="B23" t="str">
        <x:v>Bảng 2</x:v>
      </x:c>
      <x:c r="C23" t="str">
        <x:v>sand:gravelly</x:v>
      </x:c>
      <x:c r="D23" t="str">
        <x:v>MID</x:v>
      </x:c>
      <x:c r="E23" t="str">
        <x:v>{"z":32.5}</x:v>
      </x:c>
      <x:c r="F23" t="str">
        <x:v>LINEAR-1D</x:v>
      </x:c>
      <x:c r="G23" t="n">
        <x:v>32.5</x:v>
      </x:c>
      <x:c r="H23"/>
      <x:c r="I23" t="n">
        <x:v>30</x:v>
      </x:c>
      <x:c r="J23" t="n">
        <x:v>35</x:v>
      </x:c>
      <x:c r="K23"/>
      <x:c r="L23"/>
      <x:c r="M23" t="n">
        <x:v>14200</x:v>
      </x:c>
      <x:c r="N23" t="n">
        <x:v>15000</x:v>
      </x:c>
      <x:c r="O23"/>
      <x:c r="P23"/>
      <x:c r="Q23"/>
      <x:c r="R23"/>
      <x:c r="S23" t="n">
        <x:v>14600</x:v>
      </x:c>
      <x:c r="T23" t="n">
        <x:v>14600</x:v>
      </x:c>
      <x:c r="U23" s="28" t="n">
        <x:f>M23+(G23-I23)*(N23-M23)/(J23-I23)</x:f>
        <x:v>14600</x:v>
      </x:c>
      <x:c r="V23" s="32" t="n">
        <x:f>IF(AND(ISNUMBER(S23),ISNUMBER(U23)),ABS(S23-U23),IF(S23=U23,0,1))</x:f>
        <x:v>0</x:v>
      </x:c>
      <x:c r="W23" s="30" t="str">
        <x:v>PASS</x:v>
      </x:c>
      <x:c r="X23" s="28" t="str">
        <x:f>IF(V23&lt;=1E-9,"PASS","FAIL")</x:f>
        <x:v>PASS</x:v>
      </x:c>
      <x:c r="Y23" t="str">
        <x:v>Chú thích 4</x:v>
      </x:c>
      <x:c r="Z23" t="str"/>
    </x:row>
    <x:row r="24">
      <x:c r="A24" t="str">
        <x:v>G0021</x:v>
      </x:c>
      <x:c r="B24" t="str">
        <x:v>Bảng 2</x:v>
      </x:c>
      <x:c r="C24" t="str">
        <x:v>sand:gravelly</x:v>
      </x:c>
      <x:c r="D24" t="str">
        <x:v>MID</x:v>
      </x:c>
      <x:c r="E24" t="str">
        <x:v>{"z":37.5}</x:v>
      </x:c>
      <x:c r="F24" t="str">
        <x:v>LINEAR-1D</x:v>
      </x:c>
      <x:c r="G24" t="n">
        <x:v>37.5</x:v>
      </x:c>
      <x:c r="H24"/>
      <x:c r="I24" t="n">
        <x:v>35</x:v>
      </x:c>
      <x:c r="J24" t="n">
        <x:v>40</x:v>
      </x:c>
      <x:c r="K24"/>
      <x:c r="L24"/>
      <x:c r="M24" t="n">
        <x:v>15000</x:v>
      </x:c>
      <x:c r="N24" t="n">
        <x:v>15800</x:v>
      </x:c>
      <x:c r="O24"/>
      <x:c r="P24"/>
      <x:c r="Q24"/>
      <x:c r="R24"/>
      <x:c r="S24" t="n">
        <x:v>15400</x:v>
      </x:c>
      <x:c r="T24" t="n">
        <x:v>15400</x:v>
      </x:c>
      <x:c r="U24" s="28" t="n">
        <x:f>M24+(G24-I24)*(N24-M24)/(J24-I24)</x:f>
        <x:v>15400</x:v>
      </x:c>
      <x:c r="V24" s="32" t="n">
        <x:f>IF(AND(ISNUMBER(S24),ISNUMBER(U24)),ABS(S24-U24),IF(S24=U24,0,1))</x:f>
        <x:v>0</x:v>
      </x:c>
      <x:c r="W24" s="30" t="str">
        <x:v>PASS</x:v>
      </x:c>
      <x:c r="X24" s="28" t="str">
        <x:f>IF(V24&lt;=1E-9,"PASS","FAIL")</x:f>
        <x:v>PASS</x:v>
      </x:c>
      <x:c r="Y24" t="str">
        <x:v>Chú thích 4</x:v>
      </x:c>
      <x:c r="Z24" t="str"/>
    </x:row>
    <x:row r="25">
      <x:c r="A25" t="str">
        <x:v>G0022</x:v>
      </x:c>
      <x:c r="B25" t="str">
        <x:v>Bảng 2</x:v>
      </x:c>
      <x:c r="C25" t="str">
        <x:v>sand:coarse</x:v>
      </x:c>
      <x:c r="D25" t="str">
        <x:v>EXACT</x:v>
      </x:c>
      <x:c r="E25" t="str">
        <x:v>{"z":3}</x:v>
      </x:c>
      <x:c r="F25" t="str">
        <x:v>EXACT</x:v>
      </x:c>
      <x:c r="G25"/>
      <x:c r="H25"/>
      <x:c r="I25"/>
      <x:c r="J25"/>
      <x:c r="K25"/>
      <x:c r="L25"/>
      <x:c r="M25" t="n">
        <x:v>6600</x:v>
      </x:c>
      <x:c r="N25"/>
      <x:c r="O25"/>
      <x:c r="P25"/>
      <x:c r="Q25"/>
      <x:c r="R25"/>
      <x:c r="S25" t="n">
        <x:v>6600</x:v>
      </x:c>
      <x:c r="T25" t="n">
        <x:v>6600</x:v>
      </x:c>
      <x:c r="U25" s="28" t="n">
        <x:f>T25</x:f>
        <x:v>6600</x:v>
      </x:c>
      <x:c r="V25" s="32" t="n">
        <x:f>IF(AND(ISNUMBER(S25),ISNUMBER(U25)),ABS(S25-U25),IF(S25=U25,0,1))</x:f>
        <x:v>0</x:v>
      </x:c>
      <x:c r="W25" s="30" t="str">
        <x:v>PASS</x:v>
      </x:c>
      <x:c r="X25" s="28" t="str">
        <x:f>IF(V25&lt;=1E-9,"PASS","FAIL")</x:f>
        <x:v>PASS</x:v>
      </x:c>
      <x:c r="Y25" t="str">
        <x:v>TCVN 10304:2025 tr.32–33</x:v>
      </x:c>
      <x:c r="Z25" t="str"/>
    </x:row>
    <x:row r="26">
      <x:c r="A26" t="str">
        <x:v>G0023</x:v>
      </x:c>
      <x:c r="B26" t="str">
        <x:v>Bảng 2</x:v>
      </x:c>
      <x:c r="C26" t="str">
        <x:v>sand:coarse</x:v>
      </x:c>
      <x:c r="D26" t="str">
        <x:v>EXACT</x:v>
      </x:c>
      <x:c r="E26" t="str">
        <x:v>{"z":4}</x:v>
      </x:c>
      <x:c r="F26" t="str">
        <x:v>EXACT</x:v>
      </x:c>
      <x:c r="G26"/>
      <x:c r="H26"/>
      <x:c r="I26"/>
      <x:c r="J26"/>
      <x:c r="K26"/>
      <x:c r="L26"/>
      <x:c r="M26" t="n">
        <x:v>6800</x:v>
      </x:c>
      <x:c r="N26"/>
      <x:c r="O26"/>
      <x:c r="P26"/>
      <x:c r="Q26"/>
      <x:c r="R26"/>
      <x:c r="S26" t="n">
        <x:v>6800</x:v>
      </x:c>
      <x:c r="T26" t="n">
        <x:v>6800</x:v>
      </x:c>
      <x:c r="U26" s="28" t="n">
        <x:f>T26</x:f>
        <x:v>6800</x:v>
      </x:c>
      <x:c r="V26" s="32" t="n">
        <x:f>IF(AND(ISNUMBER(S26),ISNUMBER(U26)),ABS(S26-U26),IF(S26=U26,0,1))</x:f>
        <x:v>0</x:v>
      </x:c>
      <x:c r="W26" s="30" t="str">
        <x:v>PASS</x:v>
      </x:c>
      <x:c r="X26" s="28" t="str">
        <x:f>IF(V26&lt;=1E-9,"PASS","FAIL")</x:f>
        <x:v>PASS</x:v>
      </x:c>
      <x:c r="Y26" t="str">
        <x:v>TCVN 10304:2025 tr.32–33</x:v>
      </x:c>
      <x:c r="Z26" t="str"/>
    </x:row>
    <x:row r="27">
      <x:c r="A27" t="str">
        <x:v>G0024</x:v>
      </x:c>
      <x:c r="B27" t="str">
        <x:v>Bảng 2</x:v>
      </x:c>
      <x:c r="C27" t="str">
        <x:v>sand:coarse</x:v>
      </x:c>
      <x:c r="D27" t="str">
        <x:v>EXACT</x:v>
      </x:c>
      <x:c r="E27" t="str">
        <x:v>{"z":5}</x:v>
      </x:c>
      <x:c r="F27" t="str">
        <x:v>EXACT</x:v>
      </x:c>
      <x:c r="G27"/>
      <x:c r="H27"/>
      <x:c r="I27"/>
      <x:c r="J27"/>
      <x:c r="K27"/>
      <x:c r="L27"/>
      <x:c r="M27" t="n">
        <x:v>7000</x:v>
      </x:c>
      <x:c r="N27"/>
      <x:c r="O27"/>
      <x:c r="P27"/>
      <x:c r="Q27"/>
      <x:c r="R27"/>
      <x:c r="S27" t="n">
        <x:v>7000</x:v>
      </x:c>
      <x:c r="T27" t="n">
        <x:v>7000</x:v>
      </x:c>
      <x:c r="U27" s="28" t="n">
        <x:f>T27</x:f>
        <x:v>7000</x:v>
      </x:c>
      <x:c r="V27" s="32" t="n">
        <x:f>IF(AND(ISNUMBER(S27),ISNUMBER(U27)),ABS(S27-U27),IF(S27=U27,0,1))</x:f>
        <x:v>0</x:v>
      </x:c>
      <x:c r="W27" s="30" t="str">
        <x:v>PASS</x:v>
      </x:c>
      <x:c r="X27" s="28" t="str">
        <x:f>IF(V27&lt;=1E-9,"PASS","FAIL")</x:f>
        <x:v>PASS</x:v>
      </x:c>
      <x:c r="Y27" t="str">
        <x:v>TCVN 10304:2025 tr.32–33</x:v>
      </x:c>
      <x:c r="Z27" t="str"/>
    </x:row>
    <x:row r="28">
      <x:c r="A28" t="str">
        <x:v>G0025</x:v>
      </x:c>
      <x:c r="B28" t="str">
        <x:v>Bảng 2</x:v>
      </x:c>
      <x:c r="C28" t="str">
        <x:v>sand:coarse</x:v>
      </x:c>
      <x:c r="D28" t="str">
        <x:v>EXACT</x:v>
      </x:c>
      <x:c r="E28" t="str">
        <x:v>{"z":7}</x:v>
      </x:c>
      <x:c r="F28" t="str">
        <x:v>EXACT</x:v>
      </x:c>
      <x:c r="G28"/>
      <x:c r="H28"/>
      <x:c r="I28"/>
      <x:c r="J28"/>
      <x:c r="K28"/>
      <x:c r="L28"/>
      <x:c r="M28" t="n">
        <x:v>7300</x:v>
      </x:c>
      <x:c r="N28"/>
      <x:c r="O28"/>
      <x:c r="P28"/>
      <x:c r="Q28"/>
      <x:c r="R28"/>
      <x:c r="S28" t="n">
        <x:v>7300</x:v>
      </x:c>
      <x:c r="T28" t="n">
        <x:v>7300</x:v>
      </x:c>
      <x:c r="U28" s="28" t="n">
        <x:f>T28</x:f>
        <x:v>7300</x:v>
      </x:c>
      <x:c r="V28" s="32" t="n">
        <x:f>IF(AND(ISNUMBER(S28),ISNUMBER(U28)),ABS(S28-U28),IF(S28=U28,0,1))</x:f>
        <x:v>0</x:v>
      </x:c>
      <x:c r="W28" s="30" t="str">
        <x:v>PASS</x:v>
      </x:c>
      <x:c r="X28" s="28" t="str">
        <x:f>IF(V28&lt;=1E-9,"PASS","FAIL")</x:f>
        <x:v>PASS</x:v>
      </x:c>
      <x:c r="Y28" t="str">
        <x:v>TCVN 10304:2025 tr.32–33</x:v>
      </x:c>
      <x:c r="Z28" t="str"/>
    </x:row>
    <x:row r="29">
      <x:c r="A29" t="str">
        <x:v>G0026</x:v>
      </x:c>
      <x:c r="B29" t="str">
        <x:v>Bảng 2</x:v>
      </x:c>
      <x:c r="C29" t="str">
        <x:v>sand:coarse</x:v>
      </x:c>
      <x:c r="D29" t="str">
        <x:v>EXACT</x:v>
      </x:c>
      <x:c r="E29" t="str">
        <x:v>{"z":10}</x:v>
      </x:c>
      <x:c r="F29" t="str">
        <x:v>EXACT</x:v>
      </x:c>
      <x:c r="G29"/>
      <x:c r="H29"/>
      <x:c r="I29"/>
      <x:c r="J29"/>
      <x:c r="K29"/>
      <x:c r="L29"/>
      <x:c r="M29" t="n">
        <x:v>7700</x:v>
      </x:c>
      <x:c r="N29"/>
      <x:c r="O29"/>
      <x:c r="P29"/>
      <x:c r="Q29"/>
      <x:c r="R29"/>
      <x:c r="S29" t="n">
        <x:v>7700</x:v>
      </x:c>
      <x:c r="T29" t="n">
        <x:v>7700</x:v>
      </x:c>
      <x:c r="U29" s="28" t="n">
        <x:f>T29</x:f>
        <x:v>7700</x:v>
      </x:c>
      <x:c r="V29" s="32" t="n">
        <x:f>IF(AND(ISNUMBER(S29),ISNUMBER(U29)),ABS(S29-U29),IF(S29=U29,0,1))</x:f>
        <x:v>0</x:v>
      </x:c>
      <x:c r="W29" s="30" t="str">
        <x:v>PASS</x:v>
      </x:c>
      <x:c r="X29" s="28" t="str">
        <x:f>IF(V29&lt;=1E-9,"PASS","FAIL")</x:f>
        <x:v>PASS</x:v>
      </x:c>
      <x:c r="Y29" t="str">
        <x:v>TCVN 10304:2025 tr.32–33</x:v>
      </x:c>
      <x:c r="Z29" t="str"/>
    </x:row>
    <x:row r="30">
      <x:c r="A30" t="str">
        <x:v>G0027</x:v>
      </x:c>
      <x:c r="B30" t="str">
        <x:v>Bảng 2</x:v>
      </x:c>
      <x:c r="C30" t="str">
        <x:v>sand:coarse</x:v>
      </x:c>
      <x:c r="D30" t="str">
        <x:v>EXACT</x:v>
      </x:c>
      <x:c r="E30" t="str">
        <x:v>{"z":15}</x:v>
      </x:c>
      <x:c r="F30" t="str">
        <x:v>EXACT</x:v>
      </x:c>
      <x:c r="G30"/>
      <x:c r="H30"/>
      <x:c r="I30"/>
      <x:c r="J30"/>
      <x:c r="K30"/>
      <x:c r="L30"/>
      <x:c r="M30" t="n">
        <x:v>8200</x:v>
      </x:c>
      <x:c r="N30"/>
      <x:c r="O30"/>
      <x:c r="P30"/>
      <x:c r="Q30"/>
      <x:c r="R30"/>
      <x:c r="S30" t="n">
        <x:v>8200</x:v>
      </x:c>
      <x:c r="T30" t="n">
        <x:v>8200</x:v>
      </x:c>
      <x:c r="U30" s="28" t="n">
        <x:f>T30</x:f>
        <x:v>8200</x:v>
      </x:c>
      <x:c r="V30" s="32" t="n">
        <x:f>IF(AND(ISNUMBER(S30),ISNUMBER(U30)),ABS(S30-U30),IF(S30=U30,0,1))</x:f>
        <x:v>0</x:v>
      </x:c>
      <x:c r="W30" s="30" t="str">
        <x:v>PASS</x:v>
      </x:c>
      <x:c r="X30" s="28" t="str">
        <x:f>IF(V30&lt;=1E-9,"PASS","FAIL")</x:f>
        <x:v>PASS</x:v>
      </x:c>
      <x:c r="Y30" t="str">
        <x:v>TCVN 10304:2025 tr.32–33</x:v>
      </x:c>
      <x:c r="Z30" t="str"/>
    </x:row>
    <x:row r="31">
      <x:c r="A31" t="str">
        <x:v>G0028</x:v>
      </x:c>
      <x:c r="B31" t="str">
        <x:v>Bảng 2</x:v>
      </x:c>
      <x:c r="C31" t="str">
        <x:v>sand:coarse</x:v>
      </x:c>
      <x:c r="D31" t="str">
        <x:v>EXACT</x:v>
      </x:c>
      <x:c r="E31" t="str">
        <x:v>{"z":20}</x:v>
      </x:c>
      <x:c r="F31" t="str">
        <x:v>EXACT</x:v>
      </x:c>
      <x:c r="G31"/>
      <x:c r="H31"/>
      <x:c r="I31"/>
      <x:c r="J31"/>
      <x:c r="K31"/>
      <x:c r="L31"/>
      <x:c r="M31" t="n">
        <x:v>8500</x:v>
      </x:c>
      <x:c r="N31"/>
      <x:c r="O31"/>
      <x:c r="P31"/>
      <x:c r="Q31"/>
      <x:c r="R31"/>
      <x:c r="S31" t="n">
        <x:v>8500</x:v>
      </x:c>
      <x:c r="T31" t="n">
        <x:v>8500</x:v>
      </x:c>
      <x:c r="U31" s="28" t="n">
        <x:f>T31</x:f>
        <x:v>8500</x:v>
      </x:c>
      <x:c r="V31" s="32" t="n">
        <x:f>IF(AND(ISNUMBER(S31),ISNUMBER(U31)),ABS(S31-U31),IF(S31=U31,0,1))</x:f>
        <x:v>0</x:v>
      </x:c>
      <x:c r="W31" s="30" t="str">
        <x:v>PASS</x:v>
      </x:c>
      <x:c r="X31" s="28" t="str">
        <x:f>IF(V31&lt;=1E-9,"PASS","FAIL")</x:f>
        <x:v>PASS</x:v>
      </x:c>
      <x:c r="Y31" t="str">
        <x:v>TCVN 10304:2025 tr.32–33</x:v>
      </x:c>
      <x:c r="Z31" t="str"/>
    </x:row>
    <x:row r="32">
      <x:c r="A32" t="str">
        <x:v>G0029</x:v>
      </x:c>
      <x:c r="B32" t="str">
        <x:v>Bảng 2</x:v>
      </x:c>
      <x:c r="C32" t="str">
        <x:v>sand:coarse</x:v>
      </x:c>
      <x:c r="D32" t="str">
        <x:v>EXACT</x:v>
      </x:c>
      <x:c r="E32" t="str">
        <x:v>{"z":25}</x:v>
      </x:c>
      <x:c r="F32" t="str">
        <x:v>EXACT</x:v>
      </x:c>
      <x:c r="G32"/>
      <x:c r="H32"/>
      <x:c r="I32"/>
      <x:c r="J32"/>
      <x:c r="K32"/>
      <x:c r="L32"/>
      <x:c r="M32" t="n">
        <x:v>9000</x:v>
      </x:c>
      <x:c r="N32"/>
      <x:c r="O32"/>
      <x:c r="P32"/>
      <x:c r="Q32"/>
      <x:c r="R32"/>
      <x:c r="S32" t="n">
        <x:v>9000</x:v>
      </x:c>
      <x:c r="T32" t="n">
        <x:v>9000</x:v>
      </x:c>
      <x:c r="U32" s="28" t="n">
        <x:f>T32</x:f>
        <x:v>9000</x:v>
      </x:c>
      <x:c r="V32" s="32" t="n">
        <x:f>IF(AND(ISNUMBER(S32),ISNUMBER(U32)),ABS(S32-U32),IF(S32=U32,0,1))</x:f>
        <x:v>0</x:v>
      </x:c>
      <x:c r="W32" s="30" t="str">
        <x:v>PASS</x:v>
      </x:c>
      <x:c r="X32" s="28" t="str">
        <x:f>IF(V32&lt;=1E-9,"PASS","FAIL")</x:f>
        <x:v>PASS</x:v>
      </x:c>
      <x:c r="Y32" t="str">
        <x:v>TCVN 10304:2025 tr.32–33</x:v>
      </x:c>
      <x:c r="Z32" t="str"/>
    </x:row>
    <x:row r="33">
      <x:c r="A33" t="str">
        <x:v>G0030</x:v>
      </x:c>
      <x:c r="B33" t="str">
        <x:v>Bảng 2</x:v>
      </x:c>
      <x:c r="C33" t="str">
        <x:v>sand:coarse</x:v>
      </x:c>
      <x:c r="D33" t="str">
        <x:v>EXACT</x:v>
      </x:c>
      <x:c r="E33" t="str">
        <x:v>{"z":30}</x:v>
      </x:c>
      <x:c r="F33" t="str">
        <x:v>EXACT</x:v>
      </x:c>
      <x:c r="G33"/>
      <x:c r="H33"/>
      <x:c r="I33"/>
      <x:c r="J33"/>
      <x:c r="K33"/>
      <x:c r="L33"/>
      <x:c r="M33" t="n">
        <x:v>9500</x:v>
      </x:c>
      <x:c r="N33"/>
      <x:c r="O33"/>
      <x:c r="P33"/>
      <x:c r="Q33"/>
      <x:c r="R33"/>
      <x:c r="S33" t="n">
        <x:v>9500</x:v>
      </x:c>
      <x:c r="T33" t="n">
        <x:v>9500</x:v>
      </x:c>
      <x:c r="U33" s="28" t="n">
        <x:f>T33</x:f>
        <x:v>9500</x:v>
      </x:c>
      <x:c r="V33" s="32" t="n">
        <x:f>IF(AND(ISNUMBER(S33),ISNUMBER(U33)),ABS(S33-U33),IF(S33=U33,0,1))</x:f>
        <x:v>0</x:v>
      </x:c>
      <x:c r="W33" s="30" t="str">
        <x:v>PASS</x:v>
      </x:c>
      <x:c r="X33" s="28" t="str">
        <x:f>IF(V33&lt;=1E-9,"PASS","FAIL")</x:f>
        <x:v>PASS</x:v>
      </x:c>
      <x:c r="Y33" t="str">
        <x:v>TCVN 10304:2025 tr.32–33</x:v>
      </x:c>
      <x:c r="Z33" t="str"/>
    </x:row>
    <x:row r="34">
      <x:c r="A34" t="str">
        <x:v>G0031</x:v>
      </x:c>
      <x:c r="B34" t="str">
        <x:v>Bảng 2</x:v>
      </x:c>
      <x:c r="C34" t="str">
        <x:v>sand:coarse</x:v>
      </x:c>
      <x:c r="D34" t="str">
        <x:v>EXACT</x:v>
      </x:c>
      <x:c r="E34" t="str">
        <x:v>{"z":35}</x:v>
      </x:c>
      <x:c r="F34" t="str">
        <x:v>EXACT</x:v>
      </x:c>
      <x:c r="G34"/>
      <x:c r="H34"/>
      <x:c r="I34"/>
      <x:c r="J34"/>
      <x:c r="K34"/>
      <x:c r="L34"/>
      <x:c r="M34" t="n">
        <x:v>10000</x:v>
      </x:c>
      <x:c r="N34"/>
      <x:c r="O34"/>
      <x:c r="P34"/>
      <x:c r="Q34"/>
      <x:c r="R34"/>
      <x:c r="S34" t="n">
        <x:v>10000</x:v>
      </x:c>
      <x:c r="T34" t="n">
        <x:v>10000</x:v>
      </x:c>
      <x:c r="U34" s="28" t="n">
        <x:f>T34</x:f>
        <x:v>10000</x:v>
      </x:c>
      <x:c r="V34" s="32" t="n">
        <x:f>IF(AND(ISNUMBER(S34),ISNUMBER(U34)),ABS(S34-U34),IF(S34=U34,0,1))</x:f>
        <x:v>0</x:v>
      </x:c>
      <x:c r="W34" s="30" t="str">
        <x:v>PASS</x:v>
      </x:c>
      <x:c r="X34" s="28" t="str">
        <x:f>IF(V34&lt;=1E-9,"PASS","FAIL")</x:f>
        <x:v>PASS</x:v>
      </x:c>
      <x:c r="Y34" t="str">
        <x:v>TCVN 10304:2025 tr.32–33</x:v>
      </x:c>
      <x:c r="Z34" t="str"/>
    </x:row>
    <x:row r="35">
      <x:c r="A35" t="str">
        <x:v>G0032</x:v>
      </x:c>
      <x:c r="B35" t="str">
        <x:v>Bảng 2</x:v>
      </x:c>
      <x:c r="C35" t="str">
        <x:v>sand:coarse</x:v>
      </x:c>
      <x:c r="D35" t="str">
        <x:v>EXACT</x:v>
      </x:c>
      <x:c r="E35" t="str">
        <x:v>{"z":40}</x:v>
      </x:c>
      <x:c r="F35" t="str">
        <x:v>EXACT</x:v>
      </x:c>
      <x:c r="G35"/>
      <x:c r="H35"/>
      <x:c r="I35"/>
      <x:c r="J35"/>
      <x:c r="K35"/>
      <x:c r="L35"/>
      <x:c r="M35" t="n">
        <x:v>10500</x:v>
      </x:c>
      <x:c r="N35"/>
      <x:c r="O35"/>
      <x:c r="P35"/>
      <x:c r="Q35"/>
      <x:c r="R35"/>
      <x:c r="S35" t="n">
        <x:v>10500</x:v>
      </x:c>
      <x:c r="T35" t="n">
        <x:v>10500</x:v>
      </x:c>
      <x:c r="U35" s="28" t="n">
        <x:f>T35</x:f>
        <x:v>10500</x:v>
      </x:c>
      <x:c r="V35" s="32" t="n">
        <x:f>IF(AND(ISNUMBER(S35),ISNUMBER(U35)),ABS(S35-U35),IF(S35=U35,0,1))</x:f>
        <x:v>0</x:v>
      </x:c>
      <x:c r="W35" s="30" t="str">
        <x:v>PASS</x:v>
      </x:c>
      <x:c r="X35" s="28" t="str">
        <x:f>IF(V35&lt;=1E-9,"PASS","FAIL")</x:f>
        <x:v>PASS</x:v>
      </x:c>
      <x:c r="Y35" t="str">
        <x:v>TCVN 10304:2025 tr.32–33</x:v>
      </x:c>
      <x:c r="Z35" t="str"/>
    </x:row>
    <x:row r="36">
      <x:c r="A36" t="str">
        <x:v>G0033</x:v>
      </x:c>
      <x:c r="B36" t="str">
        <x:v>Bảng 2</x:v>
      </x:c>
      <x:c r="C36" t="str">
        <x:v>sand:coarse</x:v>
      </x:c>
      <x:c r="D36" t="str">
        <x:v>MID</x:v>
      </x:c>
      <x:c r="E36" t="str">
        <x:v>{"z":3.5}</x:v>
      </x:c>
      <x:c r="F36" t="str">
        <x:v>LINEAR-1D</x:v>
      </x:c>
      <x:c r="G36" t="n">
        <x:v>3.5</x:v>
      </x:c>
      <x:c r="H36"/>
      <x:c r="I36" t="n">
        <x:v>3</x:v>
      </x:c>
      <x:c r="J36" t="n">
        <x:v>4</x:v>
      </x:c>
      <x:c r="K36"/>
      <x:c r="L36"/>
      <x:c r="M36" t="n">
        <x:v>6600</x:v>
      </x:c>
      <x:c r="N36" t="n">
        <x:v>6800</x:v>
      </x:c>
      <x:c r="O36"/>
      <x:c r="P36"/>
      <x:c r="Q36"/>
      <x:c r="R36"/>
      <x:c r="S36" t="n">
        <x:v>6700</x:v>
      </x:c>
      <x:c r="T36" t="n">
        <x:v>6700</x:v>
      </x:c>
      <x:c r="U36" s="28" t="n">
        <x:f>M36+(G36-I36)*(N36-M36)/(J36-I36)</x:f>
        <x:v>6700</x:v>
      </x:c>
      <x:c r="V36" s="32" t="n">
        <x:f>IF(AND(ISNUMBER(S36),ISNUMBER(U36)),ABS(S36-U36),IF(S36=U36,0,1))</x:f>
        <x:v>0</x:v>
      </x:c>
      <x:c r="W36" s="30" t="str">
        <x:v>PASS</x:v>
      </x:c>
      <x:c r="X36" s="28" t="str">
        <x:f>IF(V36&lt;=1E-9,"PASS","FAIL")</x:f>
        <x:v>PASS</x:v>
      </x:c>
      <x:c r="Y36" t="str">
        <x:v>Chú thích 4</x:v>
      </x:c>
      <x:c r="Z36" t="str"/>
    </x:row>
    <x:row r="37">
      <x:c r="A37" t="str">
        <x:v>G0034</x:v>
      </x:c>
      <x:c r="B37" t="str">
        <x:v>Bảng 2</x:v>
      </x:c>
      <x:c r="C37" t="str">
        <x:v>sand:coarse</x:v>
      </x:c>
      <x:c r="D37" t="str">
        <x:v>MID</x:v>
      </x:c>
      <x:c r="E37" t="str">
        <x:v>{"z":4.5}</x:v>
      </x:c>
      <x:c r="F37" t="str">
        <x:v>LINEAR-1D</x:v>
      </x:c>
      <x:c r="G37" t="n">
        <x:v>4.5</x:v>
      </x:c>
      <x:c r="H37"/>
      <x:c r="I37" t="n">
        <x:v>4</x:v>
      </x:c>
      <x:c r="J37" t="n">
        <x:v>5</x:v>
      </x:c>
      <x:c r="K37"/>
      <x:c r="L37"/>
      <x:c r="M37" t="n">
        <x:v>6800</x:v>
      </x:c>
      <x:c r="N37" t="n">
        <x:v>7000</x:v>
      </x:c>
      <x:c r="O37"/>
      <x:c r="P37"/>
      <x:c r="Q37"/>
      <x:c r="R37"/>
      <x:c r="S37" t="n">
        <x:v>6900</x:v>
      </x:c>
      <x:c r="T37" t="n">
        <x:v>6900</x:v>
      </x:c>
      <x:c r="U37" s="28" t="n">
        <x:f>M37+(G37-I37)*(N37-M37)/(J37-I37)</x:f>
        <x:v>6900</x:v>
      </x:c>
      <x:c r="V37" s="32" t="n">
        <x:f>IF(AND(ISNUMBER(S37),ISNUMBER(U37)),ABS(S37-U37),IF(S37=U37,0,1))</x:f>
        <x:v>0</x:v>
      </x:c>
      <x:c r="W37" s="30" t="str">
        <x:v>PASS</x:v>
      </x:c>
      <x:c r="X37" s="28" t="str">
        <x:f>IF(V37&lt;=1E-9,"PASS","FAIL")</x:f>
        <x:v>PASS</x:v>
      </x:c>
      <x:c r="Y37" t="str">
        <x:v>Chú thích 4</x:v>
      </x:c>
      <x:c r="Z37" t="str"/>
    </x:row>
    <x:row r="38">
      <x:c r="A38" t="str">
        <x:v>G0035</x:v>
      </x:c>
      <x:c r="B38" t="str">
        <x:v>Bảng 2</x:v>
      </x:c>
      <x:c r="C38" t="str">
        <x:v>sand:coarse</x:v>
      </x:c>
      <x:c r="D38" t="str">
        <x:v>MID</x:v>
      </x:c>
      <x:c r="E38" t="str">
        <x:v>{"z":6}</x:v>
      </x:c>
      <x:c r="F38" t="str">
        <x:v>LINEAR-1D</x:v>
      </x:c>
      <x:c r="G38" t="n">
        <x:v>6</x:v>
      </x:c>
      <x:c r="H38"/>
      <x:c r="I38" t="n">
        <x:v>5</x:v>
      </x:c>
      <x:c r="J38" t="n">
        <x:v>7</x:v>
      </x:c>
      <x:c r="K38"/>
      <x:c r="L38"/>
      <x:c r="M38" t="n">
        <x:v>7000</x:v>
      </x:c>
      <x:c r="N38" t="n">
        <x:v>7300</x:v>
      </x:c>
      <x:c r="O38"/>
      <x:c r="P38"/>
      <x:c r="Q38"/>
      <x:c r="R38"/>
      <x:c r="S38" t="n">
        <x:v>7150</x:v>
      </x:c>
      <x:c r="T38" t="n">
        <x:v>7150</x:v>
      </x:c>
      <x:c r="U38" s="28" t="n">
        <x:f>M38+(G38-I38)*(N38-M38)/(J38-I38)</x:f>
        <x:v>7150</x:v>
      </x:c>
      <x:c r="V38" s="32" t="n">
        <x:f>IF(AND(ISNUMBER(S38),ISNUMBER(U38)),ABS(S38-U38),IF(S38=U38,0,1))</x:f>
        <x:v>0</x:v>
      </x:c>
      <x:c r="W38" s="30" t="str">
        <x:v>PASS</x:v>
      </x:c>
      <x:c r="X38" s="28" t="str">
        <x:f>IF(V38&lt;=1E-9,"PASS","FAIL")</x:f>
        <x:v>PASS</x:v>
      </x:c>
      <x:c r="Y38" t="str">
        <x:v>Chú thích 4</x:v>
      </x:c>
      <x:c r="Z38" t="str"/>
    </x:row>
    <x:row r="39">
      <x:c r="A39" t="str">
        <x:v>G0036</x:v>
      </x:c>
      <x:c r="B39" t="str">
        <x:v>Bảng 2</x:v>
      </x:c>
      <x:c r="C39" t="str">
        <x:v>sand:coarse</x:v>
      </x:c>
      <x:c r="D39" t="str">
        <x:v>MID</x:v>
      </x:c>
      <x:c r="E39" t="str">
        <x:v>{"z":8.5}</x:v>
      </x:c>
      <x:c r="F39" t="str">
        <x:v>LINEAR-1D</x:v>
      </x:c>
      <x:c r="G39" t="n">
        <x:v>8.5</x:v>
      </x:c>
      <x:c r="H39"/>
      <x:c r="I39" t="n">
        <x:v>7</x:v>
      </x:c>
      <x:c r="J39" t="n">
        <x:v>10</x:v>
      </x:c>
      <x:c r="K39"/>
      <x:c r="L39"/>
      <x:c r="M39" t="n">
        <x:v>7300</x:v>
      </x:c>
      <x:c r="N39" t="n">
        <x:v>7700</x:v>
      </x:c>
      <x:c r="O39"/>
      <x:c r="P39"/>
      <x:c r="Q39"/>
      <x:c r="R39"/>
      <x:c r="S39" t="n">
        <x:v>7500</x:v>
      </x:c>
      <x:c r="T39" t="n">
        <x:v>7500</x:v>
      </x:c>
      <x:c r="U39" s="28" t="n">
        <x:f>M39+(G39-I39)*(N39-M39)/(J39-I39)</x:f>
        <x:v>7500</x:v>
      </x:c>
      <x:c r="V39" s="32" t="n">
        <x:f>IF(AND(ISNUMBER(S39),ISNUMBER(U39)),ABS(S39-U39),IF(S39=U39,0,1))</x:f>
        <x:v>0</x:v>
      </x:c>
      <x:c r="W39" s="30" t="str">
        <x:v>PASS</x:v>
      </x:c>
      <x:c r="X39" s="28" t="str">
        <x:f>IF(V39&lt;=1E-9,"PASS","FAIL")</x:f>
        <x:v>PASS</x:v>
      </x:c>
      <x:c r="Y39" t="str">
        <x:v>Chú thích 4</x:v>
      </x:c>
      <x:c r="Z39" t="str"/>
    </x:row>
    <x:row r="40">
      <x:c r="A40" t="str">
        <x:v>G0037</x:v>
      </x:c>
      <x:c r="B40" t="str">
        <x:v>Bảng 2</x:v>
      </x:c>
      <x:c r="C40" t="str">
        <x:v>sand:coarse</x:v>
      </x:c>
      <x:c r="D40" t="str">
        <x:v>MID</x:v>
      </x:c>
      <x:c r="E40" t="str">
        <x:v>{"z":12.5}</x:v>
      </x:c>
      <x:c r="F40" t="str">
        <x:v>LINEAR-1D</x:v>
      </x:c>
      <x:c r="G40" t="n">
        <x:v>12.5</x:v>
      </x:c>
      <x:c r="H40"/>
      <x:c r="I40" t="n">
        <x:v>10</x:v>
      </x:c>
      <x:c r="J40" t="n">
        <x:v>15</x:v>
      </x:c>
      <x:c r="K40"/>
      <x:c r="L40"/>
      <x:c r="M40" t="n">
        <x:v>7700</x:v>
      </x:c>
      <x:c r="N40" t="n">
        <x:v>8200</x:v>
      </x:c>
      <x:c r="O40"/>
      <x:c r="P40"/>
      <x:c r="Q40"/>
      <x:c r="R40"/>
      <x:c r="S40" t="n">
        <x:v>7950</x:v>
      </x:c>
      <x:c r="T40" t="n">
        <x:v>7950</x:v>
      </x:c>
      <x:c r="U40" s="28" t="n">
        <x:f>M40+(G40-I40)*(N40-M40)/(J40-I40)</x:f>
        <x:v>7950</x:v>
      </x:c>
      <x:c r="V40" s="32" t="n">
        <x:f>IF(AND(ISNUMBER(S40),ISNUMBER(U40)),ABS(S40-U40),IF(S40=U40,0,1))</x:f>
        <x:v>0</x:v>
      </x:c>
      <x:c r="W40" s="30" t="str">
        <x:v>PASS</x:v>
      </x:c>
      <x:c r="X40" s="28" t="str">
        <x:f>IF(V40&lt;=1E-9,"PASS","FAIL")</x:f>
        <x:v>PASS</x:v>
      </x:c>
      <x:c r="Y40" t="str">
        <x:v>Chú thích 4</x:v>
      </x:c>
      <x:c r="Z40" t="str"/>
    </x:row>
    <x:row r="41">
      <x:c r="A41" t="str">
        <x:v>G0038</x:v>
      </x:c>
      <x:c r="B41" t="str">
        <x:v>Bảng 2</x:v>
      </x:c>
      <x:c r="C41" t="str">
        <x:v>sand:coarse</x:v>
      </x:c>
      <x:c r="D41" t="str">
        <x:v>MID</x:v>
      </x:c>
      <x:c r="E41" t="str">
        <x:v>{"z":17.5}</x:v>
      </x:c>
      <x:c r="F41" t="str">
        <x:v>LINEAR-1D</x:v>
      </x:c>
      <x:c r="G41" t="n">
        <x:v>17.5</x:v>
      </x:c>
      <x:c r="H41"/>
      <x:c r="I41" t="n">
        <x:v>15</x:v>
      </x:c>
      <x:c r="J41" t="n">
        <x:v>20</x:v>
      </x:c>
      <x:c r="K41"/>
      <x:c r="L41"/>
      <x:c r="M41" t="n">
        <x:v>8200</x:v>
      </x:c>
      <x:c r="N41" t="n">
        <x:v>8500</x:v>
      </x:c>
      <x:c r="O41"/>
      <x:c r="P41"/>
      <x:c r="Q41"/>
      <x:c r="R41"/>
      <x:c r="S41" t="n">
        <x:v>8350</x:v>
      </x:c>
      <x:c r="T41" t="n">
        <x:v>8350</x:v>
      </x:c>
      <x:c r="U41" s="28" t="n">
        <x:f>M41+(G41-I41)*(N41-M41)/(J41-I41)</x:f>
        <x:v>8350</x:v>
      </x:c>
      <x:c r="V41" s="32" t="n">
        <x:f>IF(AND(ISNUMBER(S41),ISNUMBER(U41)),ABS(S41-U41),IF(S41=U41,0,1))</x:f>
        <x:v>0</x:v>
      </x:c>
      <x:c r="W41" s="30" t="str">
        <x:v>PASS</x:v>
      </x:c>
      <x:c r="X41" s="28" t="str">
        <x:f>IF(V41&lt;=1E-9,"PASS","FAIL")</x:f>
        <x:v>PASS</x:v>
      </x:c>
      <x:c r="Y41" t="str">
        <x:v>Chú thích 4</x:v>
      </x:c>
      <x:c r="Z41" t="str"/>
    </x:row>
    <x:row r="42">
      <x:c r="A42" t="str">
        <x:v>G0039</x:v>
      </x:c>
      <x:c r="B42" t="str">
        <x:v>Bảng 2</x:v>
      </x:c>
      <x:c r="C42" t="str">
        <x:v>sand:coarse</x:v>
      </x:c>
      <x:c r="D42" t="str">
        <x:v>MID</x:v>
      </x:c>
      <x:c r="E42" t="str">
        <x:v>{"z":22.5}</x:v>
      </x:c>
      <x:c r="F42" t="str">
        <x:v>LINEAR-1D</x:v>
      </x:c>
      <x:c r="G42" t="n">
        <x:v>22.5</x:v>
      </x:c>
      <x:c r="H42"/>
      <x:c r="I42" t="n">
        <x:v>20</x:v>
      </x:c>
      <x:c r="J42" t="n">
        <x:v>25</x:v>
      </x:c>
      <x:c r="K42"/>
      <x:c r="L42"/>
      <x:c r="M42" t="n">
        <x:v>8500</x:v>
      </x:c>
      <x:c r="N42" t="n">
        <x:v>9000</x:v>
      </x:c>
      <x:c r="O42"/>
      <x:c r="P42"/>
      <x:c r="Q42"/>
      <x:c r="R42"/>
      <x:c r="S42" t="n">
        <x:v>8750</x:v>
      </x:c>
      <x:c r="T42" t="n">
        <x:v>8750</x:v>
      </x:c>
      <x:c r="U42" s="28" t="n">
        <x:f>M42+(G42-I42)*(N42-M42)/(J42-I42)</x:f>
        <x:v>8750</x:v>
      </x:c>
      <x:c r="V42" s="32" t="n">
        <x:f>IF(AND(ISNUMBER(S42),ISNUMBER(U42)),ABS(S42-U42),IF(S42=U42,0,1))</x:f>
        <x:v>0</x:v>
      </x:c>
      <x:c r="W42" s="30" t="str">
        <x:v>PASS</x:v>
      </x:c>
      <x:c r="X42" s="28" t="str">
        <x:f>IF(V42&lt;=1E-9,"PASS","FAIL")</x:f>
        <x:v>PASS</x:v>
      </x:c>
      <x:c r="Y42" t="str">
        <x:v>Chú thích 4</x:v>
      </x:c>
      <x:c r="Z42" t="str"/>
    </x:row>
    <x:row r="43">
      <x:c r="A43" t="str">
        <x:v>G0040</x:v>
      </x:c>
      <x:c r="B43" t="str">
        <x:v>Bảng 2</x:v>
      </x:c>
      <x:c r="C43" t="str">
        <x:v>sand:coarse</x:v>
      </x:c>
      <x:c r="D43" t="str">
        <x:v>MID</x:v>
      </x:c>
      <x:c r="E43" t="str">
        <x:v>{"z":27.5}</x:v>
      </x:c>
      <x:c r="F43" t="str">
        <x:v>LINEAR-1D</x:v>
      </x:c>
      <x:c r="G43" t="n">
        <x:v>27.5</x:v>
      </x:c>
      <x:c r="H43"/>
      <x:c r="I43" t="n">
        <x:v>25</x:v>
      </x:c>
      <x:c r="J43" t="n">
        <x:v>30</x:v>
      </x:c>
      <x:c r="K43"/>
      <x:c r="L43"/>
      <x:c r="M43" t="n">
        <x:v>9000</x:v>
      </x:c>
      <x:c r="N43" t="n">
        <x:v>9500</x:v>
      </x:c>
      <x:c r="O43"/>
      <x:c r="P43"/>
      <x:c r="Q43"/>
      <x:c r="R43"/>
      <x:c r="S43" t="n">
        <x:v>9250</x:v>
      </x:c>
      <x:c r="T43" t="n">
        <x:v>9250</x:v>
      </x:c>
      <x:c r="U43" s="28" t="n">
        <x:f>M43+(G43-I43)*(N43-M43)/(J43-I43)</x:f>
        <x:v>9250</x:v>
      </x:c>
      <x:c r="V43" s="32" t="n">
        <x:f>IF(AND(ISNUMBER(S43),ISNUMBER(U43)),ABS(S43-U43),IF(S43=U43,0,1))</x:f>
        <x:v>0</x:v>
      </x:c>
      <x:c r="W43" s="30" t="str">
        <x:v>PASS</x:v>
      </x:c>
      <x:c r="X43" s="28" t="str">
        <x:f>IF(V43&lt;=1E-9,"PASS","FAIL")</x:f>
        <x:v>PASS</x:v>
      </x:c>
      <x:c r="Y43" t="str">
        <x:v>Chú thích 4</x:v>
      </x:c>
      <x:c r="Z43" t="str"/>
    </x:row>
    <x:row r="44">
      <x:c r="A44" t="str">
        <x:v>G0041</x:v>
      </x:c>
      <x:c r="B44" t="str">
        <x:v>Bảng 2</x:v>
      </x:c>
      <x:c r="C44" t="str">
        <x:v>sand:coarse</x:v>
      </x:c>
      <x:c r="D44" t="str">
        <x:v>MID</x:v>
      </x:c>
      <x:c r="E44" t="str">
        <x:v>{"z":32.5}</x:v>
      </x:c>
      <x:c r="F44" t="str">
        <x:v>LINEAR-1D</x:v>
      </x:c>
      <x:c r="G44" t="n">
        <x:v>32.5</x:v>
      </x:c>
      <x:c r="H44"/>
      <x:c r="I44" t="n">
        <x:v>30</x:v>
      </x:c>
      <x:c r="J44" t="n">
        <x:v>35</x:v>
      </x:c>
      <x:c r="K44"/>
      <x:c r="L44"/>
      <x:c r="M44" t="n">
        <x:v>9500</x:v>
      </x:c>
      <x:c r="N44" t="n">
        <x:v>10000</x:v>
      </x:c>
      <x:c r="O44"/>
      <x:c r="P44"/>
      <x:c r="Q44"/>
      <x:c r="R44"/>
      <x:c r="S44" t="n">
        <x:v>9750</x:v>
      </x:c>
      <x:c r="T44" t="n">
        <x:v>9750</x:v>
      </x:c>
      <x:c r="U44" s="28" t="n">
        <x:f>M44+(G44-I44)*(N44-M44)/(J44-I44)</x:f>
        <x:v>9750</x:v>
      </x:c>
      <x:c r="V44" s="32" t="n">
        <x:f>IF(AND(ISNUMBER(S44),ISNUMBER(U44)),ABS(S44-U44),IF(S44=U44,0,1))</x:f>
        <x:v>0</x:v>
      </x:c>
      <x:c r="W44" s="30" t="str">
        <x:v>PASS</x:v>
      </x:c>
      <x:c r="X44" s="28" t="str">
        <x:f>IF(V44&lt;=1E-9,"PASS","FAIL")</x:f>
        <x:v>PASS</x:v>
      </x:c>
      <x:c r="Y44" t="str">
        <x:v>Chú thích 4</x:v>
      </x:c>
      <x:c r="Z44" t="str"/>
    </x:row>
    <x:row r="45">
      <x:c r="A45" t="str">
        <x:v>G0042</x:v>
      </x:c>
      <x:c r="B45" t="str">
        <x:v>Bảng 2</x:v>
      </x:c>
      <x:c r="C45" t="str">
        <x:v>sand:coarse</x:v>
      </x:c>
      <x:c r="D45" t="str">
        <x:v>MID</x:v>
      </x:c>
      <x:c r="E45" t="str">
        <x:v>{"z":37.5}</x:v>
      </x:c>
      <x:c r="F45" t="str">
        <x:v>LINEAR-1D</x:v>
      </x:c>
      <x:c r="G45" t="n">
        <x:v>37.5</x:v>
      </x:c>
      <x:c r="H45"/>
      <x:c r="I45" t="n">
        <x:v>35</x:v>
      </x:c>
      <x:c r="J45" t="n">
        <x:v>40</x:v>
      </x:c>
      <x:c r="K45"/>
      <x:c r="L45"/>
      <x:c r="M45" t="n">
        <x:v>10000</x:v>
      </x:c>
      <x:c r="N45" t="n">
        <x:v>10500</x:v>
      </x:c>
      <x:c r="O45"/>
      <x:c r="P45"/>
      <x:c r="Q45"/>
      <x:c r="R45"/>
      <x:c r="S45" t="n">
        <x:v>10250</x:v>
      </x:c>
      <x:c r="T45" t="n">
        <x:v>10250</x:v>
      </x:c>
      <x:c r="U45" s="28" t="n">
        <x:f>M45+(G45-I45)*(N45-M45)/(J45-I45)</x:f>
        <x:v>10250</x:v>
      </x:c>
      <x:c r="V45" s="32" t="n">
        <x:f>IF(AND(ISNUMBER(S45),ISNUMBER(U45)),ABS(S45-U45),IF(S45=U45,0,1))</x:f>
        <x:v>0</x:v>
      </x:c>
      <x:c r="W45" s="30" t="str">
        <x:v>PASS</x:v>
      </x:c>
      <x:c r="X45" s="28" t="str">
        <x:f>IF(V45&lt;=1E-9,"PASS","FAIL")</x:f>
        <x:v>PASS</x:v>
      </x:c>
      <x:c r="Y45" t="str">
        <x:v>Chú thích 4</x:v>
      </x:c>
      <x:c r="Z45" t="str"/>
    </x:row>
    <x:row r="46">
      <x:c r="A46" t="str">
        <x:v>G0043</x:v>
      </x:c>
      <x:c r="B46" t="str">
        <x:v>Bảng 2</x:v>
      </x:c>
      <x:c r="C46" t="str">
        <x:v>sand:medium</x:v>
      </x:c>
      <x:c r="D46" t="str">
        <x:v>EXACT</x:v>
      </x:c>
      <x:c r="E46" t="str">
        <x:v>{"z":3}</x:v>
      </x:c>
      <x:c r="F46" t="str">
        <x:v>EXACT</x:v>
      </x:c>
      <x:c r="G46"/>
      <x:c r="H46"/>
      <x:c r="I46"/>
      <x:c r="J46"/>
      <x:c r="K46"/>
      <x:c r="L46"/>
      <x:c r="M46" t="n">
        <x:v>3100</x:v>
      </x:c>
      <x:c r="N46"/>
      <x:c r="O46"/>
      <x:c r="P46"/>
      <x:c r="Q46"/>
      <x:c r="R46"/>
      <x:c r="S46" t="n">
        <x:v>3100</x:v>
      </x:c>
      <x:c r="T46" t="n">
        <x:v>3100</x:v>
      </x:c>
      <x:c r="U46" s="28" t="n">
        <x:f>T46</x:f>
        <x:v>3100</x:v>
      </x:c>
      <x:c r="V46" s="32" t="n">
        <x:f>IF(AND(ISNUMBER(S46),ISNUMBER(U46)),ABS(S46-U46),IF(S46=U46,0,1))</x:f>
        <x:v>0</x:v>
      </x:c>
      <x:c r="W46" s="30" t="str">
        <x:v>PASS</x:v>
      </x:c>
      <x:c r="X46" s="28" t="str">
        <x:f>IF(V46&lt;=1E-9,"PASS","FAIL")</x:f>
        <x:v>PASS</x:v>
      </x:c>
      <x:c r="Y46" t="str">
        <x:v>TCVN 10304:2025 tr.32–33</x:v>
      </x:c>
      <x:c r="Z46" t="str"/>
    </x:row>
    <x:row r="47">
      <x:c r="A47" t="str">
        <x:v>G0044</x:v>
      </x:c>
      <x:c r="B47" t="str">
        <x:v>Bảng 2</x:v>
      </x:c>
      <x:c r="C47" t="str">
        <x:v>sand:medium</x:v>
      </x:c>
      <x:c r="D47" t="str">
        <x:v>EXACT</x:v>
      </x:c>
      <x:c r="E47" t="str">
        <x:v>{"z":4}</x:v>
      </x:c>
      <x:c r="F47" t="str">
        <x:v>EXACT</x:v>
      </x:c>
      <x:c r="G47"/>
      <x:c r="H47"/>
      <x:c r="I47"/>
      <x:c r="J47"/>
      <x:c r="K47"/>
      <x:c r="L47"/>
      <x:c r="M47" t="n">
        <x:v>3200</x:v>
      </x:c>
      <x:c r="N47"/>
      <x:c r="O47"/>
      <x:c r="P47"/>
      <x:c r="Q47"/>
      <x:c r="R47"/>
      <x:c r="S47" t="n">
        <x:v>3200</x:v>
      </x:c>
      <x:c r="T47" t="n">
        <x:v>3200</x:v>
      </x:c>
      <x:c r="U47" s="28" t="n">
        <x:f>T47</x:f>
        <x:v>3200</x:v>
      </x:c>
      <x:c r="V47" s="32" t="n">
        <x:f>IF(AND(ISNUMBER(S47),ISNUMBER(U47)),ABS(S47-U47),IF(S47=U47,0,1))</x:f>
        <x:v>0</x:v>
      </x:c>
      <x:c r="W47" s="30" t="str">
        <x:v>PASS</x:v>
      </x:c>
      <x:c r="X47" s="28" t="str">
        <x:f>IF(V47&lt;=1E-9,"PASS","FAIL")</x:f>
        <x:v>PASS</x:v>
      </x:c>
      <x:c r="Y47" t="str">
        <x:v>TCVN 10304:2025 tr.32–33</x:v>
      </x:c>
      <x:c r="Z47" t="str"/>
    </x:row>
    <x:row r="48">
      <x:c r="A48" t="str">
        <x:v>G0045</x:v>
      </x:c>
      <x:c r="B48" t="str">
        <x:v>Bảng 2</x:v>
      </x:c>
      <x:c r="C48" t="str">
        <x:v>sand:medium</x:v>
      </x:c>
      <x:c r="D48" t="str">
        <x:v>EXACT</x:v>
      </x:c>
      <x:c r="E48" t="str">
        <x:v>{"z":5}</x:v>
      </x:c>
      <x:c r="F48" t="str">
        <x:v>EXACT</x:v>
      </x:c>
      <x:c r="G48"/>
      <x:c r="H48"/>
      <x:c r="I48"/>
      <x:c r="J48"/>
      <x:c r="K48"/>
      <x:c r="L48"/>
      <x:c r="M48" t="n">
        <x:v>3400</x:v>
      </x:c>
      <x:c r="N48"/>
      <x:c r="O48"/>
      <x:c r="P48"/>
      <x:c r="Q48"/>
      <x:c r="R48"/>
      <x:c r="S48" t="n">
        <x:v>3400</x:v>
      </x:c>
      <x:c r="T48" t="n">
        <x:v>3400</x:v>
      </x:c>
      <x:c r="U48" s="28" t="n">
        <x:f>T48</x:f>
        <x:v>3400</x:v>
      </x:c>
      <x:c r="V48" s="32" t="n">
        <x:f>IF(AND(ISNUMBER(S48),ISNUMBER(U48)),ABS(S48-U48),IF(S48=U48,0,1))</x:f>
        <x:v>0</x:v>
      </x:c>
      <x:c r="W48" s="30" t="str">
        <x:v>PASS</x:v>
      </x:c>
      <x:c r="X48" s="28" t="str">
        <x:f>IF(V48&lt;=1E-9,"PASS","FAIL")</x:f>
        <x:v>PASS</x:v>
      </x:c>
      <x:c r="Y48" t="str">
        <x:v>TCVN 10304:2025 tr.32–33</x:v>
      </x:c>
      <x:c r="Z48" t="str"/>
    </x:row>
    <x:row r="49">
      <x:c r="A49" t="str">
        <x:v>G0046</x:v>
      </x:c>
      <x:c r="B49" t="str">
        <x:v>Bảng 2</x:v>
      </x:c>
      <x:c r="C49" t="str">
        <x:v>sand:medium</x:v>
      </x:c>
      <x:c r="D49" t="str">
        <x:v>EXACT</x:v>
      </x:c>
      <x:c r="E49" t="str">
        <x:v>{"z":7}</x:v>
      </x:c>
      <x:c r="F49" t="str">
        <x:v>EXACT</x:v>
      </x:c>
      <x:c r="G49"/>
      <x:c r="H49"/>
      <x:c r="I49"/>
      <x:c r="J49"/>
      <x:c r="K49"/>
      <x:c r="L49"/>
      <x:c r="M49" t="n">
        <x:v>3700</x:v>
      </x:c>
      <x:c r="N49"/>
      <x:c r="O49"/>
      <x:c r="P49"/>
      <x:c r="Q49"/>
      <x:c r="R49"/>
      <x:c r="S49" t="n">
        <x:v>3700</x:v>
      </x:c>
      <x:c r="T49" t="n">
        <x:v>3700</x:v>
      </x:c>
      <x:c r="U49" s="28" t="n">
        <x:f>T49</x:f>
        <x:v>3700</x:v>
      </x:c>
      <x:c r="V49" s="32" t="n">
        <x:f>IF(AND(ISNUMBER(S49),ISNUMBER(U49)),ABS(S49-U49),IF(S49=U49,0,1))</x:f>
        <x:v>0</x:v>
      </x:c>
      <x:c r="W49" s="30" t="str">
        <x:v>PASS</x:v>
      </x:c>
      <x:c r="X49" s="28" t="str">
        <x:f>IF(V49&lt;=1E-9,"PASS","FAIL")</x:f>
        <x:v>PASS</x:v>
      </x:c>
      <x:c r="Y49" t="str">
        <x:v>TCVN 10304:2025 tr.32–33</x:v>
      </x:c>
      <x:c r="Z49" t="str"/>
    </x:row>
    <x:row r="50">
      <x:c r="A50" t="str">
        <x:v>G0047</x:v>
      </x:c>
      <x:c r="B50" t="str">
        <x:v>Bảng 2</x:v>
      </x:c>
      <x:c r="C50" t="str">
        <x:v>sand:medium</x:v>
      </x:c>
      <x:c r="D50" t="str">
        <x:v>EXACT</x:v>
      </x:c>
      <x:c r="E50" t="str">
        <x:v>{"z":10}</x:v>
      </x:c>
      <x:c r="F50" t="str">
        <x:v>EXACT</x:v>
      </x:c>
      <x:c r="G50"/>
      <x:c r="H50"/>
      <x:c r="I50"/>
      <x:c r="J50"/>
      <x:c r="K50"/>
      <x:c r="L50"/>
      <x:c r="M50" t="n">
        <x:v>4000</x:v>
      </x:c>
      <x:c r="N50"/>
      <x:c r="O50"/>
      <x:c r="P50"/>
      <x:c r="Q50"/>
      <x:c r="R50"/>
      <x:c r="S50" t="n">
        <x:v>4000</x:v>
      </x:c>
      <x:c r="T50" t="n">
        <x:v>4000</x:v>
      </x:c>
      <x:c r="U50" s="28" t="n">
        <x:f>T50</x:f>
        <x:v>4000</x:v>
      </x:c>
      <x:c r="V50" s="32" t="n">
        <x:f>IF(AND(ISNUMBER(S50),ISNUMBER(U50)),ABS(S50-U50),IF(S50=U50,0,1))</x:f>
        <x:v>0</x:v>
      </x:c>
      <x:c r="W50" s="30" t="str">
        <x:v>PASS</x:v>
      </x:c>
      <x:c r="X50" s="28" t="str">
        <x:f>IF(V50&lt;=1E-9,"PASS","FAIL")</x:f>
        <x:v>PASS</x:v>
      </x:c>
      <x:c r="Y50" t="str">
        <x:v>TCVN 10304:2025 tr.32–33</x:v>
      </x:c>
      <x:c r="Z50" t="str"/>
    </x:row>
    <x:row r="51">
      <x:c r="A51" t="str">
        <x:v>G0048</x:v>
      </x:c>
      <x:c r="B51" t="str">
        <x:v>Bảng 2</x:v>
      </x:c>
      <x:c r="C51" t="str">
        <x:v>sand:medium</x:v>
      </x:c>
      <x:c r="D51" t="str">
        <x:v>EXACT</x:v>
      </x:c>
      <x:c r="E51" t="str">
        <x:v>{"z":15}</x:v>
      </x:c>
      <x:c r="F51" t="str">
        <x:v>EXACT</x:v>
      </x:c>
      <x:c r="G51"/>
      <x:c r="H51"/>
      <x:c r="I51"/>
      <x:c r="J51"/>
      <x:c r="K51"/>
      <x:c r="L51"/>
      <x:c r="M51" t="n">
        <x:v>4400</x:v>
      </x:c>
      <x:c r="N51"/>
      <x:c r="O51"/>
      <x:c r="P51"/>
      <x:c r="Q51"/>
      <x:c r="R51"/>
      <x:c r="S51" t="n">
        <x:v>4400</x:v>
      </x:c>
      <x:c r="T51" t="n">
        <x:v>4400</x:v>
      </x:c>
      <x:c r="U51" s="28" t="n">
        <x:f>T51</x:f>
        <x:v>4400</x:v>
      </x:c>
      <x:c r="V51" s="32" t="n">
        <x:f>IF(AND(ISNUMBER(S51),ISNUMBER(U51)),ABS(S51-U51),IF(S51=U51,0,1))</x:f>
        <x:v>0</x:v>
      </x:c>
      <x:c r="W51" s="30" t="str">
        <x:v>PASS</x:v>
      </x:c>
      <x:c r="X51" s="28" t="str">
        <x:f>IF(V51&lt;=1E-9,"PASS","FAIL")</x:f>
        <x:v>PASS</x:v>
      </x:c>
      <x:c r="Y51" t="str">
        <x:v>TCVN 10304:2025 tr.32–33</x:v>
      </x:c>
      <x:c r="Z51" t="str"/>
    </x:row>
    <x:row r="52">
      <x:c r="A52" t="str">
        <x:v>G0049</x:v>
      </x:c>
      <x:c r="B52" t="str">
        <x:v>Bảng 2</x:v>
      </x:c>
      <x:c r="C52" t="str">
        <x:v>sand:medium</x:v>
      </x:c>
      <x:c r="D52" t="str">
        <x:v>EXACT</x:v>
      </x:c>
      <x:c r="E52" t="str">
        <x:v>{"z":20}</x:v>
      </x:c>
      <x:c r="F52" t="str">
        <x:v>EXACT</x:v>
      </x:c>
      <x:c r="G52"/>
      <x:c r="H52"/>
      <x:c r="I52"/>
      <x:c r="J52"/>
      <x:c r="K52"/>
      <x:c r="L52"/>
      <x:c r="M52" t="n">
        <x:v>4800</x:v>
      </x:c>
      <x:c r="N52"/>
      <x:c r="O52"/>
      <x:c r="P52"/>
      <x:c r="Q52"/>
      <x:c r="R52"/>
      <x:c r="S52" t="n">
        <x:v>4800</x:v>
      </x:c>
      <x:c r="T52" t="n">
        <x:v>4800</x:v>
      </x:c>
      <x:c r="U52" s="28" t="n">
        <x:f>T52</x:f>
        <x:v>4800</x:v>
      </x:c>
      <x:c r="V52" s="32" t="n">
        <x:f>IF(AND(ISNUMBER(S52),ISNUMBER(U52)),ABS(S52-U52),IF(S52=U52,0,1))</x:f>
        <x:v>0</x:v>
      </x:c>
      <x:c r="W52" s="30" t="str">
        <x:v>PASS</x:v>
      </x:c>
      <x:c r="X52" s="28" t="str">
        <x:f>IF(V52&lt;=1E-9,"PASS","FAIL")</x:f>
        <x:v>PASS</x:v>
      </x:c>
      <x:c r="Y52" t="str">
        <x:v>TCVN 10304:2025 tr.32–33</x:v>
      </x:c>
      <x:c r="Z52" t="str"/>
    </x:row>
    <x:row r="53">
      <x:c r="A53" t="str">
        <x:v>G0050</x:v>
      </x:c>
      <x:c r="B53" t="str">
        <x:v>Bảng 2</x:v>
      </x:c>
      <x:c r="C53" t="str">
        <x:v>sand:medium</x:v>
      </x:c>
      <x:c r="D53" t="str">
        <x:v>EXACT</x:v>
      </x:c>
      <x:c r="E53" t="str">
        <x:v>{"z":25}</x:v>
      </x:c>
      <x:c r="F53" t="str">
        <x:v>EXACT</x:v>
      </x:c>
      <x:c r="G53"/>
      <x:c r="H53"/>
      <x:c r="I53"/>
      <x:c r="J53"/>
      <x:c r="K53"/>
      <x:c r="L53"/>
      <x:c r="M53" t="n">
        <x:v>5200</x:v>
      </x:c>
      <x:c r="N53"/>
      <x:c r="O53"/>
      <x:c r="P53"/>
      <x:c r="Q53"/>
      <x:c r="R53"/>
      <x:c r="S53" t="n">
        <x:v>5200</x:v>
      </x:c>
      <x:c r="T53" t="n">
        <x:v>5200</x:v>
      </x:c>
      <x:c r="U53" s="28" t="n">
        <x:f>T53</x:f>
        <x:v>5200</x:v>
      </x:c>
      <x:c r="V53" s="32" t="n">
        <x:f>IF(AND(ISNUMBER(S53),ISNUMBER(U53)),ABS(S53-U53),IF(S53=U53,0,1))</x:f>
        <x:v>0</x:v>
      </x:c>
      <x:c r="W53" s="30" t="str">
        <x:v>PASS</x:v>
      </x:c>
      <x:c r="X53" s="28" t="str">
        <x:f>IF(V53&lt;=1E-9,"PASS","FAIL")</x:f>
        <x:v>PASS</x:v>
      </x:c>
      <x:c r="Y53" t="str">
        <x:v>TCVN 10304:2025 tr.32–33</x:v>
      </x:c>
      <x:c r="Z53" t="str"/>
    </x:row>
    <x:row r="54">
      <x:c r="A54" t="str">
        <x:v>G0051</x:v>
      </x:c>
      <x:c r="B54" t="str">
        <x:v>Bảng 2</x:v>
      </x:c>
      <x:c r="C54" t="str">
        <x:v>sand:medium</x:v>
      </x:c>
      <x:c r="D54" t="str">
        <x:v>EXACT</x:v>
      </x:c>
      <x:c r="E54" t="str">
        <x:v>{"z":30}</x:v>
      </x:c>
      <x:c r="F54" t="str">
        <x:v>EXACT</x:v>
      </x:c>
      <x:c r="G54"/>
      <x:c r="H54"/>
      <x:c r="I54"/>
      <x:c r="J54"/>
      <x:c r="K54"/>
      <x:c r="L54"/>
      <x:c r="M54" t="n">
        <x:v>5600</x:v>
      </x:c>
      <x:c r="N54"/>
      <x:c r="O54"/>
      <x:c r="P54"/>
      <x:c r="Q54"/>
      <x:c r="R54"/>
      <x:c r="S54" t="n">
        <x:v>5600</x:v>
      </x:c>
      <x:c r="T54" t="n">
        <x:v>5600</x:v>
      </x:c>
      <x:c r="U54" s="28" t="n">
        <x:f>T54</x:f>
        <x:v>5600</x:v>
      </x:c>
      <x:c r="V54" s="32" t="n">
        <x:f>IF(AND(ISNUMBER(S54),ISNUMBER(U54)),ABS(S54-U54),IF(S54=U54,0,1))</x:f>
        <x:v>0</x:v>
      </x:c>
      <x:c r="W54" s="30" t="str">
        <x:v>PASS</x:v>
      </x:c>
      <x:c r="X54" s="28" t="str">
        <x:f>IF(V54&lt;=1E-9,"PASS","FAIL")</x:f>
        <x:v>PASS</x:v>
      </x:c>
      <x:c r="Y54" t="str">
        <x:v>TCVN 10304:2025 tr.32–33</x:v>
      </x:c>
      <x:c r="Z54" t="str"/>
    </x:row>
    <x:row r="55">
      <x:c r="A55" t="str">
        <x:v>G0052</x:v>
      </x:c>
      <x:c r="B55" t="str">
        <x:v>Bảng 2</x:v>
      </x:c>
      <x:c r="C55" t="str">
        <x:v>sand:medium</x:v>
      </x:c>
      <x:c r="D55" t="str">
        <x:v>EXACT</x:v>
      </x:c>
      <x:c r="E55" t="str">
        <x:v>{"z":35}</x:v>
      </x:c>
      <x:c r="F55" t="str">
        <x:v>EXACT</x:v>
      </x:c>
      <x:c r="G55"/>
      <x:c r="H55"/>
      <x:c r="I55"/>
      <x:c r="J55"/>
      <x:c r="K55"/>
      <x:c r="L55"/>
      <x:c r="M55" t="n">
        <x:v>6000</x:v>
      </x:c>
      <x:c r="N55"/>
      <x:c r="O55"/>
      <x:c r="P55"/>
      <x:c r="Q55"/>
      <x:c r="R55"/>
      <x:c r="S55" t="n">
        <x:v>6000</x:v>
      </x:c>
      <x:c r="T55" t="n">
        <x:v>6000</x:v>
      </x:c>
      <x:c r="U55" s="28" t="n">
        <x:f>T55</x:f>
        <x:v>6000</x:v>
      </x:c>
      <x:c r="V55" s="32" t="n">
        <x:f>IF(AND(ISNUMBER(S55),ISNUMBER(U55)),ABS(S55-U55),IF(S55=U55,0,1))</x:f>
        <x:v>0</x:v>
      </x:c>
      <x:c r="W55" s="30" t="str">
        <x:v>PASS</x:v>
      </x:c>
      <x:c r="X55" s="28" t="str">
        <x:f>IF(V55&lt;=1E-9,"PASS","FAIL")</x:f>
        <x:v>PASS</x:v>
      </x:c>
      <x:c r="Y55" t="str">
        <x:v>TCVN 10304:2025 tr.32–33</x:v>
      </x:c>
      <x:c r="Z55" t="str"/>
    </x:row>
    <x:row r="56">
      <x:c r="A56" t="str">
        <x:v>G0053</x:v>
      </x:c>
      <x:c r="B56" t="str">
        <x:v>Bảng 2</x:v>
      </x:c>
      <x:c r="C56" t="str">
        <x:v>sand:medium</x:v>
      </x:c>
      <x:c r="D56" t="str">
        <x:v>EXACT</x:v>
      </x:c>
      <x:c r="E56" t="str">
        <x:v>{"z":40}</x:v>
      </x:c>
      <x:c r="F56" t="str">
        <x:v>EXACT</x:v>
      </x:c>
      <x:c r="G56"/>
      <x:c r="H56"/>
      <x:c r="I56"/>
      <x:c r="J56"/>
      <x:c r="K56"/>
      <x:c r="L56"/>
      <x:c r="M56" t="n">
        <x:v>6400</x:v>
      </x:c>
      <x:c r="N56"/>
      <x:c r="O56"/>
      <x:c r="P56"/>
      <x:c r="Q56"/>
      <x:c r="R56"/>
      <x:c r="S56" t="n">
        <x:v>6400</x:v>
      </x:c>
      <x:c r="T56" t="n">
        <x:v>6400</x:v>
      </x:c>
      <x:c r="U56" s="28" t="n">
        <x:f>T56</x:f>
        <x:v>6400</x:v>
      </x:c>
      <x:c r="V56" s="32" t="n">
        <x:f>IF(AND(ISNUMBER(S56),ISNUMBER(U56)),ABS(S56-U56),IF(S56=U56,0,1))</x:f>
        <x:v>0</x:v>
      </x:c>
      <x:c r="W56" s="30" t="str">
        <x:v>PASS</x:v>
      </x:c>
      <x:c r="X56" s="28" t="str">
        <x:f>IF(V56&lt;=1E-9,"PASS","FAIL")</x:f>
        <x:v>PASS</x:v>
      </x:c>
      <x:c r="Y56" t="str">
        <x:v>TCVN 10304:2025 tr.32–33</x:v>
      </x:c>
      <x:c r="Z56" t="str"/>
    </x:row>
    <x:row r="57">
      <x:c r="A57" t="str">
        <x:v>G0054</x:v>
      </x:c>
      <x:c r="B57" t="str">
        <x:v>Bảng 2</x:v>
      </x:c>
      <x:c r="C57" t="str">
        <x:v>sand:medium</x:v>
      </x:c>
      <x:c r="D57" t="str">
        <x:v>MID</x:v>
      </x:c>
      <x:c r="E57" t="str">
        <x:v>{"z":3.5}</x:v>
      </x:c>
      <x:c r="F57" t="str">
        <x:v>LINEAR-1D</x:v>
      </x:c>
      <x:c r="G57" t="n">
        <x:v>3.5</x:v>
      </x:c>
      <x:c r="H57"/>
      <x:c r="I57" t="n">
        <x:v>3</x:v>
      </x:c>
      <x:c r="J57" t="n">
        <x:v>4</x:v>
      </x:c>
      <x:c r="K57"/>
      <x:c r="L57"/>
      <x:c r="M57" t="n">
        <x:v>3100</x:v>
      </x:c>
      <x:c r="N57" t="n">
        <x:v>3200</x:v>
      </x:c>
      <x:c r="O57"/>
      <x:c r="P57"/>
      <x:c r="Q57"/>
      <x:c r="R57"/>
      <x:c r="S57" t="n">
        <x:v>3150</x:v>
      </x:c>
      <x:c r="T57" t="n">
        <x:v>3150</x:v>
      </x:c>
      <x:c r="U57" s="28" t="n">
        <x:f>M57+(G57-I57)*(N57-M57)/(J57-I57)</x:f>
        <x:v>3150</x:v>
      </x:c>
      <x:c r="V57" s="32" t="n">
        <x:f>IF(AND(ISNUMBER(S57),ISNUMBER(U57)),ABS(S57-U57),IF(S57=U57,0,1))</x:f>
        <x:v>0</x:v>
      </x:c>
      <x:c r="W57" s="30" t="str">
        <x:v>PASS</x:v>
      </x:c>
      <x:c r="X57" s="28" t="str">
        <x:f>IF(V57&lt;=1E-9,"PASS","FAIL")</x:f>
        <x:v>PASS</x:v>
      </x:c>
      <x:c r="Y57" t="str">
        <x:v>Chú thích 4</x:v>
      </x:c>
      <x:c r="Z57" t="str"/>
    </x:row>
    <x:row r="58">
      <x:c r="A58" t="str">
        <x:v>G0055</x:v>
      </x:c>
      <x:c r="B58" t="str">
        <x:v>Bảng 2</x:v>
      </x:c>
      <x:c r="C58" t="str">
        <x:v>sand:medium</x:v>
      </x:c>
      <x:c r="D58" t="str">
        <x:v>MID</x:v>
      </x:c>
      <x:c r="E58" t="str">
        <x:v>{"z":4.5}</x:v>
      </x:c>
      <x:c r="F58" t="str">
        <x:v>LINEAR-1D</x:v>
      </x:c>
      <x:c r="G58" t="n">
        <x:v>4.5</x:v>
      </x:c>
      <x:c r="H58"/>
      <x:c r="I58" t="n">
        <x:v>4</x:v>
      </x:c>
      <x:c r="J58" t="n">
        <x:v>5</x:v>
      </x:c>
      <x:c r="K58"/>
      <x:c r="L58"/>
      <x:c r="M58" t="n">
        <x:v>3200</x:v>
      </x:c>
      <x:c r="N58" t="n">
        <x:v>3400</x:v>
      </x:c>
      <x:c r="O58"/>
      <x:c r="P58"/>
      <x:c r="Q58"/>
      <x:c r="R58"/>
      <x:c r="S58" t="n">
        <x:v>3300</x:v>
      </x:c>
      <x:c r="T58" t="n">
        <x:v>3300</x:v>
      </x:c>
      <x:c r="U58" s="28" t="n">
        <x:f>M58+(G58-I58)*(N58-M58)/(J58-I58)</x:f>
        <x:v>3300</x:v>
      </x:c>
      <x:c r="V58" s="32" t="n">
        <x:f>IF(AND(ISNUMBER(S58),ISNUMBER(U58)),ABS(S58-U58),IF(S58=U58,0,1))</x:f>
        <x:v>0</x:v>
      </x:c>
      <x:c r="W58" s="30" t="str">
        <x:v>PASS</x:v>
      </x:c>
      <x:c r="X58" s="28" t="str">
        <x:f>IF(V58&lt;=1E-9,"PASS","FAIL")</x:f>
        <x:v>PASS</x:v>
      </x:c>
      <x:c r="Y58" t="str">
        <x:v>Chú thích 4</x:v>
      </x:c>
      <x:c r="Z58" t="str"/>
    </x:row>
    <x:row r="59">
      <x:c r="A59" t="str">
        <x:v>G0056</x:v>
      </x:c>
      <x:c r="B59" t="str">
        <x:v>Bảng 2</x:v>
      </x:c>
      <x:c r="C59" t="str">
        <x:v>sand:medium</x:v>
      </x:c>
      <x:c r="D59" t="str">
        <x:v>MID</x:v>
      </x:c>
      <x:c r="E59" t="str">
        <x:v>{"z":6}</x:v>
      </x:c>
      <x:c r="F59" t="str">
        <x:v>LINEAR-1D</x:v>
      </x:c>
      <x:c r="G59" t="n">
        <x:v>6</x:v>
      </x:c>
      <x:c r="H59"/>
      <x:c r="I59" t="n">
        <x:v>5</x:v>
      </x:c>
      <x:c r="J59" t="n">
        <x:v>7</x:v>
      </x:c>
      <x:c r="K59"/>
      <x:c r="L59"/>
      <x:c r="M59" t="n">
        <x:v>3400</x:v>
      </x:c>
      <x:c r="N59" t="n">
        <x:v>3700</x:v>
      </x:c>
      <x:c r="O59"/>
      <x:c r="P59"/>
      <x:c r="Q59"/>
      <x:c r="R59"/>
      <x:c r="S59" t="n">
        <x:v>3550</x:v>
      </x:c>
      <x:c r="T59" t="n">
        <x:v>3550</x:v>
      </x:c>
      <x:c r="U59" s="28" t="n">
        <x:f>M59+(G59-I59)*(N59-M59)/(J59-I59)</x:f>
        <x:v>3550</x:v>
      </x:c>
      <x:c r="V59" s="32" t="n">
        <x:f>IF(AND(ISNUMBER(S59),ISNUMBER(U59)),ABS(S59-U59),IF(S59=U59,0,1))</x:f>
        <x:v>0</x:v>
      </x:c>
      <x:c r="W59" s="30" t="str">
        <x:v>PASS</x:v>
      </x:c>
      <x:c r="X59" s="28" t="str">
        <x:f>IF(V59&lt;=1E-9,"PASS","FAIL")</x:f>
        <x:v>PASS</x:v>
      </x:c>
      <x:c r="Y59" t="str">
        <x:v>Chú thích 4</x:v>
      </x:c>
      <x:c r="Z59" t="str"/>
    </x:row>
    <x:row r="60">
      <x:c r="A60" t="str">
        <x:v>G0057</x:v>
      </x:c>
      <x:c r="B60" t="str">
        <x:v>Bảng 2</x:v>
      </x:c>
      <x:c r="C60" t="str">
        <x:v>sand:medium</x:v>
      </x:c>
      <x:c r="D60" t="str">
        <x:v>MID</x:v>
      </x:c>
      <x:c r="E60" t="str">
        <x:v>{"z":8.5}</x:v>
      </x:c>
      <x:c r="F60" t="str">
        <x:v>LINEAR-1D</x:v>
      </x:c>
      <x:c r="G60" t="n">
        <x:v>8.5</x:v>
      </x:c>
      <x:c r="H60"/>
      <x:c r="I60" t="n">
        <x:v>7</x:v>
      </x:c>
      <x:c r="J60" t="n">
        <x:v>10</x:v>
      </x:c>
      <x:c r="K60"/>
      <x:c r="L60"/>
      <x:c r="M60" t="n">
        <x:v>3700</x:v>
      </x:c>
      <x:c r="N60" t="n">
        <x:v>4000</x:v>
      </x:c>
      <x:c r="O60"/>
      <x:c r="P60"/>
      <x:c r="Q60"/>
      <x:c r="R60"/>
      <x:c r="S60" t="n">
        <x:v>3850</x:v>
      </x:c>
      <x:c r="T60" t="n">
        <x:v>3850</x:v>
      </x:c>
      <x:c r="U60" s="28" t="n">
        <x:f>M60+(G60-I60)*(N60-M60)/(J60-I60)</x:f>
        <x:v>3850</x:v>
      </x:c>
      <x:c r="V60" s="32" t="n">
        <x:f>IF(AND(ISNUMBER(S60),ISNUMBER(U60)),ABS(S60-U60),IF(S60=U60,0,1))</x:f>
        <x:v>0</x:v>
      </x:c>
      <x:c r="W60" s="30" t="str">
        <x:v>PASS</x:v>
      </x:c>
      <x:c r="X60" s="28" t="str">
        <x:f>IF(V60&lt;=1E-9,"PASS","FAIL")</x:f>
        <x:v>PASS</x:v>
      </x:c>
      <x:c r="Y60" t="str">
        <x:v>Chú thích 4</x:v>
      </x:c>
      <x:c r="Z60" t="str"/>
    </x:row>
    <x:row r="61">
      <x:c r="A61" t="str">
        <x:v>G0058</x:v>
      </x:c>
      <x:c r="B61" t="str">
        <x:v>Bảng 2</x:v>
      </x:c>
      <x:c r="C61" t="str">
        <x:v>sand:medium</x:v>
      </x:c>
      <x:c r="D61" t="str">
        <x:v>MID</x:v>
      </x:c>
      <x:c r="E61" t="str">
        <x:v>{"z":12.5}</x:v>
      </x:c>
      <x:c r="F61" t="str">
        <x:v>LINEAR-1D</x:v>
      </x:c>
      <x:c r="G61" t="n">
        <x:v>12.5</x:v>
      </x:c>
      <x:c r="H61"/>
      <x:c r="I61" t="n">
        <x:v>10</x:v>
      </x:c>
      <x:c r="J61" t="n">
        <x:v>15</x:v>
      </x:c>
      <x:c r="K61"/>
      <x:c r="L61"/>
      <x:c r="M61" t="n">
        <x:v>4000</x:v>
      </x:c>
      <x:c r="N61" t="n">
        <x:v>4400</x:v>
      </x:c>
      <x:c r="O61"/>
      <x:c r="P61"/>
      <x:c r="Q61"/>
      <x:c r="R61"/>
      <x:c r="S61" t="n">
        <x:v>4200</x:v>
      </x:c>
      <x:c r="T61" t="n">
        <x:v>4200</x:v>
      </x:c>
      <x:c r="U61" s="28" t="n">
        <x:f>M61+(G61-I61)*(N61-M61)/(J61-I61)</x:f>
        <x:v>4200</x:v>
      </x:c>
      <x:c r="V61" s="32" t="n">
        <x:f>IF(AND(ISNUMBER(S61),ISNUMBER(U61)),ABS(S61-U61),IF(S61=U61,0,1))</x:f>
        <x:v>0</x:v>
      </x:c>
      <x:c r="W61" s="30" t="str">
        <x:v>PASS</x:v>
      </x:c>
      <x:c r="X61" s="28" t="str">
        <x:f>IF(V61&lt;=1E-9,"PASS","FAIL")</x:f>
        <x:v>PASS</x:v>
      </x:c>
      <x:c r="Y61" t="str">
        <x:v>Chú thích 4</x:v>
      </x:c>
      <x:c r="Z61" t="str"/>
    </x:row>
    <x:row r="62">
      <x:c r="A62" t="str">
        <x:v>G0059</x:v>
      </x:c>
      <x:c r="B62" t="str">
        <x:v>Bảng 2</x:v>
      </x:c>
      <x:c r="C62" t="str">
        <x:v>sand:medium</x:v>
      </x:c>
      <x:c r="D62" t="str">
        <x:v>MID</x:v>
      </x:c>
      <x:c r="E62" t="str">
        <x:v>{"z":17.5}</x:v>
      </x:c>
      <x:c r="F62" t="str">
        <x:v>LINEAR-1D</x:v>
      </x:c>
      <x:c r="G62" t="n">
        <x:v>17.5</x:v>
      </x:c>
      <x:c r="H62"/>
      <x:c r="I62" t="n">
        <x:v>15</x:v>
      </x:c>
      <x:c r="J62" t="n">
        <x:v>20</x:v>
      </x:c>
      <x:c r="K62"/>
      <x:c r="L62"/>
      <x:c r="M62" t="n">
        <x:v>4400</x:v>
      </x:c>
      <x:c r="N62" t="n">
        <x:v>4800</x:v>
      </x:c>
      <x:c r="O62"/>
      <x:c r="P62"/>
      <x:c r="Q62"/>
      <x:c r="R62"/>
      <x:c r="S62" t="n">
        <x:v>4600</x:v>
      </x:c>
      <x:c r="T62" t="n">
        <x:v>4600</x:v>
      </x:c>
      <x:c r="U62" s="28" t="n">
        <x:f>M62+(G62-I62)*(N62-M62)/(J62-I62)</x:f>
        <x:v>4600</x:v>
      </x:c>
      <x:c r="V62" s="32" t="n">
        <x:f>IF(AND(ISNUMBER(S62),ISNUMBER(U62)),ABS(S62-U62),IF(S62=U62,0,1))</x:f>
        <x:v>0</x:v>
      </x:c>
      <x:c r="W62" s="30" t="str">
        <x:v>PASS</x:v>
      </x:c>
      <x:c r="X62" s="28" t="str">
        <x:f>IF(V62&lt;=1E-9,"PASS","FAIL")</x:f>
        <x:v>PASS</x:v>
      </x:c>
      <x:c r="Y62" t="str">
        <x:v>Chú thích 4</x:v>
      </x:c>
      <x:c r="Z62" t="str"/>
    </x:row>
    <x:row r="63">
      <x:c r="A63" t="str">
        <x:v>G0060</x:v>
      </x:c>
      <x:c r="B63" t="str">
        <x:v>Bảng 2</x:v>
      </x:c>
      <x:c r="C63" t="str">
        <x:v>sand:medium</x:v>
      </x:c>
      <x:c r="D63" t="str">
        <x:v>MID</x:v>
      </x:c>
      <x:c r="E63" t="str">
        <x:v>{"z":22.5}</x:v>
      </x:c>
      <x:c r="F63" t="str">
        <x:v>LINEAR-1D</x:v>
      </x:c>
      <x:c r="G63" t="n">
        <x:v>22.5</x:v>
      </x:c>
      <x:c r="H63"/>
      <x:c r="I63" t="n">
        <x:v>20</x:v>
      </x:c>
      <x:c r="J63" t="n">
        <x:v>25</x:v>
      </x:c>
      <x:c r="K63"/>
      <x:c r="L63"/>
      <x:c r="M63" t="n">
        <x:v>4800</x:v>
      </x:c>
      <x:c r="N63" t="n">
        <x:v>5200</x:v>
      </x:c>
      <x:c r="O63"/>
      <x:c r="P63"/>
      <x:c r="Q63"/>
      <x:c r="R63"/>
      <x:c r="S63" t="n">
        <x:v>5000</x:v>
      </x:c>
      <x:c r="T63" t="n">
        <x:v>5000</x:v>
      </x:c>
      <x:c r="U63" s="28" t="n">
        <x:f>M63+(G63-I63)*(N63-M63)/(J63-I63)</x:f>
        <x:v>5000</x:v>
      </x:c>
      <x:c r="V63" s="32" t="n">
        <x:f>IF(AND(ISNUMBER(S63),ISNUMBER(U63)),ABS(S63-U63),IF(S63=U63,0,1))</x:f>
        <x:v>0</x:v>
      </x:c>
      <x:c r="W63" s="30" t="str">
        <x:v>PASS</x:v>
      </x:c>
      <x:c r="X63" s="28" t="str">
        <x:f>IF(V63&lt;=1E-9,"PASS","FAIL")</x:f>
        <x:v>PASS</x:v>
      </x:c>
      <x:c r="Y63" t="str">
        <x:v>Chú thích 4</x:v>
      </x:c>
      <x:c r="Z63" t="str"/>
    </x:row>
    <x:row r="64">
      <x:c r="A64" t="str">
        <x:v>G0061</x:v>
      </x:c>
      <x:c r="B64" t="str">
        <x:v>Bảng 2</x:v>
      </x:c>
      <x:c r="C64" t="str">
        <x:v>sand:medium</x:v>
      </x:c>
      <x:c r="D64" t="str">
        <x:v>MID</x:v>
      </x:c>
      <x:c r="E64" t="str">
        <x:v>{"z":27.5}</x:v>
      </x:c>
      <x:c r="F64" t="str">
        <x:v>LINEAR-1D</x:v>
      </x:c>
      <x:c r="G64" t="n">
        <x:v>27.5</x:v>
      </x:c>
      <x:c r="H64"/>
      <x:c r="I64" t="n">
        <x:v>25</x:v>
      </x:c>
      <x:c r="J64" t="n">
        <x:v>30</x:v>
      </x:c>
      <x:c r="K64"/>
      <x:c r="L64"/>
      <x:c r="M64" t="n">
        <x:v>5200</x:v>
      </x:c>
      <x:c r="N64" t="n">
        <x:v>5600</x:v>
      </x:c>
      <x:c r="O64"/>
      <x:c r="P64"/>
      <x:c r="Q64"/>
      <x:c r="R64"/>
      <x:c r="S64" t="n">
        <x:v>5400</x:v>
      </x:c>
      <x:c r="T64" t="n">
        <x:v>5400</x:v>
      </x:c>
      <x:c r="U64" s="28" t="n">
        <x:f>M64+(G64-I64)*(N64-M64)/(J64-I64)</x:f>
        <x:v>5400</x:v>
      </x:c>
      <x:c r="V64" s="32" t="n">
        <x:f>IF(AND(ISNUMBER(S64),ISNUMBER(U64)),ABS(S64-U64),IF(S64=U64,0,1))</x:f>
        <x:v>0</x:v>
      </x:c>
      <x:c r="W64" s="30" t="str">
        <x:v>PASS</x:v>
      </x:c>
      <x:c r="X64" s="28" t="str">
        <x:f>IF(V64&lt;=1E-9,"PASS","FAIL")</x:f>
        <x:v>PASS</x:v>
      </x:c>
      <x:c r="Y64" t="str">
        <x:v>Chú thích 4</x:v>
      </x:c>
      <x:c r="Z64" t="str"/>
    </x:row>
    <x:row r="65">
      <x:c r="A65" t="str">
        <x:v>G0062</x:v>
      </x:c>
      <x:c r="B65" t="str">
        <x:v>Bảng 2</x:v>
      </x:c>
      <x:c r="C65" t="str">
        <x:v>sand:medium</x:v>
      </x:c>
      <x:c r="D65" t="str">
        <x:v>MID</x:v>
      </x:c>
      <x:c r="E65" t="str">
        <x:v>{"z":32.5}</x:v>
      </x:c>
      <x:c r="F65" t="str">
        <x:v>LINEAR-1D</x:v>
      </x:c>
      <x:c r="G65" t="n">
        <x:v>32.5</x:v>
      </x:c>
      <x:c r="H65"/>
      <x:c r="I65" t="n">
        <x:v>30</x:v>
      </x:c>
      <x:c r="J65" t="n">
        <x:v>35</x:v>
      </x:c>
      <x:c r="K65"/>
      <x:c r="L65"/>
      <x:c r="M65" t="n">
        <x:v>5600</x:v>
      </x:c>
      <x:c r="N65" t="n">
        <x:v>6000</x:v>
      </x:c>
      <x:c r="O65"/>
      <x:c r="P65"/>
      <x:c r="Q65"/>
      <x:c r="R65"/>
      <x:c r="S65" t="n">
        <x:v>5800</x:v>
      </x:c>
      <x:c r="T65" t="n">
        <x:v>5800</x:v>
      </x:c>
      <x:c r="U65" s="28" t="n">
        <x:f>M65+(G65-I65)*(N65-M65)/(J65-I65)</x:f>
        <x:v>5800</x:v>
      </x:c>
      <x:c r="V65" s="32" t="n">
        <x:f>IF(AND(ISNUMBER(S65),ISNUMBER(U65)),ABS(S65-U65),IF(S65=U65,0,1))</x:f>
        <x:v>0</x:v>
      </x:c>
      <x:c r="W65" s="30" t="str">
        <x:v>PASS</x:v>
      </x:c>
      <x:c r="X65" s="28" t="str">
        <x:f>IF(V65&lt;=1E-9,"PASS","FAIL")</x:f>
        <x:v>PASS</x:v>
      </x:c>
      <x:c r="Y65" t="str">
        <x:v>Chú thích 4</x:v>
      </x:c>
      <x:c r="Z65" t="str"/>
    </x:row>
    <x:row r="66">
      <x:c r="A66" t="str">
        <x:v>G0063</x:v>
      </x:c>
      <x:c r="B66" t="str">
        <x:v>Bảng 2</x:v>
      </x:c>
      <x:c r="C66" t="str">
        <x:v>sand:medium</x:v>
      </x:c>
      <x:c r="D66" t="str">
        <x:v>MID</x:v>
      </x:c>
      <x:c r="E66" t="str">
        <x:v>{"z":37.5}</x:v>
      </x:c>
      <x:c r="F66" t="str">
        <x:v>LINEAR-1D</x:v>
      </x:c>
      <x:c r="G66" t="n">
        <x:v>37.5</x:v>
      </x:c>
      <x:c r="H66"/>
      <x:c r="I66" t="n">
        <x:v>35</x:v>
      </x:c>
      <x:c r="J66" t="n">
        <x:v>40</x:v>
      </x:c>
      <x:c r="K66"/>
      <x:c r="L66"/>
      <x:c r="M66" t="n">
        <x:v>6000</x:v>
      </x:c>
      <x:c r="N66" t="n">
        <x:v>6400</x:v>
      </x:c>
      <x:c r="O66"/>
      <x:c r="P66"/>
      <x:c r="Q66"/>
      <x:c r="R66"/>
      <x:c r="S66" t="n">
        <x:v>6200</x:v>
      </x:c>
      <x:c r="T66" t="n">
        <x:v>6200</x:v>
      </x:c>
      <x:c r="U66" s="28" t="n">
        <x:f>M66+(G66-I66)*(N66-M66)/(J66-I66)</x:f>
        <x:v>6200</x:v>
      </x:c>
      <x:c r="V66" s="32" t="n">
        <x:f>IF(AND(ISNUMBER(S66),ISNUMBER(U66)),ABS(S66-U66),IF(S66=U66,0,1))</x:f>
        <x:v>0</x:v>
      </x:c>
      <x:c r="W66" s="30" t="str">
        <x:v>PASS</x:v>
      </x:c>
      <x:c r="X66" s="28" t="str">
        <x:f>IF(V66&lt;=1E-9,"PASS","FAIL")</x:f>
        <x:v>PASS</x:v>
      </x:c>
      <x:c r="Y66" t="str">
        <x:v>Chú thích 4</x:v>
      </x:c>
      <x:c r="Z66" t="str"/>
    </x:row>
    <x:row r="67">
      <x:c r="A67" t="str">
        <x:v>G0064</x:v>
      </x:c>
      <x:c r="B67" t="str">
        <x:v>Bảng 2</x:v>
      </x:c>
      <x:c r="C67" t="str">
        <x:v>sand:fine</x:v>
      </x:c>
      <x:c r="D67" t="str">
        <x:v>EXACT</x:v>
      </x:c>
      <x:c r="E67" t="str">
        <x:v>{"z":3}</x:v>
      </x:c>
      <x:c r="F67" t="str">
        <x:v>EXACT</x:v>
      </x:c>
      <x:c r="G67"/>
      <x:c r="H67"/>
      <x:c r="I67"/>
      <x:c r="J67"/>
      <x:c r="K67"/>
      <x:c r="L67"/>
      <x:c r="M67" t="n">
        <x:v>2000</x:v>
      </x:c>
      <x:c r="N67"/>
      <x:c r="O67"/>
      <x:c r="P67"/>
      <x:c r="Q67"/>
      <x:c r="R67"/>
      <x:c r="S67" t="n">
        <x:v>2000</x:v>
      </x:c>
      <x:c r="T67" t="n">
        <x:v>2000</x:v>
      </x:c>
      <x:c r="U67" s="28" t="n">
        <x:f>T67</x:f>
        <x:v>2000</x:v>
      </x:c>
      <x:c r="V67" s="32" t="n">
        <x:f>IF(AND(ISNUMBER(S67),ISNUMBER(U67)),ABS(S67-U67),IF(S67=U67,0,1))</x:f>
        <x:v>0</x:v>
      </x:c>
      <x:c r="W67" s="30" t="str">
        <x:v>PASS</x:v>
      </x:c>
      <x:c r="X67" s="28" t="str">
        <x:f>IF(V67&lt;=1E-9,"PASS","FAIL")</x:f>
        <x:v>PASS</x:v>
      </x:c>
      <x:c r="Y67" t="str">
        <x:v>TCVN 10304:2025 tr.32–33</x:v>
      </x:c>
      <x:c r="Z67" t="str"/>
    </x:row>
    <x:row r="68">
      <x:c r="A68" t="str">
        <x:v>G0065</x:v>
      </x:c>
      <x:c r="B68" t="str">
        <x:v>Bảng 2</x:v>
      </x:c>
      <x:c r="C68" t="str">
        <x:v>sand:fine</x:v>
      </x:c>
      <x:c r="D68" t="str">
        <x:v>EXACT</x:v>
      </x:c>
      <x:c r="E68" t="str">
        <x:v>{"z":4}</x:v>
      </x:c>
      <x:c r="F68" t="str">
        <x:v>EXACT</x:v>
      </x:c>
      <x:c r="G68"/>
      <x:c r="H68"/>
      <x:c r="I68"/>
      <x:c r="J68"/>
      <x:c r="K68"/>
      <x:c r="L68"/>
      <x:c r="M68" t="n">
        <x:v>2100</x:v>
      </x:c>
      <x:c r="N68"/>
      <x:c r="O68"/>
      <x:c r="P68"/>
      <x:c r="Q68"/>
      <x:c r="R68"/>
      <x:c r="S68" t="n">
        <x:v>2100</x:v>
      </x:c>
      <x:c r="T68" t="n">
        <x:v>2100</x:v>
      </x:c>
      <x:c r="U68" s="28" t="n">
        <x:f>T68</x:f>
        <x:v>2100</x:v>
      </x:c>
      <x:c r="V68" s="32" t="n">
        <x:f>IF(AND(ISNUMBER(S68),ISNUMBER(U68)),ABS(S68-U68),IF(S68=U68,0,1))</x:f>
        <x:v>0</x:v>
      </x:c>
      <x:c r="W68" s="30" t="str">
        <x:v>PASS</x:v>
      </x:c>
      <x:c r="X68" s="28" t="str">
        <x:f>IF(V68&lt;=1E-9,"PASS","FAIL")</x:f>
        <x:v>PASS</x:v>
      </x:c>
      <x:c r="Y68" t="str">
        <x:v>TCVN 10304:2025 tr.32–33</x:v>
      </x:c>
      <x:c r="Z68" t="str"/>
    </x:row>
    <x:row r="69">
      <x:c r="A69" t="str">
        <x:v>G0066</x:v>
      </x:c>
      <x:c r="B69" t="str">
        <x:v>Bảng 2</x:v>
      </x:c>
      <x:c r="C69" t="str">
        <x:v>sand:fine</x:v>
      </x:c>
      <x:c r="D69" t="str">
        <x:v>EXACT</x:v>
      </x:c>
      <x:c r="E69" t="str">
        <x:v>{"z":5}</x:v>
      </x:c>
      <x:c r="F69" t="str">
        <x:v>EXACT</x:v>
      </x:c>
      <x:c r="G69"/>
      <x:c r="H69"/>
      <x:c r="I69"/>
      <x:c r="J69"/>
      <x:c r="K69"/>
      <x:c r="L69"/>
      <x:c r="M69" t="n">
        <x:v>2200</x:v>
      </x:c>
      <x:c r="N69"/>
      <x:c r="O69"/>
      <x:c r="P69"/>
      <x:c r="Q69"/>
      <x:c r="R69"/>
      <x:c r="S69" t="n">
        <x:v>2200</x:v>
      </x:c>
      <x:c r="T69" t="n">
        <x:v>2200</x:v>
      </x:c>
      <x:c r="U69" s="28" t="n">
        <x:f>T69</x:f>
        <x:v>2200</x:v>
      </x:c>
      <x:c r="V69" s="32" t="n">
        <x:f>IF(AND(ISNUMBER(S69),ISNUMBER(U69)),ABS(S69-U69),IF(S69=U69,0,1))</x:f>
        <x:v>0</x:v>
      </x:c>
      <x:c r="W69" s="30" t="str">
        <x:v>PASS</x:v>
      </x:c>
      <x:c r="X69" s="28" t="str">
        <x:f>IF(V69&lt;=1E-9,"PASS","FAIL")</x:f>
        <x:v>PASS</x:v>
      </x:c>
      <x:c r="Y69" t="str">
        <x:v>TCVN 10304:2025 tr.32–33</x:v>
      </x:c>
      <x:c r="Z69" t="str"/>
    </x:row>
    <x:row r="70">
      <x:c r="A70" t="str">
        <x:v>G0067</x:v>
      </x:c>
      <x:c r="B70" t="str">
        <x:v>Bảng 2</x:v>
      </x:c>
      <x:c r="C70" t="str">
        <x:v>sand:fine</x:v>
      </x:c>
      <x:c r="D70" t="str">
        <x:v>EXACT</x:v>
      </x:c>
      <x:c r="E70" t="str">
        <x:v>{"z":7}</x:v>
      </x:c>
      <x:c r="F70" t="str">
        <x:v>EXACT</x:v>
      </x:c>
      <x:c r="G70"/>
      <x:c r="H70"/>
      <x:c r="I70"/>
      <x:c r="J70"/>
      <x:c r="K70"/>
      <x:c r="L70"/>
      <x:c r="M70" t="n">
        <x:v>2400</x:v>
      </x:c>
      <x:c r="N70"/>
      <x:c r="O70"/>
      <x:c r="P70"/>
      <x:c r="Q70"/>
      <x:c r="R70"/>
      <x:c r="S70" t="n">
        <x:v>2400</x:v>
      </x:c>
      <x:c r="T70" t="n">
        <x:v>2400</x:v>
      </x:c>
      <x:c r="U70" s="28" t="n">
        <x:f>T70</x:f>
        <x:v>2400</x:v>
      </x:c>
      <x:c r="V70" s="32" t="n">
        <x:f>IF(AND(ISNUMBER(S70),ISNUMBER(U70)),ABS(S70-U70),IF(S70=U70,0,1))</x:f>
        <x:v>0</x:v>
      </x:c>
      <x:c r="W70" s="30" t="str">
        <x:v>PASS</x:v>
      </x:c>
      <x:c r="X70" s="28" t="str">
        <x:f>IF(V70&lt;=1E-9,"PASS","FAIL")</x:f>
        <x:v>PASS</x:v>
      </x:c>
      <x:c r="Y70" t="str">
        <x:v>TCVN 10304:2025 tr.32–33</x:v>
      </x:c>
      <x:c r="Z70" t="str"/>
    </x:row>
    <x:row r="71">
      <x:c r="A71" t="str">
        <x:v>G0068</x:v>
      </x:c>
      <x:c r="B71" t="str">
        <x:v>Bảng 2</x:v>
      </x:c>
      <x:c r="C71" t="str">
        <x:v>sand:fine</x:v>
      </x:c>
      <x:c r="D71" t="str">
        <x:v>EXACT</x:v>
      </x:c>
      <x:c r="E71" t="str">
        <x:v>{"z":10}</x:v>
      </x:c>
      <x:c r="F71" t="str">
        <x:v>EXACT</x:v>
      </x:c>
      <x:c r="G71"/>
      <x:c r="H71"/>
      <x:c r="I71"/>
      <x:c r="J71"/>
      <x:c r="K71"/>
      <x:c r="L71"/>
      <x:c r="M71" t="n">
        <x:v>2600</x:v>
      </x:c>
      <x:c r="N71"/>
      <x:c r="O71"/>
      <x:c r="P71"/>
      <x:c r="Q71"/>
      <x:c r="R71"/>
      <x:c r="S71" t="n">
        <x:v>2600</x:v>
      </x:c>
      <x:c r="T71" t="n">
        <x:v>2600</x:v>
      </x:c>
      <x:c r="U71" s="28" t="n">
        <x:f>T71</x:f>
        <x:v>2600</x:v>
      </x:c>
      <x:c r="V71" s="32" t="n">
        <x:f>IF(AND(ISNUMBER(S71),ISNUMBER(U71)),ABS(S71-U71),IF(S71=U71,0,1))</x:f>
        <x:v>0</x:v>
      </x:c>
      <x:c r="W71" s="30" t="str">
        <x:v>PASS</x:v>
      </x:c>
      <x:c r="X71" s="28" t="str">
        <x:f>IF(V71&lt;=1E-9,"PASS","FAIL")</x:f>
        <x:v>PASS</x:v>
      </x:c>
      <x:c r="Y71" t="str">
        <x:v>TCVN 10304:2025 tr.32–33</x:v>
      </x:c>
      <x:c r="Z71" t="str"/>
    </x:row>
    <x:row r="72">
      <x:c r="A72" t="str">
        <x:v>G0069</x:v>
      </x:c>
      <x:c r="B72" t="str">
        <x:v>Bảng 2</x:v>
      </x:c>
      <x:c r="C72" t="str">
        <x:v>sand:fine</x:v>
      </x:c>
      <x:c r="D72" t="str">
        <x:v>EXACT</x:v>
      </x:c>
      <x:c r="E72" t="str">
        <x:v>{"z":15}</x:v>
      </x:c>
      <x:c r="F72" t="str">
        <x:v>EXACT</x:v>
      </x:c>
      <x:c r="G72"/>
      <x:c r="H72"/>
      <x:c r="I72"/>
      <x:c r="J72"/>
      <x:c r="K72"/>
      <x:c r="L72"/>
      <x:c r="M72" t="n">
        <x:v>2900</x:v>
      </x:c>
      <x:c r="N72"/>
      <x:c r="O72"/>
      <x:c r="P72"/>
      <x:c r="Q72"/>
      <x:c r="R72"/>
      <x:c r="S72" t="n">
        <x:v>2900</x:v>
      </x:c>
      <x:c r="T72" t="n">
        <x:v>2900</x:v>
      </x:c>
      <x:c r="U72" s="28" t="n">
        <x:f>T72</x:f>
        <x:v>2900</x:v>
      </x:c>
      <x:c r="V72" s="32" t="n">
        <x:f>IF(AND(ISNUMBER(S72),ISNUMBER(U72)),ABS(S72-U72),IF(S72=U72,0,1))</x:f>
        <x:v>0</x:v>
      </x:c>
      <x:c r="W72" s="30" t="str">
        <x:v>PASS</x:v>
      </x:c>
      <x:c r="X72" s="28" t="str">
        <x:f>IF(V72&lt;=1E-9,"PASS","FAIL")</x:f>
        <x:v>PASS</x:v>
      </x:c>
      <x:c r="Y72" t="str">
        <x:v>TCVN 10304:2025 tr.32–33</x:v>
      </x:c>
      <x:c r="Z72" t="str"/>
    </x:row>
    <x:row r="73">
      <x:c r="A73" t="str">
        <x:v>G0070</x:v>
      </x:c>
      <x:c r="B73" t="str">
        <x:v>Bảng 2</x:v>
      </x:c>
      <x:c r="C73" t="str">
        <x:v>sand:fine</x:v>
      </x:c>
      <x:c r="D73" t="str">
        <x:v>EXACT</x:v>
      </x:c>
      <x:c r="E73" t="str">
        <x:v>{"z":20}</x:v>
      </x:c>
      <x:c r="F73" t="str">
        <x:v>EXACT</x:v>
      </x:c>
      <x:c r="G73"/>
      <x:c r="H73"/>
      <x:c r="I73"/>
      <x:c r="J73"/>
      <x:c r="K73"/>
      <x:c r="L73"/>
      <x:c r="M73" t="n">
        <x:v>3200</x:v>
      </x:c>
      <x:c r="N73"/>
      <x:c r="O73"/>
      <x:c r="P73"/>
      <x:c r="Q73"/>
      <x:c r="R73"/>
      <x:c r="S73" t="n">
        <x:v>3200</x:v>
      </x:c>
      <x:c r="T73" t="n">
        <x:v>3200</x:v>
      </x:c>
      <x:c r="U73" s="28" t="n">
        <x:f>T73</x:f>
        <x:v>3200</x:v>
      </x:c>
      <x:c r="V73" s="32" t="n">
        <x:f>IF(AND(ISNUMBER(S73),ISNUMBER(U73)),ABS(S73-U73),IF(S73=U73,0,1))</x:f>
        <x:v>0</x:v>
      </x:c>
      <x:c r="W73" s="30" t="str">
        <x:v>PASS</x:v>
      </x:c>
      <x:c r="X73" s="28" t="str">
        <x:f>IF(V73&lt;=1E-9,"PASS","FAIL")</x:f>
        <x:v>PASS</x:v>
      </x:c>
      <x:c r="Y73" t="str">
        <x:v>TCVN 10304:2025 tr.32–33</x:v>
      </x:c>
      <x:c r="Z73" t="str"/>
    </x:row>
    <x:row r="74">
      <x:c r="A74" t="str">
        <x:v>G0071</x:v>
      </x:c>
      <x:c r="B74" t="str">
        <x:v>Bảng 2</x:v>
      </x:c>
      <x:c r="C74" t="str">
        <x:v>sand:fine</x:v>
      </x:c>
      <x:c r="D74" t="str">
        <x:v>EXACT</x:v>
      </x:c>
      <x:c r="E74" t="str">
        <x:v>{"z":25}</x:v>
      </x:c>
      <x:c r="F74" t="str">
        <x:v>EXACT</x:v>
      </x:c>
      <x:c r="G74"/>
      <x:c r="H74"/>
      <x:c r="I74"/>
      <x:c r="J74"/>
      <x:c r="K74"/>
      <x:c r="L74"/>
      <x:c r="M74" t="n">
        <x:v>3500</x:v>
      </x:c>
      <x:c r="N74"/>
      <x:c r="O74"/>
      <x:c r="P74"/>
      <x:c r="Q74"/>
      <x:c r="R74"/>
      <x:c r="S74" t="n">
        <x:v>3500</x:v>
      </x:c>
      <x:c r="T74" t="n">
        <x:v>3500</x:v>
      </x:c>
      <x:c r="U74" s="28" t="n">
        <x:f>T74</x:f>
        <x:v>3500</x:v>
      </x:c>
      <x:c r="V74" s="32" t="n">
        <x:f>IF(AND(ISNUMBER(S74),ISNUMBER(U74)),ABS(S74-U74),IF(S74=U74,0,1))</x:f>
        <x:v>0</x:v>
      </x:c>
      <x:c r="W74" s="30" t="str">
        <x:v>PASS</x:v>
      </x:c>
      <x:c r="X74" s="28" t="str">
        <x:f>IF(V74&lt;=1E-9,"PASS","FAIL")</x:f>
        <x:v>PASS</x:v>
      </x:c>
      <x:c r="Y74" t="str">
        <x:v>TCVN 10304:2025 tr.32–33</x:v>
      </x:c>
      <x:c r="Z74" t="str"/>
    </x:row>
    <x:row r="75">
      <x:c r="A75" t="str">
        <x:v>G0072</x:v>
      </x:c>
      <x:c r="B75" t="str">
        <x:v>Bảng 2</x:v>
      </x:c>
      <x:c r="C75" t="str">
        <x:v>sand:fine</x:v>
      </x:c>
      <x:c r="D75" t="str">
        <x:v>EXACT</x:v>
      </x:c>
      <x:c r="E75" t="str">
        <x:v>{"z":30}</x:v>
      </x:c>
      <x:c r="F75" t="str">
        <x:v>EXACT</x:v>
      </x:c>
      <x:c r="G75"/>
      <x:c r="H75"/>
      <x:c r="I75"/>
      <x:c r="J75"/>
      <x:c r="K75"/>
      <x:c r="L75"/>
      <x:c r="M75" t="n">
        <x:v>3800</x:v>
      </x:c>
      <x:c r="N75"/>
      <x:c r="O75"/>
      <x:c r="P75"/>
      <x:c r="Q75"/>
      <x:c r="R75"/>
      <x:c r="S75" t="n">
        <x:v>3800</x:v>
      </x:c>
      <x:c r="T75" t="n">
        <x:v>3800</x:v>
      </x:c>
      <x:c r="U75" s="28" t="n">
        <x:f>T75</x:f>
        <x:v>3800</x:v>
      </x:c>
      <x:c r="V75" s="32" t="n">
        <x:f>IF(AND(ISNUMBER(S75),ISNUMBER(U75)),ABS(S75-U75),IF(S75=U75,0,1))</x:f>
        <x:v>0</x:v>
      </x:c>
      <x:c r="W75" s="30" t="str">
        <x:v>PASS</x:v>
      </x:c>
      <x:c r="X75" s="28" t="str">
        <x:f>IF(V75&lt;=1E-9,"PASS","FAIL")</x:f>
        <x:v>PASS</x:v>
      </x:c>
      <x:c r="Y75" t="str">
        <x:v>TCVN 10304:2025 tr.32–33</x:v>
      </x:c>
      <x:c r="Z75" t="str"/>
    </x:row>
    <x:row r="76">
      <x:c r="A76" t="str">
        <x:v>G0073</x:v>
      </x:c>
      <x:c r="B76" t="str">
        <x:v>Bảng 2</x:v>
      </x:c>
      <x:c r="C76" t="str">
        <x:v>sand:fine</x:v>
      </x:c>
      <x:c r="D76" t="str">
        <x:v>EXACT</x:v>
      </x:c>
      <x:c r="E76" t="str">
        <x:v>{"z":35}</x:v>
      </x:c>
      <x:c r="F76" t="str">
        <x:v>EXACT</x:v>
      </x:c>
      <x:c r="G76"/>
      <x:c r="H76"/>
      <x:c r="I76"/>
      <x:c r="J76"/>
      <x:c r="K76"/>
      <x:c r="L76"/>
      <x:c r="M76" t="n">
        <x:v>4100</x:v>
      </x:c>
      <x:c r="N76"/>
      <x:c r="O76"/>
      <x:c r="P76"/>
      <x:c r="Q76"/>
      <x:c r="R76"/>
      <x:c r="S76" t="n">
        <x:v>4100</x:v>
      </x:c>
      <x:c r="T76" t="n">
        <x:v>4100</x:v>
      </x:c>
      <x:c r="U76" s="28" t="n">
        <x:f>T76</x:f>
        <x:v>4100</x:v>
      </x:c>
      <x:c r="V76" s="32" t="n">
        <x:f>IF(AND(ISNUMBER(S76),ISNUMBER(U76)),ABS(S76-U76),IF(S76=U76,0,1))</x:f>
        <x:v>0</x:v>
      </x:c>
      <x:c r="W76" s="30" t="str">
        <x:v>PASS</x:v>
      </x:c>
      <x:c r="X76" s="28" t="str">
        <x:f>IF(V76&lt;=1E-9,"PASS","FAIL")</x:f>
        <x:v>PASS</x:v>
      </x:c>
      <x:c r="Y76" t="str">
        <x:v>TCVN 10304:2025 tr.32–33</x:v>
      </x:c>
      <x:c r="Z76" t="str"/>
    </x:row>
    <x:row r="77">
      <x:c r="A77" t="str">
        <x:v>G0074</x:v>
      </x:c>
      <x:c r="B77" t="str">
        <x:v>Bảng 2</x:v>
      </x:c>
      <x:c r="C77" t="str">
        <x:v>sand:fine</x:v>
      </x:c>
      <x:c r="D77" t="str">
        <x:v>EXACT</x:v>
      </x:c>
      <x:c r="E77" t="str">
        <x:v>{"z":40}</x:v>
      </x:c>
      <x:c r="F77" t="str">
        <x:v>EXACT</x:v>
      </x:c>
      <x:c r="G77"/>
      <x:c r="H77"/>
      <x:c r="I77"/>
      <x:c r="J77"/>
      <x:c r="K77"/>
      <x:c r="L77"/>
      <x:c r="M77" t="n">
        <x:v>4400</x:v>
      </x:c>
      <x:c r="N77"/>
      <x:c r="O77"/>
      <x:c r="P77"/>
      <x:c r="Q77"/>
      <x:c r="R77"/>
      <x:c r="S77" t="n">
        <x:v>4400</x:v>
      </x:c>
      <x:c r="T77" t="n">
        <x:v>4400</x:v>
      </x:c>
      <x:c r="U77" s="28" t="n">
        <x:f>T77</x:f>
        <x:v>4400</x:v>
      </x:c>
      <x:c r="V77" s="32" t="n">
        <x:f>IF(AND(ISNUMBER(S77),ISNUMBER(U77)),ABS(S77-U77),IF(S77=U77,0,1))</x:f>
        <x:v>0</x:v>
      </x:c>
      <x:c r="W77" s="30" t="str">
        <x:v>PASS</x:v>
      </x:c>
      <x:c r="X77" s="28" t="str">
        <x:f>IF(V77&lt;=1E-9,"PASS","FAIL")</x:f>
        <x:v>PASS</x:v>
      </x:c>
      <x:c r="Y77" t="str">
        <x:v>TCVN 10304:2025 tr.32–33</x:v>
      </x:c>
      <x:c r="Z77" t="str"/>
    </x:row>
    <x:row r="78">
      <x:c r="A78" t="str">
        <x:v>G0075</x:v>
      </x:c>
      <x:c r="B78" t="str">
        <x:v>Bảng 2</x:v>
      </x:c>
      <x:c r="C78" t="str">
        <x:v>sand:fine</x:v>
      </x:c>
      <x:c r="D78" t="str">
        <x:v>MID</x:v>
      </x:c>
      <x:c r="E78" t="str">
        <x:v>{"z":3.5}</x:v>
      </x:c>
      <x:c r="F78" t="str">
        <x:v>LINEAR-1D</x:v>
      </x:c>
      <x:c r="G78" t="n">
        <x:v>3.5</x:v>
      </x:c>
      <x:c r="H78"/>
      <x:c r="I78" t="n">
        <x:v>3</x:v>
      </x:c>
      <x:c r="J78" t="n">
        <x:v>4</x:v>
      </x:c>
      <x:c r="K78"/>
      <x:c r="L78"/>
      <x:c r="M78" t="n">
        <x:v>2000</x:v>
      </x:c>
      <x:c r="N78" t="n">
        <x:v>2100</x:v>
      </x:c>
      <x:c r="O78"/>
      <x:c r="P78"/>
      <x:c r="Q78"/>
      <x:c r="R78"/>
      <x:c r="S78" t="n">
        <x:v>2050</x:v>
      </x:c>
      <x:c r="T78" t="n">
        <x:v>2050</x:v>
      </x:c>
      <x:c r="U78" s="28" t="n">
        <x:f>M78+(G78-I78)*(N78-M78)/(J78-I78)</x:f>
        <x:v>2050</x:v>
      </x:c>
      <x:c r="V78" s="32" t="n">
        <x:f>IF(AND(ISNUMBER(S78),ISNUMBER(U78)),ABS(S78-U78),IF(S78=U78,0,1))</x:f>
        <x:v>0</x:v>
      </x:c>
      <x:c r="W78" s="30" t="str">
        <x:v>PASS</x:v>
      </x:c>
      <x:c r="X78" s="28" t="str">
        <x:f>IF(V78&lt;=1E-9,"PASS","FAIL")</x:f>
        <x:v>PASS</x:v>
      </x:c>
      <x:c r="Y78" t="str">
        <x:v>Chú thích 4</x:v>
      </x:c>
      <x:c r="Z78" t="str"/>
    </x:row>
    <x:row r="79">
      <x:c r="A79" t="str">
        <x:v>G0076</x:v>
      </x:c>
      <x:c r="B79" t="str">
        <x:v>Bảng 2</x:v>
      </x:c>
      <x:c r="C79" t="str">
        <x:v>sand:fine</x:v>
      </x:c>
      <x:c r="D79" t="str">
        <x:v>MID</x:v>
      </x:c>
      <x:c r="E79" t="str">
        <x:v>{"z":4.5}</x:v>
      </x:c>
      <x:c r="F79" t="str">
        <x:v>LINEAR-1D</x:v>
      </x:c>
      <x:c r="G79" t="n">
        <x:v>4.5</x:v>
      </x:c>
      <x:c r="H79"/>
      <x:c r="I79" t="n">
        <x:v>4</x:v>
      </x:c>
      <x:c r="J79" t="n">
        <x:v>5</x:v>
      </x:c>
      <x:c r="K79"/>
      <x:c r="L79"/>
      <x:c r="M79" t="n">
        <x:v>2100</x:v>
      </x:c>
      <x:c r="N79" t="n">
        <x:v>2200</x:v>
      </x:c>
      <x:c r="O79"/>
      <x:c r="P79"/>
      <x:c r="Q79"/>
      <x:c r="R79"/>
      <x:c r="S79" t="n">
        <x:v>2150</x:v>
      </x:c>
      <x:c r="T79" t="n">
        <x:v>2150</x:v>
      </x:c>
      <x:c r="U79" s="28" t="n">
        <x:f>M79+(G79-I79)*(N79-M79)/(J79-I79)</x:f>
        <x:v>2150</x:v>
      </x:c>
      <x:c r="V79" s="32" t="n">
        <x:f>IF(AND(ISNUMBER(S79),ISNUMBER(U79)),ABS(S79-U79),IF(S79=U79,0,1))</x:f>
        <x:v>0</x:v>
      </x:c>
      <x:c r="W79" s="30" t="str">
        <x:v>PASS</x:v>
      </x:c>
      <x:c r="X79" s="28" t="str">
        <x:f>IF(V79&lt;=1E-9,"PASS","FAIL")</x:f>
        <x:v>PASS</x:v>
      </x:c>
      <x:c r="Y79" t="str">
        <x:v>Chú thích 4</x:v>
      </x:c>
      <x:c r="Z79" t="str"/>
    </x:row>
    <x:row r="80">
      <x:c r="A80" t="str">
        <x:v>G0077</x:v>
      </x:c>
      <x:c r="B80" t="str">
        <x:v>Bảng 2</x:v>
      </x:c>
      <x:c r="C80" t="str">
        <x:v>sand:fine</x:v>
      </x:c>
      <x:c r="D80" t="str">
        <x:v>MID</x:v>
      </x:c>
      <x:c r="E80" t="str">
        <x:v>{"z":6}</x:v>
      </x:c>
      <x:c r="F80" t="str">
        <x:v>LINEAR-1D</x:v>
      </x:c>
      <x:c r="G80" t="n">
        <x:v>6</x:v>
      </x:c>
      <x:c r="H80"/>
      <x:c r="I80" t="n">
        <x:v>5</x:v>
      </x:c>
      <x:c r="J80" t="n">
        <x:v>7</x:v>
      </x:c>
      <x:c r="K80"/>
      <x:c r="L80"/>
      <x:c r="M80" t="n">
        <x:v>2200</x:v>
      </x:c>
      <x:c r="N80" t="n">
        <x:v>2400</x:v>
      </x:c>
      <x:c r="O80"/>
      <x:c r="P80"/>
      <x:c r="Q80"/>
      <x:c r="R80"/>
      <x:c r="S80" t="n">
        <x:v>2300</x:v>
      </x:c>
      <x:c r="T80" t="n">
        <x:v>2300</x:v>
      </x:c>
      <x:c r="U80" s="28" t="n">
        <x:f>M80+(G80-I80)*(N80-M80)/(J80-I80)</x:f>
        <x:v>2300</x:v>
      </x:c>
      <x:c r="V80" s="32" t="n">
        <x:f>IF(AND(ISNUMBER(S80),ISNUMBER(U80)),ABS(S80-U80),IF(S80=U80,0,1))</x:f>
        <x:v>0</x:v>
      </x:c>
      <x:c r="W80" s="30" t="str">
        <x:v>PASS</x:v>
      </x:c>
      <x:c r="X80" s="28" t="str">
        <x:f>IF(V80&lt;=1E-9,"PASS","FAIL")</x:f>
        <x:v>PASS</x:v>
      </x:c>
      <x:c r="Y80" t="str">
        <x:v>Chú thích 4</x:v>
      </x:c>
      <x:c r="Z80" t="str"/>
    </x:row>
    <x:row r="81">
      <x:c r="A81" t="str">
        <x:v>G0078</x:v>
      </x:c>
      <x:c r="B81" t="str">
        <x:v>Bảng 2</x:v>
      </x:c>
      <x:c r="C81" t="str">
        <x:v>sand:fine</x:v>
      </x:c>
      <x:c r="D81" t="str">
        <x:v>MID</x:v>
      </x:c>
      <x:c r="E81" t="str">
        <x:v>{"z":8.5}</x:v>
      </x:c>
      <x:c r="F81" t="str">
        <x:v>LINEAR-1D</x:v>
      </x:c>
      <x:c r="G81" t="n">
        <x:v>8.5</x:v>
      </x:c>
      <x:c r="H81"/>
      <x:c r="I81" t="n">
        <x:v>7</x:v>
      </x:c>
      <x:c r="J81" t="n">
        <x:v>10</x:v>
      </x:c>
      <x:c r="K81"/>
      <x:c r="L81"/>
      <x:c r="M81" t="n">
        <x:v>2400</x:v>
      </x:c>
      <x:c r="N81" t="n">
        <x:v>2600</x:v>
      </x:c>
      <x:c r="O81"/>
      <x:c r="P81"/>
      <x:c r="Q81"/>
      <x:c r="R81"/>
      <x:c r="S81" t="n">
        <x:v>2500</x:v>
      </x:c>
      <x:c r="T81" t="n">
        <x:v>2500</x:v>
      </x:c>
      <x:c r="U81" s="28" t="n">
        <x:f>M81+(G81-I81)*(N81-M81)/(J81-I81)</x:f>
        <x:v>2500</x:v>
      </x:c>
      <x:c r="V81" s="32" t="n">
        <x:f>IF(AND(ISNUMBER(S81),ISNUMBER(U81)),ABS(S81-U81),IF(S81=U81,0,1))</x:f>
        <x:v>0</x:v>
      </x:c>
      <x:c r="W81" s="30" t="str">
        <x:v>PASS</x:v>
      </x:c>
      <x:c r="X81" s="28" t="str">
        <x:f>IF(V81&lt;=1E-9,"PASS","FAIL")</x:f>
        <x:v>PASS</x:v>
      </x:c>
      <x:c r="Y81" t="str">
        <x:v>Chú thích 4</x:v>
      </x:c>
      <x:c r="Z81" t="str"/>
    </x:row>
    <x:row r="82">
      <x:c r="A82" t="str">
        <x:v>G0079</x:v>
      </x:c>
      <x:c r="B82" t="str">
        <x:v>Bảng 2</x:v>
      </x:c>
      <x:c r="C82" t="str">
        <x:v>sand:fine</x:v>
      </x:c>
      <x:c r="D82" t="str">
        <x:v>MID</x:v>
      </x:c>
      <x:c r="E82" t="str">
        <x:v>{"z":12.5}</x:v>
      </x:c>
      <x:c r="F82" t="str">
        <x:v>LINEAR-1D</x:v>
      </x:c>
      <x:c r="G82" t="n">
        <x:v>12.5</x:v>
      </x:c>
      <x:c r="H82"/>
      <x:c r="I82" t="n">
        <x:v>10</x:v>
      </x:c>
      <x:c r="J82" t="n">
        <x:v>15</x:v>
      </x:c>
      <x:c r="K82"/>
      <x:c r="L82"/>
      <x:c r="M82" t="n">
        <x:v>2600</x:v>
      </x:c>
      <x:c r="N82" t="n">
        <x:v>2900</x:v>
      </x:c>
      <x:c r="O82"/>
      <x:c r="P82"/>
      <x:c r="Q82"/>
      <x:c r="R82"/>
      <x:c r="S82" t="n">
        <x:v>2750</x:v>
      </x:c>
      <x:c r="T82" t="n">
        <x:v>2750</x:v>
      </x:c>
      <x:c r="U82" s="28" t="n">
        <x:f>M82+(G82-I82)*(N82-M82)/(J82-I82)</x:f>
        <x:v>2750</x:v>
      </x:c>
      <x:c r="V82" s="32" t="n">
        <x:f>IF(AND(ISNUMBER(S82),ISNUMBER(U82)),ABS(S82-U82),IF(S82=U82,0,1))</x:f>
        <x:v>0</x:v>
      </x:c>
      <x:c r="W82" s="30" t="str">
        <x:v>PASS</x:v>
      </x:c>
      <x:c r="X82" s="28" t="str">
        <x:f>IF(V82&lt;=1E-9,"PASS","FAIL")</x:f>
        <x:v>PASS</x:v>
      </x:c>
      <x:c r="Y82" t="str">
        <x:v>Chú thích 4</x:v>
      </x:c>
      <x:c r="Z82" t="str"/>
    </x:row>
    <x:row r="83">
      <x:c r="A83" t="str">
        <x:v>G0080</x:v>
      </x:c>
      <x:c r="B83" t="str">
        <x:v>Bảng 2</x:v>
      </x:c>
      <x:c r="C83" t="str">
        <x:v>sand:fine</x:v>
      </x:c>
      <x:c r="D83" t="str">
        <x:v>MID</x:v>
      </x:c>
      <x:c r="E83" t="str">
        <x:v>{"z":17.5}</x:v>
      </x:c>
      <x:c r="F83" t="str">
        <x:v>LINEAR-1D</x:v>
      </x:c>
      <x:c r="G83" t="n">
        <x:v>17.5</x:v>
      </x:c>
      <x:c r="H83"/>
      <x:c r="I83" t="n">
        <x:v>15</x:v>
      </x:c>
      <x:c r="J83" t="n">
        <x:v>20</x:v>
      </x:c>
      <x:c r="K83"/>
      <x:c r="L83"/>
      <x:c r="M83" t="n">
        <x:v>2900</x:v>
      </x:c>
      <x:c r="N83" t="n">
        <x:v>3200</x:v>
      </x:c>
      <x:c r="O83"/>
      <x:c r="P83"/>
      <x:c r="Q83"/>
      <x:c r="R83"/>
      <x:c r="S83" t="n">
        <x:v>3050</x:v>
      </x:c>
      <x:c r="T83" t="n">
        <x:v>3050</x:v>
      </x:c>
      <x:c r="U83" s="28" t="n">
        <x:f>M83+(G83-I83)*(N83-M83)/(J83-I83)</x:f>
        <x:v>3050</x:v>
      </x:c>
      <x:c r="V83" s="32" t="n">
        <x:f>IF(AND(ISNUMBER(S83),ISNUMBER(U83)),ABS(S83-U83),IF(S83=U83,0,1))</x:f>
        <x:v>0</x:v>
      </x:c>
      <x:c r="W83" s="30" t="str">
        <x:v>PASS</x:v>
      </x:c>
      <x:c r="X83" s="28" t="str">
        <x:f>IF(V83&lt;=1E-9,"PASS","FAIL")</x:f>
        <x:v>PASS</x:v>
      </x:c>
      <x:c r="Y83" t="str">
        <x:v>Chú thích 4</x:v>
      </x:c>
      <x:c r="Z83" t="str"/>
    </x:row>
    <x:row r="84">
      <x:c r="A84" t="str">
        <x:v>G0081</x:v>
      </x:c>
      <x:c r="B84" t="str">
        <x:v>Bảng 2</x:v>
      </x:c>
      <x:c r="C84" t="str">
        <x:v>sand:fine</x:v>
      </x:c>
      <x:c r="D84" t="str">
        <x:v>MID</x:v>
      </x:c>
      <x:c r="E84" t="str">
        <x:v>{"z":22.5}</x:v>
      </x:c>
      <x:c r="F84" t="str">
        <x:v>LINEAR-1D</x:v>
      </x:c>
      <x:c r="G84" t="n">
        <x:v>22.5</x:v>
      </x:c>
      <x:c r="H84"/>
      <x:c r="I84" t="n">
        <x:v>20</x:v>
      </x:c>
      <x:c r="J84" t="n">
        <x:v>25</x:v>
      </x:c>
      <x:c r="K84"/>
      <x:c r="L84"/>
      <x:c r="M84" t="n">
        <x:v>3200</x:v>
      </x:c>
      <x:c r="N84" t="n">
        <x:v>3500</x:v>
      </x:c>
      <x:c r="O84"/>
      <x:c r="P84"/>
      <x:c r="Q84"/>
      <x:c r="R84"/>
      <x:c r="S84" t="n">
        <x:v>3350</x:v>
      </x:c>
      <x:c r="T84" t="n">
        <x:v>3350</x:v>
      </x:c>
      <x:c r="U84" s="28" t="n">
        <x:f>M84+(G84-I84)*(N84-M84)/(J84-I84)</x:f>
        <x:v>3350</x:v>
      </x:c>
      <x:c r="V84" s="32" t="n">
        <x:f>IF(AND(ISNUMBER(S84),ISNUMBER(U84)),ABS(S84-U84),IF(S84=U84,0,1))</x:f>
        <x:v>0</x:v>
      </x:c>
      <x:c r="W84" s="30" t="str">
        <x:v>PASS</x:v>
      </x:c>
      <x:c r="X84" s="28" t="str">
        <x:f>IF(V84&lt;=1E-9,"PASS","FAIL")</x:f>
        <x:v>PASS</x:v>
      </x:c>
      <x:c r="Y84" t="str">
        <x:v>Chú thích 4</x:v>
      </x:c>
      <x:c r="Z84" t="str"/>
    </x:row>
    <x:row r="85">
      <x:c r="A85" t="str">
        <x:v>G0082</x:v>
      </x:c>
      <x:c r="B85" t="str">
        <x:v>Bảng 2</x:v>
      </x:c>
      <x:c r="C85" t="str">
        <x:v>sand:fine</x:v>
      </x:c>
      <x:c r="D85" t="str">
        <x:v>MID</x:v>
      </x:c>
      <x:c r="E85" t="str">
        <x:v>{"z":27.5}</x:v>
      </x:c>
      <x:c r="F85" t="str">
        <x:v>LINEAR-1D</x:v>
      </x:c>
      <x:c r="G85" t="n">
        <x:v>27.5</x:v>
      </x:c>
      <x:c r="H85"/>
      <x:c r="I85" t="n">
        <x:v>25</x:v>
      </x:c>
      <x:c r="J85" t="n">
        <x:v>30</x:v>
      </x:c>
      <x:c r="K85"/>
      <x:c r="L85"/>
      <x:c r="M85" t="n">
        <x:v>3500</x:v>
      </x:c>
      <x:c r="N85" t="n">
        <x:v>3800</x:v>
      </x:c>
      <x:c r="O85"/>
      <x:c r="P85"/>
      <x:c r="Q85"/>
      <x:c r="R85"/>
      <x:c r="S85" t="n">
        <x:v>3650</x:v>
      </x:c>
      <x:c r="T85" t="n">
        <x:v>3650</x:v>
      </x:c>
      <x:c r="U85" s="28" t="n">
        <x:f>M85+(G85-I85)*(N85-M85)/(J85-I85)</x:f>
        <x:v>3650</x:v>
      </x:c>
      <x:c r="V85" s="32" t="n">
        <x:f>IF(AND(ISNUMBER(S85),ISNUMBER(U85)),ABS(S85-U85),IF(S85=U85,0,1))</x:f>
        <x:v>0</x:v>
      </x:c>
      <x:c r="W85" s="30" t="str">
        <x:v>PASS</x:v>
      </x:c>
      <x:c r="X85" s="28" t="str">
        <x:f>IF(V85&lt;=1E-9,"PASS","FAIL")</x:f>
        <x:v>PASS</x:v>
      </x:c>
      <x:c r="Y85" t="str">
        <x:v>Chú thích 4</x:v>
      </x:c>
      <x:c r="Z85" t="str"/>
    </x:row>
    <x:row r="86">
      <x:c r="A86" t="str">
        <x:v>G0083</x:v>
      </x:c>
      <x:c r="B86" t="str">
        <x:v>Bảng 2</x:v>
      </x:c>
      <x:c r="C86" t="str">
        <x:v>sand:fine</x:v>
      </x:c>
      <x:c r="D86" t="str">
        <x:v>MID</x:v>
      </x:c>
      <x:c r="E86" t="str">
        <x:v>{"z":32.5}</x:v>
      </x:c>
      <x:c r="F86" t="str">
        <x:v>LINEAR-1D</x:v>
      </x:c>
      <x:c r="G86" t="n">
        <x:v>32.5</x:v>
      </x:c>
      <x:c r="H86"/>
      <x:c r="I86" t="n">
        <x:v>30</x:v>
      </x:c>
      <x:c r="J86" t="n">
        <x:v>35</x:v>
      </x:c>
      <x:c r="K86"/>
      <x:c r="L86"/>
      <x:c r="M86" t="n">
        <x:v>3800</x:v>
      </x:c>
      <x:c r="N86" t="n">
        <x:v>4100</x:v>
      </x:c>
      <x:c r="O86"/>
      <x:c r="P86"/>
      <x:c r="Q86"/>
      <x:c r="R86"/>
      <x:c r="S86" t="n">
        <x:v>3950</x:v>
      </x:c>
      <x:c r="T86" t="n">
        <x:v>3950</x:v>
      </x:c>
      <x:c r="U86" s="28" t="n">
        <x:f>M86+(G86-I86)*(N86-M86)/(J86-I86)</x:f>
        <x:v>3950</x:v>
      </x:c>
      <x:c r="V86" s="32" t="n">
        <x:f>IF(AND(ISNUMBER(S86),ISNUMBER(U86)),ABS(S86-U86),IF(S86=U86,0,1))</x:f>
        <x:v>0</x:v>
      </x:c>
      <x:c r="W86" s="30" t="str">
        <x:v>PASS</x:v>
      </x:c>
      <x:c r="X86" s="28" t="str">
        <x:f>IF(V86&lt;=1E-9,"PASS","FAIL")</x:f>
        <x:v>PASS</x:v>
      </x:c>
      <x:c r="Y86" t="str">
        <x:v>Chú thích 4</x:v>
      </x:c>
      <x:c r="Z86" t="str"/>
    </x:row>
    <x:row r="87">
      <x:c r="A87" t="str">
        <x:v>G0084</x:v>
      </x:c>
      <x:c r="B87" t="str">
        <x:v>Bảng 2</x:v>
      </x:c>
      <x:c r="C87" t="str">
        <x:v>sand:fine</x:v>
      </x:c>
      <x:c r="D87" t="str">
        <x:v>MID</x:v>
      </x:c>
      <x:c r="E87" t="str">
        <x:v>{"z":37.5}</x:v>
      </x:c>
      <x:c r="F87" t="str">
        <x:v>LINEAR-1D</x:v>
      </x:c>
      <x:c r="G87" t="n">
        <x:v>37.5</x:v>
      </x:c>
      <x:c r="H87"/>
      <x:c r="I87" t="n">
        <x:v>35</x:v>
      </x:c>
      <x:c r="J87" t="n">
        <x:v>40</x:v>
      </x:c>
      <x:c r="K87"/>
      <x:c r="L87"/>
      <x:c r="M87" t="n">
        <x:v>4100</x:v>
      </x:c>
      <x:c r="N87" t="n">
        <x:v>4400</x:v>
      </x:c>
      <x:c r="O87"/>
      <x:c r="P87"/>
      <x:c r="Q87"/>
      <x:c r="R87"/>
      <x:c r="S87" t="n">
        <x:v>4250</x:v>
      </x:c>
      <x:c r="T87" t="n">
        <x:v>4250</x:v>
      </x:c>
      <x:c r="U87" s="28" t="n">
        <x:f>M87+(G87-I87)*(N87-M87)/(J87-I87)</x:f>
        <x:v>4250</x:v>
      </x:c>
      <x:c r="V87" s="32" t="n">
        <x:f>IF(AND(ISNUMBER(S87),ISNUMBER(U87)),ABS(S87-U87),IF(S87=U87,0,1))</x:f>
        <x:v>0</x:v>
      </x:c>
      <x:c r="W87" s="30" t="str">
        <x:v>PASS</x:v>
      </x:c>
      <x:c r="X87" s="28" t="str">
        <x:f>IF(V87&lt;=1E-9,"PASS","FAIL")</x:f>
        <x:v>PASS</x:v>
      </x:c>
      <x:c r="Y87" t="str">
        <x:v>Chú thích 4</x:v>
      </x:c>
      <x:c r="Z87" t="str"/>
    </x:row>
    <x:row r="88">
      <x:c r="A88" t="str">
        <x:v>G0085</x:v>
      </x:c>
      <x:c r="B88" t="str">
        <x:v>Bảng 2</x:v>
      </x:c>
      <x:c r="C88" t="str">
        <x:v>sand:silty</x:v>
      </x:c>
      <x:c r="D88" t="str">
        <x:v>EXACT</x:v>
      </x:c>
      <x:c r="E88" t="str">
        <x:v>{"z":3}</x:v>
      </x:c>
      <x:c r="F88" t="str">
        <x:v>EXACT</x:v>
      </x:c>
      <x:c r="G88"/>
      <x:c r="H88"/>
      <x:c r="I88"/>
      <x:c r="J88"/>
      <x:c r="K88"/>
      <x:c r="L88"/>
      <x:c r="M88" t="n">
        <x:v>1100</x:v>
      </x:c>
      <x:c r="N88"/>
      <x:c r="O88"/>
      <x:c r="P88"/>
      <x:c r="Q88"/>
      <x:c r="R88"/>
      <x:c r="S88" t="n">
        <x:v>1100</x:v>
      </x:c>
      <x:c r="T88" t="n">
        <x:v>1100</x:v>
      </x:c>
      <x:c r="U88" s="28" t="n">
        <x:f>T88</x:f>
        <x:v>1100</x:v>
      </x:c>
      <x:c r="V88" s="32" t="n">
        <x:f>IF(AND(ISNUMBER(S88),ISNUMBER(U88)),ABS(S88-U88),IF(S88=U88,0,1))</x:f>
        <x:v>0</x:v>
      </x:c>
      <x:c r="W88" s="30" t="str">
        <x:v>PASS</x:v>
      </x:c>
      <x:c r="X88" s="28" t="str">
        <x:f>IF(V88&lt;=1E-9,"PASS","FAIL")</x:f>
        <x:v>PASS</x:v>
      </x:c>
      <x:c r="Y88" t="str">
        <x:v>TCVN 10304:2025 tr.32–33</x:v>
      </x:c>
      <x:c r="Z88" t="str"/>
    </x:row>
    <x:row r="89">
      <x:c r="A89" t="str">
        <x:v>G0086</x:v>
      </x:c>
      <x:c r="B89" t="str">
        <x:v>Bảng 2</x:v>
      </x:c>
      <x:c r="C89" t="str">
        <x:v>sand:silty</x:v>
      </x:c>
      <x:c r="D89" t="str">
        <x:v>EXACT</x:v>
      </x:c>
      <x:c r="E89" t="str">
        <x:v>{"z":4}</x:v>
      </x:c>
      <x:c r="F89" t="str">
        <x:v>EXACT</x:v>
      </x:c>
      <x:c r="G89"/>
      <x:c r="H89"/>
      <x:c r="I89"/>
      <x:c r="J89"/>
      <x:c r="K89"/>
      <x:c r="L89"/>
      <x:c r="M89" t="n">
        <x:v>1250</x:v>
      </x:c>
      <x:c r="N89"/>
      <x:c r="O89"/>
      <x:c r="P89"/>
      <x:c r="Q89"/>
      <x:c r="R89"/>
      <x:c r="S89" t="n">
        <x:v>1250</x:v>
      </x:c>
      <x:c r="T89" t="n">
        <x:v>1250</x:v>
      </x:c>
      <x:c r="U89" s="28" t="n">
        <x:f>T89</x:f>
        <x:v>1250</x:v>
      </x:c>
      <x:c r="V89" s="32" t="n">
        <x:f>IF(AND(ISNUMBER(S89),ISNUMBER(U89)),ABS(S89-U89),IF(S89=U89,0,1))</x:f>
        <x:v>0</x:v>
      </x:c>
      <x:c r="W89" s="30" t="str">
        <x:v>PASS</x:v>
      </x:c>
      <x:c r="X89" s="28" t="str">
        <x:f>IF(V89&lt;=1E-9,"PASS","FAIL")</x:f>
        <x:v>PASS</x:v>
      </x:c>
      <x:c r="Y89" t="str">
        <x:v>TCVN 10304:2025 tr.32–33</x:v>
      </x:c>
      <x:c r="Z89" t="str"/>
    </x:row>
    <x:row r="90">
      <x:c r="A90" t="str">
        <x:v>G0087</x:v>
      </x:c>
      <x:c r="B90" t="str">
        <x:v>Bảng 2</x:v>
      </x:c>
      <x:c r="C90" t="str">
        <x:v>sand:silty</x:v>
      </x:c>
      <x:c r="D90" t="str">
        <x:v>EXACT</x:v>
      </x:c>
      <x:c r="E90" t="str">
        <x:v>{"z":5}</x:v>
      </x:c>
      <x:c r="F90" t="str">
        <x:v>EXACT</x:v>
      </x:c>
      <x:c r="G90"/>
      <x:c r="H90"/>
      <x:c r="I90"/>
      <x:c r="J90"/>
      <x:c r="K90"/>
      <x:c r="L90"/>
      <x:c r="M90" t="n">
        <x:v>1300</x:v>
      </x:c>
      <x:c r="N90"/>
      <x:c r="O90"/>
      <x:c r="P90"/>
      <x:c r="Q90"/>
      <x:c r="R90"/>
      <x:c r="S90" t="n">
        <x:v>1300</x:v>
      </x:c>
      <x:c r="T90" t="n">
        <x:v>1300</x:v>
      </x:c>
      <x:c r="U90" s="28" t="n">
        <x:f>T90</x:f>
        <x:v>1300</x:v>
      </x:c>
      <x:c r="V90" s="32" t="n">
        <x:f>IF(AND(ISNUMBER(S90),ISNUMBER(U90)),ABS(S90-U90),IF(S90=U90,0,1))</x:f>
        <x:v>0</x:v>
      </x:c>
      <x:c r="W90" s="30" t="str">
        <x:v>PASS</x:v>
      </x:c>
      <x:c r="X90" s="28" t="str">
        <x:f>IF(V90&lt;=1E-9,"PASS","FAIL")</x:f>
        <x:v>PASS</x:v>
      </x:c>
      <x:c r="Y90" t="str">
        <x:v>TCVN 10304:2025 tr.32–33</x:v>
      </x:c>
      <x:c r="Z90" t="str"/>
    </x:row>
    <x:row r="91">
      <x:c r="A91" t="str">
        <x:v>G0088</x:v>
      </x:c>
      <x:c r="B91" t="str">
        <x:v>Bảng 2</x:v>
      </x:c>
      <x:c r="C91" t="str">
        <x:v>sand:silty</x:v>
      </x:c>
      <x:c r="D91" t="str">
        <x:v>EXACT</x:v>
      </x:c>
      <x:c r="E91" t="str">
        <x:v>{"z":7}</x:v>
      </x:c>
      <x:c r="F91" t="str">
        <x:v>EXACT</x:v>
      </x:c>
      <x:c r="G91"/>
      <x:c r="H91"/>
      <x:c r="I91"/>
      <x:c r="J91"/>
      <x:c r="K91"/>
      <x:c r="L91"/>
      <x:c r="M91" t="n">
        <x:v>1400</x:v>
      </x:c>
      <x:c r="N91"/>
      <x:c r="O91"/>
      <x:c r="P91"/>
      <x:c r="Q91"/>
      <x:c r="R91"/>
      <x:c r="S91" t="n">
        <x:v>1400</x:v>
      </x:c>
      <x:c r="T91" t="n">
        <x:v>1400</x:v>
      </x:c>
      <x:c r="U91" s="28" t="n">
        <x:f>T91</x:f>
        <x:v>1400</x:v>
      </x:c>
      <x:c r="V91" s="32" t="n">
        <x:f>IF(AND(ISNUMBER(S91),ISNUMBER(U91)),ABS(S91-U91),IF(S91=U91,0,1))</x:f>
        <x:v>0</x:v>
      </x:c>
      <x:c r="W91" s="30" t="str">
        <x:v>PASS</x:v>
      </x:c>
      <x:c r="X91" s="28" t="str">
        <x:f>IF(V91&lt;=1E-9,"PASS","FAIL")</x:f>
        <x:v>PASS</x:v>
      </x:c>
      <x:c r="Y91" t="str">
        <x:v>TCVN 10304:2025 tr.32–33</x:v>
      </x:c>
      <x:c r="Z91" t="str"/>
    </x:row>
    <x:row r="92">
      <x:c r="A92" t="str">
        <x:v>G0089</x:v>
      </x:c>
      <x:c r="B92" t="str">
        <x:v>Bảng 2</x:v>
      </x:c>
      <x:c r="C92" t="str">
        <x:v>sand:silty</x:v>
      </x:c>
      <x:c r="D92" t="str">
        <x:v>EXACT</x:v>
      </x:c>
      <x:c r="E92" t="str">
        <x:v>{"z":10}</x:v>
      </x:c>
      <x:c r="F92" t="str">
        <x:v>EXACT</x:v>
      </x:c>
      <x:c r="G92"/>
      <x:c r="H92"/>
      <x:c r="I92"/>
      <x:c r="J92"/>
      <x:c r="K92"/>
      <x:c r="L92"/>
      <x:c r="M92" t="n">
        <x:v>1500</x:v>
      </x:c>
      <x:c r="N92"/>
      <x:c r="O92"/>
      <x:c r="P92"/>
      <x:c r="Q92"/>
      <x:c r="R92"/>
      <x:c r="S92" t="n">
        <x:v>1500</x:v>
      </x:c>
      <x:c r="T92" t="n">
        <x:v>1500</x:v>
      </x:c>
      <x:c r="U92" s="28" t="n">
        <x:f>T92</x:f>
        <x:v>1500</x:v>
      </x:c>
      <x:c r="V92" s="32" t="n">
        <x:f>IF(AND(ISNUMBER(S92),ISNUMBER(U92)),ABS(S92-U92),IF(S92=U92,0,1))</x:f>
        <x:v>0</x:v>
      </x:c>
      <x:c r="W92" s="30" t="str">
        <x:v>PASS</x:v>
      </x:c>
      <x:c r="X92" s="28" t="str">
        <x:f>IF(V92&lt;=1E-9,"PASS","FAIL")</x:f>
        <x:v>PASS</x:v>
      </x:c>
      <x:c r="Y92" t="str">
        <x:v>TCVN 10304:2025 tr.32–33</x:v>
      </x:c>
      <x:c r="Z92" t="str"/>
    </x:row>
    <x:row r="93">
      <x:c r="A93" t="str">
        <x:v>G0090</x:v>
      </x:c>
      <x:c r="B93" t="str">
        <x:v>Bảng 2</x:v>
      </x:c>
      <x:c r="C93" t="str">
        <x:v>sand:silty</x:v>
      </x:c>
      <x:c r="D93" t="str">
        <x:v>EXACT</x:v>
      </x:c>
      <x:c r="E93" t="str">
        <x:v>{"z":15}</x:v>
      </x:c>
      <x:c r="F93" t="str">
        <x:v>EXACT</x:v>
      </x:c>
      <x:c r="G93"/>
      <x:c r="H93"/>
      <x:c r="I93"/>
      <x:c r="J93"/>
      <x:c r="K93"/>
      <x:c r="L93"/>
      <x:c r="M93" t="n">
        <x:v>1650</x:v>
      </x:c>
      <x:c r="N93"/>
      <x:c r="O93"/>
      <x:c r="P93"/>
      <x:c r="Q93"/>
      <x:c r="R93"/>
      <x:c r="S93" t="n">
        <x:v>1650</x:v>
      </x:c>
      <x:c r="T93" t="n">
        <x:v>1650</x:v>
      </x:c>
      <x:c r="U93" s="28" t="n">
        <x:f>T93</x:f>
        <x:v>1650</x:v>
      </x:c>
      <x:c r="V93" s="32" t="n">
        <x:f>IF(AND(ISNUMBER(S93),ISNUMBER(U93)),ABS(S93-U93),IF(S93=U93,0,1))</x:f>
        <x:v>0</x:v>
      </x:c>
      <x:c r="W93" s="30" t="str">
        <x:v>PASS</x:v>
      </x:c>
      <x:c r="X93" s="28" t="str">
        <x:f>IF(V93&lt;=1E-9,"PASS","FAIL")</x:f>
        <x:v>PASS</x:v>
      </x:c>
      <x:c r="Y93" t="str">
        <x:v>TCVN 10304:2025 tr.32–33</x:v>
      </x:c>
      <x:c r="Z93" t="str"/>
    </x:row>
    <x:row r="94">
      <x:c r="A94" t="str">
        <x:v>G0091</x:v>
      </x:c>
      <x:c r="B94" t="str">
        <x:v>Bảng 2</x:v>
      </x:c>
      <x:c r="C94" t="str">
        <x:v>sand:silty</x:v>
      </x:c>
      <x:c r="D94" t="str">
        <x:v>EXACT</x:v>
      </x:c>
      <x:c r="E94" t="str">
        <x:v>{"z":20}</x:v>
      </x:c>
      <x:c r="F94" t="str">
        <x:v>EXACT</x:v>
      </x:c>
      <x:c r="G94"/>
      <x:c r="H94"/>
      <x:c r="I94"/>
      <x:c r="J94"/>
      <x:c r="K94"/>
      <x:c r="L94"/>
      <x:c r="M94" t="n">
        <x:v>1800</x:v>
      </x:c>
      <x:c r="N94"/>
      <x:c r="O94"/>
      <x:c r="P94"/>
      <x:c r="Q94"/>
      <x:c r="R94"/>
      <x:c r="S94" t="n">
        <x:v>1800</x:v>
      </x:c>
      <x:c r="T94" t="n">
        <x:v>1800</x:v>
      </x:c>
      <x:c r="U94" s="28" t="n">
        <x:f>T94</x:f>
        <x:v>1800</x:v>
      </x:c>
      <x:c r="V94" s="32" t="n">
        <x:f>IF(AND(ISNUMBER(S94),ISNUMBER(U94)),ABS(S94-U94),IF(S94=U94,0,1))</x:f>
        <x:v>0</x:v>
      </x:c>
      <x:c r="W94" s="30" t="str">
        <x:v>PASS</x:v>
      </x:c>
      <x:c r="X94" s="28" t="str">
        <x:f>IF(V94&lt;=1E-9,"PASS","FAIL")</x:f>
        <x:v>PASS</x:v>
      </x:c>
      <x:c r="Y94" t="str">
        <x:v>TCVN 10304:2025 tr.32–33</x:v>
      </x:c>
      <x:c r="Z94" t="str"/>
    </x:row>
    <x:row r="95">
      <x:c r="A95" t="str">
        <x:v>G0092</x:v>
      </x:c>
      <x:c r="B95" t="str">
        <x:v>Bảng 2</x:v>
      </x:c>
      <x:c r="C95" t="str">
        <x:v>sand:silty</x:v>
      </x:c>
      <x:c r="D95" t="str">
        <x:v>EXACT</x:v>
      </x:c>
      <x:c r="E95" t="str">
        <x:v>{"z":25}</x:v>
      </x:c>
      <x:c r="F95" t="str">
        <x:v>EXACT</x:v>
      </x:c>
      <x:c r="G95"/>
      <x:c r="H95"/>
      <x:c r="I95"/>
      <x:c r="J95"/>
      <x:c r="K95"/>
      <x:c r="L95"/>
      <x:c r="M95" t="n">
        <x:v>1950</x:v>
      </x:c>
      <x:c r="N95"/>
      <x:c r="O95"/>
      <x:c r="P95"/>
      <x:c r="Q95"/>
      <x:c r="R95"/>
      <x:c r="S95" t="n">
        <x:v>1950</x:v>
      </x:c>
      <x:c r="T95" t="n">
        <x:v>1950</x:v>
      </x:c>
      <x:c r="U95" s="28" t="n">
        <x:f>T95</x:f>
        <x:v>1950</x:v>
      </x:c>
      <x:c r="V95" s="32" t="n">
        <x:f>IF(AND(ISNUMBER(S95),ISNUMBER(U95)),ABS(S95-U95),IF(S95=U95,0,1))</x:f>
        <x:v>0</x:v>
      </x:c>
      <x:c r="W95" s="30" t="str">
        <x:v>PASS</x:v>
      </x:c>
      <x:c r="X95" s="28" t="str">
        <x:f>IF(V95&lt;=1E-9,"PASS","FAIL")</x:f>
        <x:v>PASS</x:v>
      </x:c>
      <x:c r="Y95" t="str">
        <x:v>TCVN 10304:2025 tr.32–33</x:v>
      </x:c>
      <x:c r="Z95" t="str"/>
    </x:row>
    <x:row r="96">
      <x:c r="A96" t="str">
        <x:v>G0093</x:v>
      </x:c>
      <x:c r="B96" t="str">
        <x:v>Bảng 2</x:v>
      </x:c>
      <x:c r="C96" t="str">
        <x:v>sand:silty</x:v>
      </x:c>
      <x:c r="D96" t="str">
        <x:v>EXACT</x:v>
      </x:c>
      <x:c r="E96" t="str">
        <x:v>{"z":30}</x:v>
      </x:c>
      <x:c r="F96" t="str">
        <x:v>EXACT</x:v>
      </x:c>
      <x:c r="G96"/>
      <x:c r="H96"/>
      <x:c r="I96"/>
      <x:c r="J96"/>
      <x:c r="K96"/>
      <x:c r="L96"/>
      <x:c r="M96" t="n">
        <x:v>2100</x:v>
      </x:c>
      <x:c r="N96"/>
      <x:c r="O96"/>
      <x:c r="P96"/>
      <x:c r="Q96"/>
      <x:c r="R96"/>
      <x:c r="S96" t="n">
        <x:v>2100</x:v>
      </x:c>
      <x:c r="T96" t="n">
        <x:v>2100</x:v>
      </x:c>
      <x:c r="U96" s="28" t="n">
        <x:f>T96</x:f>
        <x:v>2100</x:v>
      </x:c>
      <x:c r="V96" s="32" t="n">
        <x:f>IF(AND(ISNUMBER(S96),ISNUMBER(U96)),ABS(S96-U96),IF(S96=U96,0,1))</x:f>
        <x:v>0</x:v>
      </x:c>
      <x:c r="W96" s="30" t="str">
        <x:v>PASS</x:v>
      </x:c>
      <x:c r="X96" s="28" t="str">
        <x:f>IF(V96&lt;=1E-9,"PASS","FAIL")</x:f>
        <x:v>PASS</x:v>
      </x:c>
      <x:c r="Y96" t="str">
        <x:v>TCVN 10304:2025 tr.32–33</x:v>
      </x:c>
      <x:c r="Z96" t="str"/>
    </x:row>
    <x:row r="97">
      <x:c r="A97" t="str">
        <x:v>G0094</x:v>
      </x:c>
      <x:c r="B97" t="str">
        <x:v>Bảng 2</x:v>
      </x:c>
      <x:c r="C97" t="str">
        <x:v>sand:silty</x:v>
      </x:c>
      <x:c r="D97" t="str">
        <x:v>EXACT</x:v>
      </x:c>
      <x:c r="E97" t="str">
        <x:v>{"z":35}</x:v>
      </x:c>
      <x:c r="F97" t="str">
        <x:v>EXACT</x:v>
      </x:c>
      <x:c r="G97"/>
      <x:c r="H97"/>
      <x:c r="I97"/>
      <x:c r="J97"/>
      <x:c r="K97"/>
      <x:c r="L97"/>
      <x:c r="M97" t="n">
        <x:v>2250</x:v>
      </x:c>
      <x:c r="N97"/>
      <x:c r="O97"/>
      <x:c r="P97"/>
      <x:c r="Q97"/>
      <x:c r="R97"/>
      <x:c r="S97" t="n">
        <x:v>2250</x:v>
      </x:c>
      <x:c r="T97" t="n">
        <x:v>2250</x:v>
      </x:c>
      <x:c r="U97" s="28" t="n">
        <x:f>T97</x:f>
        <x:v>2250</x:v>
      </x:c>
      <x:c r="V97" s="32" t="n">
        <x:f>IF(AND(ISNUMBER(S97),ISNUMBER(U97)),ABS(S97-U97),IF(S97=U97,0,1))</x:f>
        <x:v>0</x:v>
      </x:c>
      <x:c r="W97" s="30" t="str">
        <x:v>PASS</x:v>
      </x:c>
      <x:c r="X97" s="28" t="str">
        <x:f>IF(V97&lt;=1E-9,"PASS","FAIL")</x:f>
        <x:v>PASS</x:v>
      </x:c>
      <x:c r="Y97" t="str">
        <x:v>TCVN 10304:2025 tr.32–33</x:v>
      </x:c>
      <x:c r="Z97" t="str"/>
    </x:row>
    <x:row r="98">
      <x:c r="A98" t="str">
        <x:v>G0095</x:v>
      </x:c>
      <x:c r="B98" t="str">
        <x:v>Bảng 2</x:v>
      </x:c>
      <x:c r="C98" t="str">
        <x:v>sand:silty</x:v>
      </x:c>
      <x:c r="D98" t="str">
        <x:v>EXACT</x:v>
      </x:c>
      <x:c r="E98" t="str">
        <x:v>{"z":40}</x:v>
      </x:c>
      <x:c r="F98" t="str">
        <x:v>EXACT</x:v>
      </x:c>
      <x:c r="G98"/>
      <x:c r="H98"/>
      <x:c r="I98"/>
      <x:c r="J98"/>
      <x:c r="K98"/>
      <x:c r="L98"/>
      <x:c r="M98" t="n">
        <x:v>2400</x:v>
      </x:c>
      <x:c r="N98"/>
      <x:c r="O98"/>
      <x:c r="P98"/>
      <x:c r="Q98"/>
      <x:c r="R98"/>
      <x:c r="S98" t="n">
        <x:v>2400</x:v>
      </x:c>
      <x:c r="T98" t="n">
        <x:v>2400</x:v>
      </x:c>
      <x:c r="U98" s="28" t="n">
        <x:f>T98</x:f>
        <x:v>2400</x:v>
      </x:c>
      <x:c r="V98" s="32" t="n">
        <x:f>IF(AND(ISNUMBER(S98),ISNUMBER(U98)),ABS(S98-U98),IF(S98=U98,0,1))</x:f>
        <x:v>0</x:v>
      </x:c>
      <x:c r="W98" s="30" t="str">
        <x:v>PASS</x:v>
      </x:c>
      <x:c r="X98" s="28" t="str">
        <x:f>IF(V98&lt;=1E-9,"PASS","FAIL")</x:f>
        <x:v>PASS</x:v>
      </x:c>
      <x:c r="Y98" t="str">
        <x:v>TCVN 10304:2025 tr.32–33</x:v>
      </x:c>
      <x:c r="Z98" t="str"/>
    </x:row>
    <x:row r="99">
      <x:c r="A99" t="str">
        <x:v>G0096</x:v>
      </x:c>
      <x:c r="B99" t="str">
        <x:v>Bảng 2</x:v>
      </x:c>
      <x:c r="C99" t="str">
        <x:v>sand:silty</x:v>
      </x:c>
      <x:c r="D99" t="str">
        <x:v>MID</x:v>
      </x:c>
      <x:c r="E99" t="str">
        <x:v>{"z":3.5}</x:v>
      </x:c>
      <x:c r="F99" t="str">
        <x:v>LINEAR-1D</x:v>
      </x:c>
      <x:c r="G99" t="n">
        <x:v>3.5</x:v>
      </x:c>
      <x:c r="H99"/>
      <x:c r="I99" t="n">
        <x:v>3</x:v>
      </x:c>
      <x:c r="J99" t="n">
        <x:v>4</x:v>
      </x:c>
      <x:c r="K99"/>
      <x:c r="L99"/>
      <x:c r="M99" t="n">
        <x:v>1100</x:v>
      </x:c>
      <x:c r="N99" t="n">
        <x:v>1250</x:v>
      </x:c>
      <x:c r="O99"/>
      <x:c r="P99"/>
      <x:c r="Q99"/>
      <x:c r="R99"/>
      <x:c r="S99" t="n">
        <x:v>1175</x:v>
      </x:c>
      <x:c r="T99" t="n">
        <x:v>1175</x:v>
      </x:c>
      <x:c r="U99" s="28" t="n">
        <x:f>M99+(G99-I99)*(N99-M99)/(J99-I99)</x:f>
        <x:v>1175</x:v>
      </x:c>
      <x:c r="V99" s="32" t="n">
        <x:f>IF(AND(ISNUMBER(S99),ISNUMBER(U99)),ABS(S99-U99),IF(S99=U99,0,1))</x:f>
        <x:v>0</x:v>
      </x:c>
      <x:c r="W99" s="30" t="str">
        <x:v>PASS</x:v>
      </x:c>
      <x:c r="X99" s="28" t="str">
        <x:f>IF(V99&lt;=1E-9,"PASS","FAIL")</x:f>
        <x:v>PASS</x:v>
      </x:c>
      <x:c r="Y99" t="str">
        <x:v>Chú thích 4</x:v>
      </x:c>
      <x:c r="Z99" t="str"/>
    </x:row>
    <x:row r="100">
      <x:c r="A100" t="str">
        <x:v>G0097</x:v>
      </x:c>
      <x:c r="B100" t="str">
        <x:v>Bảng 2</x:v>
      </x:c>
      <x:c r="C100" t="str">
        <x:v>sand:silty</x:v>
      </x:c>
      <x:c r="D100" t="str">
        <x:v>MID</x:v>
      </x:c>
      <x:c r="E100" t="str">
        <x:v>{"z":4.5}</x:v>
      </x:c>
      <x:c r="F100" t="str">
        <x:v>LINEAR-1D</x:v>
      </x:c>
      <x:c r="G100" t="n">
        <x:v>4.5</x:v>
      </x:c>
      <x:c r="H100"/>
      <x:c r="I100" t="n">
        <x:v>4</x:v>
      </x:c>
      <x:c r="J100" t="n">
        <x:v>5</x:v>
      </x:c>
      <x:c r="K100"/>
      <x:c r="L100"/>
      <x:c r="M100" t="n">
        <x:v>1250</x:v>
      </x:c>
      <x:c r="N100" t="n">
        <x:v>1300</x:v>
      </x:c>
      <x:c r="O100"/>
      <x:c r="P100"/>
      <x:c r="Q100"/>
      <x:c r="R100"/>
      <x:c r="S100" t="n">
        <x:v>1275</x:v>
      </x:c>
      <x:c r="T100" t="n">
        <x:v>1275</x:v>
      </x:c>
      <x:c r="U100" s="28" t="n">
        <x:f>M100+(G100-I100)*(N100-M100)/(J100-I100)</x:f>
        <x:v>1275</x:v>
      </x:c>
      <x:c r="V100" s="32" t="n">
        <x:f>IF(AND(ISNUMBER(S100),ISNUMBER(U100)),ABS(S100-U100),IF(S100=U100,0,1))</x:f>
        <x:v>0</x:v>
      </x:c>
      <x:c r="W100" s="30" t="str">
        <x:v>PASS</x:v>
      </x:c>
      <x:c r="X100" s="28" t="str">
        <x:f>IF(V100&lt;=1E-9,"PASS","FAIL")</x:f>
        <x:v>PASS</x:v>
      </x:c>
      <x:c r="Y100" t="str">
        <x:v>Chú thích 4</x:v>
      </x:c>
      <x:c r="Z100" t="str"/>
    </x:row>
    <x:row r="101">
      <x:c r="A101" t="str">
        <x:v>G0098</x:v>
      </x:c>
      <x:c r="B101" t="str">
        <x:v>Bảng 2</x:v>
      </x:c>
      <x:c r="C101" t="str">
        <x:v>sand:silty</x:v>
      </x:c>
      <x:c r="D101" t="str">
        <x:v>MID</x:v>
      </x:c>
      <x:c r="E101" t="str">
        <x:v>{"z":6}</x:v>
      </x:c>
      <x:c r="F101" t="str">
        <x:v>LINEAR-1D</x:v>
      </x:c>
      <x:c r="G101" t="n">
        <x:v>6</x:v>
      </x:c>
      <x:c r="H101"/>
      <x:c r="I101" t="n">
        <x:v>5</x:v>
      </x:c>
      <x:c r="J101" t="n">
        <x:v>7</x:v>
      </x:c>
      <x:c r="K101"/>
      <x:c r="L101"/>
      <x:c r="M101" t="n">
        <x:v>1300</x:v>
      </x:c>
      <x:c r="N101" t="n">
        <x:v>1400</x:v>
      </x:c>
      <x:c r="O101"/>
      <x:c r="P101"/>
      <x:c r="Q101"/>
      <x:c r="R101"/>
      <x:c r="S101" t="n">
        <x:v>1350</x:v>
      </x:c>
      <x:c r="T101" t="n">
        <x:v>1350</x:v>
      </x:c>
      <x:c r="U101" s="28" t="n">
        <x:f>M101+(G101-I101)*(N101-M101)/(J101-I101)</x:f>
        <x:v>1350</x:v>
      </x:c>
      <x:c r="V101" s="32" t="n">
        <x:f>IF(AND(ISNUMBER(S101),ISNUMBER(U101)),ABS(S101-U101),IF(S101=U101,0,1))</x:f>
        <x:v>0</x:v>
      </x:c>
      <x:c r="W101" s="30" t="str">
        <x:v>PASS</x:v>
      </x:c>
      <x:c r="X101" s="28" t="str">
        <x:f>IF(V101&lt;=1E-9,"PASS","FAIL")</x:f>
        <x:v>PASS</x:v>
      </x:c>
      <x:c r="Y101" t="str">
        <x:v>Chú thích 4</x:v>
      </x:c>
      <x:c r="Z101" t="str"/>
    </x:row>
    <x:row r="102">
      <x:c r="A102" t="str">
        <x:v>G0099</x:v>
      </x:c>
      <x:c r="B102" t="str">
        <x:v>Bảng 2</x:v>
      </x:c>
      <x:c r="C102" t="str">
        <x:v>sand:silty</x:v>
      </x:c>
      <x:c r="D102" t="str">
        <x:v>MID</x:v>
      </x:c>
      <x:c r="E102" t="str">
        <x:v>{"z":8.5}</x:v>
      </x:c>
      <x:c r="F102" t="str">
        <x:v>LINEAR-1D</x:v>
      </x:c>
      <x:c r="G102" t="n">
        <x:v>8.5</x:v>
      </x:c>
      <x:c r="H102"/>
      <x:c r="I102" t="n">
        <x:v>7</x:v>
      </x:c>
      <x:c r="J102" t="n">
        <x:v>10</x:v>
      </x:c>
      <x:c r="K102"/>
      <x:c r="L102"/>
      <x:c r="M102" t="n">
        <x:v>1400</x:v>
      </x:c>
      <x:c r="N102" t="n">
        <x:v>1500</x:v>
      </x:c>
      <x:c r="O102"/>
      <x:c r="P102"/>
      <x:c r="Q102"/>
      <x:c r="R102"/>
      <x:c r="S102" t="n">
        <x:v>1450</x:v>
      </x:c>
      <x:c r="T102" t="n">
        <x:v>1450</x:v>
      </x:c>
      <x:c r="U102" s="28" t="n">
        <x:f>M102+(G102-I102)*(N102-M102)/(J102-I102)</x:f>
        <x:v>1450</x:v>
      </x:c>
      <x:c r="V102" s="32" t="n">
        <x:f>IF(AND(ISNUMBER(S102),ISNUMBER(U102)),ABS(S102-U102),IF(S102=U102,0,1))</x:f>
        <x:v>0</x:v>
      </x:c>
      <x:c r="W102" s="30" t="str">
        <x:v>PASS</x:v>
      </x:c>
      <x:c r="X102" s="28" t="str">
        <x:f>IF(V102&lt;=1E-9,"PASS","FAIL")</x:f>
        <x:v>PASS</x:v>
      </x:c>
      <x:c r="Y102" t="str">
        <x:v>Chú thích 4</x:v>
      </x:c>
      <x:c r="Z102" t="str"/>
    </x:row>
    <x:row r="103">
      <x:c r="A103" t="str">
        <x:v>G0100</x:v>
      </x:c>
      <x:c r="B103" t="str">
        <x:v>Bảng 2</x:v>
      </x:c>
      <x:c r="C103" t="str">
        <x:v>sand:silty</x:v>
      </x:c>
      <x:c r="D103" t="str">
        <x:v>MID</x:v>
      </x:c>
      <x:c r="E103" t="str">
        <x:v>{"z":12.5}</x:v>
      </x:c>
      <x:c r="F103" t="str">
        <x:v>LINEAR-1D</x:v>
      </x:c>
      <x:c r="G103" t="n">
        <x:v>12.5</x:v>
      </x:c>
      <x:c r="H103"/>
      <x:c r="I103" t="n">
        <x:v>10</x:v>
      </x:c>
      <x:c r="J103" t="n">
        <x:v>15</x:v>
      </x:c>
      <x:c r="K103"/>
      <x:c r="L103"/>
      <x:c r="M103" t="n">
        <x:v>1500</x:v>
      </x:c>
      <x:c r="N103" t="n">
        <x:v>1650</x:v>
      </x:c>
      <x:c r="O103"/>
      <x:c r="P103"/>
      <x:c r="Q103"/>
      <x:c r="R103"/>
      <x:c r="S103" t="n">
        <x:v>1575</x:v>
      </x:c>
      <x:c r="T103" t="n">
        <x:v>1575</x:v>
      </x:c>
      <x:c r="U103" s="28" t="n">
        <x:f>M103+(G103-I103)*(N103-M103)/(J103-I103)</x:f>
        <x:v>1575</x:v>
      </x:c>
      <x:c r="V103" s="32" t="n">
        <x:f>IF(AND(ISNUMBER(S103),ISNUMBER(U103)),ABS(S103-U103),IF(S103=U103,0,1))</x:f>
        <x:v>0</x:v>
      </x:c>
      <x:c r="W103" s="30" t="str">
        <x:v>PASS</x:v>
      </x:c>
      <x:c r="X103" s="28" t="str">
        <x:f>IF(V103&lt;=1E-9,"PASS","FAIL")</x:f>
        <x:v>PASS</x:v>
      </x:c>
      <x:c r="Y103" t="str">
        <x:v>Chú thích 4</x:v>
      </x:c>
      <x:c r="Z103" t="str"/>
    </x:row>
    <x:row r="104">
      <x:c r="A104" t="str">
        <x:v>G0101</x:v>
      </x:c>
      <x:c r="B104" t="str">
        <x:v>Bảng 2</x:v>
      </x:c>
      <x:c r="C104" t="str">
        <x:v>sand:silty</x:v>
      </x:c>
      <x:c r="D104" t="str">
        <x:v>MID</x:v>
      </x:c>
      <x:c r="E104" t="str">
        <x:v>{"z":17.5}</x:v>
      </x:c>
      <x:c r="F104" t="str">
        <x:v>LINEAR-1D</x:v>
      </x:c>
      <x:c r="G104" t="n">
        <x:v>17.5</x:v>
      </x:c>
      <x:c r="H104"/>
      <x:c r="I104" t="n">
        <x:v>15</x:v>
      </x:c>
      <x:c r="J104" t="n">
        <x:v>20</x:v>
      </x:c>
      <x:c r="K104"/>
      <x:c r="L104"/>
      <x:c r="M104" t="n">
        <x:v>1650</x:v>
      </x:c>
      <x:c r="N104" t="n">
        <x:v>1800</x:v>
      </x:c>
      <x:c r="O104"/>
      <x:c r="P104"/>
      <x:c r="Q104"/>
      <x:c r="R104"/>
      <x:c r="S104" t="n">
        <x:v>1725</x:v>
      </x:c>
      <x:c r="T104" t="n">
        <x:v>1725</x:v>
      </x:c>
      <x:c r="U104" s="28" t="n">
        <x:f>M104+(G104-I104)*(N104-M104)/(J104-I104)</x:f>
        <x:v>1725</x:v>
      </x:c>
      <x:c r="V104" s="32" t="n">
        <x:f>IF(AND(ISNUMBER(S104),ISNUMBER(U104)),ABS(S104-U104),IF(S104=U104,0,1))</x:f>
        <x:v>0</x:v>
      </x:c>
      <x:c r="W104" s="30" t="str">
        <x:v>PASS</x:v>
      </x:c>
      <x:c r="X104" s="28" t="str">
        <x:f>IF(V104&lt;=1E-9,"PASS","FAIL")</x:f>
        <x:v>PASS</x:v>
      </x:c>
      <x:c r="Y104" t="str">
        <x:v>Chú thích 4</x:v>
      </x:c>
      <x:c r="Z104" t="str"/>
    </x:row>
    <x:row r="105">
      <x:c r="A105" t="str">
        <x:v>G0102</x:v>
      </x:c>
      <x:c r="B105" t="str">
        <x:v>Bảng 2</x:v>
      </x:c>
      <x:c r="C105" t="str">
        <x:v>sand:silty</x:v>
      </x:c>
      <x:c r="D105" t="str">
        <x:v>MID</x:v>
      </x:c>
      <x:c r="E105" t="str">
        <x:v>{"z":22.5}</x:v>
      </x:c>
      <x:c r="F105" t="str">
        <x:v>LINEAR-1D</x:v>
      </x:c>
      <x:c r="G105" t="n">
        <x:v>22.5</x:v>
      </x:c>
      <x:c r="H105"/>
      <x:c r="I105" t="n">
        <x:v>20</x:v>
      </x:c>
      <x:c r="J105" t="n">
        <x:v>25</x:v>
      </x:c>
      <x:c r="K105"/>
      <x:c r="L105"/>
      <x:c r="M105" t="n">
        <x:v>1800</x:v>
      </x:c>
      <x:c r="N105" t="n">
        <x:v>1950</x:v>
      </x:c>
      <x:c r="O105"/>
      <x:c r="P105"/>
      <x:c r="Q105"/>
      <x:c r="R105"/>
      <x:c r="S105" t="n">
        <x:v>1875</x:v>
      </x:c>
      <x:c r="T105" t="n">
        <x:v>1875</x:v>
      </x:c>
      <x:c r="U105" s="28" t="n">
        <x:f>M105+(G105-I105)*(N105-M105)/(J105-I105)</x:f>
        <x:v>1875</x:v>
      </x:c>
      <x:c r="V105" s="32" t="n">
        <x:f>IF(AND(ISNUMBER(S105),ISNUMBER(U105)),ABS(S105-U105),IF(S105=U105,0,1))</x:f>
        <x:v>0</x:v>
      </x:c>
      <x:c r="W105" s="30" t="str">
        <x:v>PASS</x:v>
      </x:c>
      <x:c r="X105" s="28" t="str">
        <x:f>IF(V105&lt;=1E-9,"PASS","FAIL")</x:f>
        <x:v>PASS</x:v>
      </x:c>
      <x:c r="Y105" t="str">
        <x:v>Chú thích 4</x:v>
      </x:c>
      <x:c r="Z105" t="str"/>
    </x:row>
    <x:row r="106">
      <x:c r="A106" t="str">
        <x:v>G0103</x:v>
      </x:c>
      <x:c r="B106" t="str">
        <x:v>Bảng 2</x:v>
      </x:c>
      <x:c r="C106" t="str">
        <x:v>sand:silty</x:v>
      </x:c>
      <x:c r="D106" t="str">
        <x:v>MID</x:v>
      </x:c>
      <x:c r="E106" t="str">
        <x:v>{"z":27.5}</x:v>
      </x:c>
      <x:c r="F106" t="str">
        <x:v>LINEAR-1D</x:v>
      </x:c>
      <x:c r="G106" t="n">
        <x:v>27.5</x:v>
      </x:c>
      <x:c r="H106"/>
      <x:c r="I106" t="n">
        <x:v>25</x:v>
      </x:c>
      <x:c r="J106" t="n">
        <x:v>30</x:v>
      </x:c>
      <x:c r="K106"/>
      <x:c r="L106"/>
      <x:c r="M106" t="n">
        <x:v>1950</x:v>
      </x:c>
      <x:c r="N106" t="n">
        <x:v>2100</x:v>
      </x:c>
      <x:c r="O106"/>
      <x:c r="P106"/>
      <x:c r="Q106"/>
      <x:c r="R106"/>
      <x:c r="S106" t="n">
        <x:v>2025</x:v>
      </x:c>
      <x:c r="T106" t="n">
        <x:v>2025</x:v>
      </x:c>
      <x:c r="U106" s="28" t="n">
        <x:f>M106+(G106-I106)*(N106-M106)/(J106-I106)</x:f>
        <x:v>2025</x:v>
      </x:c>
      <x:c r="V106" s="32" t="n">
        <x:f>IF(AND(ISNUMBER(S106),ISNUMBER(U106)),ABS(S106-U106),IF(S106=U106,0,1))</x:f>
        <x:v>0</x:v>
      </x:c>
      <x:c r="W106" s="30" t="str">
        <x:v>PASS</x:v>
      </x:c>
      <x:c r="X106" s="28" t="str">
        <x:f>IF(V106&lt;=1E-9,"PASS","FAIL")</x:f>
        <x:v>PASS</x:v>
      </x:c>
      <x:c r="Y106" t="str">
        <x:v>Chú thích 4</x:v>
      </x:c>
      <x:c r="Z106" t="str"/>
    </x:row>
    <x:row r="107">
      <x:c r="A107" t="str">
        <x:v>G0104</x:v>
      </x:c>
      <x:c r="B107" t="str">
        <x:v>Bảng 2</x:v>
      </x:c>
      <x:c r="C107" t="str">
        <x:v>sand:silty</x:v>
      </x:c>
      <x:c r="D107" t="str">
        <x:v>MID</x:v>
      </x:c>
      <x:c r="E107" t="str">
        <x:v>{"z":32.5}</x:v>
      </x:c>
      <x:c r="F107" t="str">
        <x:v>LINEAR-1D</x:v>
      </x:c>
      <x:c r="G107" t="n">
        <x:v>32.5</x:v>
      </x:c>
      <x:c r="H107"/>
      <x:c r="I107" t="n">
        <x:v>30</x:v>
      </x:c>
      <x:c r="J107" t="n">
        <x:v>35</x:v>
      </x:c>
      <x:c r="K107"/>
      <x:c r="L107"/>
      <x:c r="M107" t="n">
        <x:v>2100</x:v>
      </x:c>
      <x:c r="N107" t="n">
        <x:v>2250</x:v>
      </x:c>
      <x:c r="O107"/>
      <x:c r="P107"/>
      <x:c r="Q107"/>
      <x:c r="R107"/>
      <x:c r="S107" t="n">
        <x:v>2175</x:v>
      </x:c>
      <x:c r="T107" t="n">
        <x:v>2175</x:v>
      </x:c>
      <x:c r="U107" s="28" t="n">
        <x:f>M107+(G107-I107)*(N107-M107)/(J107-I107)</x:f>
        <x:v>2175</x:v>
      </x:c>
      <x:c r="V107" s="32" t="n">
        <x:f>IF(AND(ISNUMBER(S107),ISNUMBER(U107)),ABS(S107-U107),IF(S107=U107,0,1))</x:f>
        <x:v>0</x:v>
      </x:c>
      <x:c r="W107" s="30" t="str">
        <x:v>PASS</x:v>
      </x:c>
      <x:c r="X107" s="28" t="str">
        <x:f>IF(V107&lt;=1E-9,"PASS","FAIL")</x:f>
        <x:v>PASS</x:v>
      </x:c>
      <x:c r="Y107" t="str">
        <x:v>Chú thích 4</x:v>
      </x:c>
      <x:c r="Z107" t="str"/>
    </x:row>
    <x:row r="108">
      <x:c r="A108" t="str">
        <x:v>G0105</x:v>
      </x:c>
      <x:c r="B108" t="str">
        <x:v>Bảng 2</x:v>
      </x:c>
      <x:c r="C108" t="str">
        <x:v>sand:silty</x:v>
      </x:c>
      <x:c r="D108" t="str">
        <x:v>MID</x:v>
      </x:c>
      <x:c r="E108" t="str">
        <x:v>{"z":37.5}</x:v>
      </x:c>
      <x:c r="F108" t="str">
        <x:v>LINEAR-1D</x:v>
      </x:c>
      <x:c r="G108" t="n">
        <x:v>37.5</x:v>
      </x:c>
      <x:c r="H108"/>
      <x:c r="I108" t="n">
        <x:v>35</x:v>
      </x:c>
      <x:c r="J108" t="n">
        <x:v>40</x:v>
      </x:c>
      <x:c r="K108"/>
      <x:c r="L108"/>
      <x:c r="M108" t="n">
        <x:v>2250</x:v>
      </x:c>
      <x:c r="N108" t="n">
        <x:v>2400</x:v>
      </x:c>
      <x:c r="O108"/>
      <x:c r="P108"/>
      <x:c r="Q108"/>
      <x:c r="R108"/>
      <x:c r="S108" t="n">
        <x:v>2325</x:v>
      </x:c>
      <x:c r="T108" t="n">
        <x:v>2325</x:v>
      </x:c>
      <x:c r="U108" s="28" t="n">
        <x:f>M108+(G108-I108)*(N108-M108)/(J108-I108)</x:f>
        <x:v>2325</x:v>
      </x:c>
      <x:c r="V108" s="32" t="n">
        <x:f>IF(AND(ISNUMBER(S108),ISNUMBER(U108)),ABS(S108-U108),IF(S108=U108,0,1))</x:f>
        <x:v>0</x:v>
      </x:c>
      <x:c r="W108" s="30" t="str">
        <x:v>PASS</x:v>
      </x:c>
      <x:c r="X108" s="28" t="str">
        <x:f>IF(V108&lt;=1E-9,"PASS","FAIL")</x:f>
        <x:v>PASS</x:v>
      </x:c>
      <x:c r="Y108" t="str">
        <x:v>Chú thích 4</x:v>
      </x:c>
      <x:c r="Z108" t="str"/>
    </x:row>
    <x:row r="109">
      <x:c r="A109" t="str">
        <x:v>G0106</x:v>
      </x:c>
      <x:c r="B109" t="str">
        <x:v>Bảng 2</x:v>
      </x:c>
      <x:c r="C109" t="str">
        <x:v>clay:IL=0</x:v>
      </x:c>
      <x:c r="D109" t="str">
        <x:v>EXACT</x:v>
      </x:c>
      <x:c r="E109" t="str">
        <x:v>{"z":3,"IL":0}</x:v>
      </x:c>
      <x:c r="F109" t="str">
        <x:v>EXACT</x:v>
      </x:c>
      <x:c r="G109"/>
      <x:c r="H109"/>
      <x:c r="I109"/>
      <x:c r="J109"/>
      <x:c r="K109"/>
      <x:c r="L109"/>
      <x:c r="M109" t="n">
        <x:v>7500</x:v>
      </x:c>
      <x:c r="N109"/>
      <x:c r="O109"/>
      <x:c r="P109"/>
      <x:c r="Q109"/>
      <x:c r="R109"/>
      <x:c r="S109" t="n">
        <x:v>7500</x:v>
      </x:c>
      <x:c r="T109" t="n">
        <x:v>7500</x:v>
      </x:c>
      <x:c r="U109" s="28" t="n">
        <x:f>T109</x:f>
        <x:v>7500</x:v>
      </x:c>
      <x:c r="V109" s="32" t="n">
        <x:f>IF(AND(ISNUMBER(S109),ISNUMBER(U109)),ABS(S109-U109),IF(S109=U109,0,1))</x:f>
        <x:v>0</x:v>
      </x:c>
      <x:c r="W109" s="30" t="str">
        <x:v>PASS</x:v>
      </x:c>
      <x:c r="X109" s="28" t="str">
        <x:f>IF(V109&lt;=1E-9,"PASS","FAIL")</x:f>
        <x:v>PASS</x:v>
      </x:c>
      <x:c r="Y109" t="str">
        <x:v>TCVN 10304:2025 tr.32–33</x:v>
      </x:c>
      <x:c r="Z109" t="str"/>
    </x:row>
    <x:row r="110">
      <x:c r="A110" t="str">
        <x:v>G0107</x:v>
      </x:c>
      <x:c r="B110" t="str">
        <x:v>Bảng 2</x:v>
      </x:c>
      <x:c r="C110" t="str">
        <x:v>clay:IL=0</x:v>
      </x:c>
      <x:c r="D110" t="str">
        <x:v>EXACT</x:v>
      </x:c>
      <x:c r="E110" t="str">
        <x:v>{"z":4,"IL":0}</x:v>
      </x:c>
      <x:c r="F110" t="str">
        <x:v>EXACT</x:v>
      </x:c>
      <x:c r="G110"/>
      <x:c r="H110"/>
      <x:c r="I110"/>
      <x:c r="J110"/>
      <x:c r="K110"/>
      <x:c r="L110"/>
      <x:c r="M110" t="n">
        <x:v>8300</x:v>
      </x:c>
      <x:c r="N110"/>
      <x:c r="O110"/>
      <x:c r="P110"/>
      <x:c r="Q110"/>
      <x:c r="R110"/>
      <x:c r="S110" t="n">
        <x:v>8300</x:v>
      </x:c>
      <x:c r="T110" t="n">
        <x:v>8300</x:v>
      </x:c>
      <x:c r="U110" s="28" t="n">
        <x:f>T110</x:f>
        <x:v>8300</x:v>
      </x:c>
      <x:c r="V110" s="32" t="n">
        <x:f>IF(AND(ISNUMBER(S110),ISNUMBER(U110)),ABS(S110-U110),IF(S110=U110,0,1))</x:f>
        <x:v>0</x:v>
      </x:c>
      <x:c r="W110" s="30" t="str">
        <x:v>PASS</x:v>
      </x:c>
      <x:c r="X110" s="28" t="str">
        <x:f>IF(V110&lt;=1E-9,"PASS","FAIL")</x:f>
        <x:v>PASS</x:v>
      </x:c>
      <x:c r="Y110" t="str">
        <x:v>TCVN 10304:2025 tr.32–33</x:v>
      </x:c>
      <x:c r="Z110" t="str"/>
    </x:row>
    <x:row r="111">
      <x:c r="A111" t="str">
        <x:v>G0108</x:v>
      </x:c>
      <x:c r="B111" t="str">
        <x:v>Bảng 2</x:v>
      </x:c>
      <x:c r="C111" t="str">
        <x:v>clay:IL=0</x:v>
      </x:c>
      <x:c r="D111" t="str">
        <x:v>EXACT</x:v>
      </x:c>
      <x:c r="E111" t="str">
        <x:v>{"z":5,"IL":0}</x:v>
      </x:c>
      <x:c r="F111" t="str">
        <x:v>EXACT</x:v>
      </x:c>
      <x:c r="G111"/>
      <x:c r="H111"/>
      <x:c r="I111"/>
      <x:c r="J111"/>
      <x:c r="K111"/>
      <x:c r="L111"/>
      <x:c r="M111" t="n">
        <x:v>8800</x:v>
      </x:c>
      <x:c r="N111"/>
      <x:c r="O111"/>
      <x:c r="P111"/>
      <x:c r="Q111"/>
      <x:c r="R111"/>
      <x:c r="S111" t="n">
        <x:v>8800</x:v>
      </x:c>
      <x:c r="T111" t="n">
        <x:v>8800</x:v>
      </x:c>
      <x:c r="U111" s="28" t="n">
        <x:f>T111</x:f>
        <x:v>8800</x:v>
      </x:c>
      <x:c r="V111" s="32" t="n">
        <x:f>IF(AND(ISNUMBER(S111),ISNUMBER(U111)),ABS(S111-U111),IF(S111=U111,0,1))</x:f>
        <x:v>0</x:v>
      </x:c>
      <x:c r="W111" s="30" t="str">
        <x:v>PASS</x:v>
      </x:c>
      <x:c r="X111" s="28" t="str">
        <x:f>IF(V111&lt;=1E-9,"PASS","FAIL")</x:f>
        <x:v>PASS</x:v>
      </x:c>
      <x:c r="Y111" t="str">
        <x:v>TCVN 10304:2025 tr.32–33</x:v>
      </x:c>
      <x:c r="Z111" t="str"/>
    </x:row>
    <x:row r="112">
      <x:c r="A112" t="str">
        <x:v>G0109</x:v>
      </x:c>
      <x:c r="B112" t="str">
        <x:v>Bảng 2</x:v>
      </x:c>
      <x:c r="C112" t="str">
        <x:v>clay:IL=0</x:v>
      </x:c>
      <x:c r="D112" t="str">
        <x:v>EXACT</x:v>
      </x:c>
      <x:c r="E112" t="str">
        <x:v>{"z":7,"IL":0}</x:v>
      </x:c>
      <x:c r="F112" t="str">
        <x:v>EXACT</x:v>
      </x:c>
      <x:c r="G112"/>
      <x:c r="H112"/>
      <x:c r="I112"/>
      <x:c r="J112"/>
      <x:c r="K112"/>
      <x:c r="L112"/>
      <x:c r="M112" t="n">
        <x:v>9700</x:v>
      </x:c>
      <x:c r="N112"/>
      <x:c r="O112"/>
      <x:c r="P112"/>
      <x:c r="Q112"/>
      <x:c r="R112"/>
      <x:c r="S112" t="n">
        <x:v>9700</x:v>
      </x:c>
      <x:c r="T112" t="n">
        <x:v>9700</x:v>
      </x:c>
      <x:c r="U112" s="28" t="n">
        <x:f>T112</x:f>
        <x:v>9700</x:v>
      </x:c>
      <x:c r="V112" s="32" t="n">
        <x:f>IF(AND(ISNUMBER(S112),ISNUMBER(U112)),ABS(S112-U112),IF(S112=U112,0,1))</x:f>
        <x:v>0</x:v>
      </x:c>
      <x:c r="W112" s="30" t="str">
        <x:v>PASS</x:v>
      </x:c>
      <x:c r="X112" s="28" t="str">
        <x:f>IF(V112&lt;=1E-9,"PASS","FAIL")</x:f>
        <x:v>PASS</x:v>
      </x:c>
      <x:c r="Y112" t="str">
        <x:v>TCVN 10304:2025 tr.32–33</x:v>
      </x:c>
      <x:c r="Z112" t="str"/>
    </x:row>
    <x:row r="113">
      <x:c r="A113" t="str">
        <x:v>G0110</x:v>
      </x:c>
      <x:c r="B113" t="str">
        <x:v>Bảng 2</x:v>
      </x:c>
      <x:c r="C113" t="str">
        <x:v>clay:IL=0</x:v>
      </x:c>
      <x:c r="D113" t="str">
        <x:v>EXACT</x:v>
      </x:c>
      <x:c r="E113" t="str">
        <x:v>{"z":10,"IL":0}</x:v>
      </x:c>
      <x:c r="F113" t="str">
        <x:v>EXACT</x:v>
      </x:c>
      <x:c r="G113"/>
      <x:c r="H113"/>
      <x:c r="I113"/>
      <x:c r="J113"/>
      <x:c r="K113"/>
      <x:c r="L113"/>
      <x:c r="M113" t="n">
        <x:v>10500</x:v>
      </x:c>
      <x:c r="N113"/>
      <x:c r="O113"/>
      <x:c r="P113"/>
      <x:c r="Q113"/>
      <x:c r="R113"/>
      <x:c r="S113" t="n">
        <x:v>10500</x:v>
      </x:c>
      <x:c r="T113" t="n">
        <x:v>10500</x:v>
      </x:c>
      <x:c r="U113" s="28" t="n">
        <x:f>T113</x:f>
        <x:v>10500</x:v>
      </x:c>
      <x:c r="V113" s="32" t="n">
        <x:f>IF(AND(ISNUMBER(S113),ISNUMBER(U113)),ABS(S113-U113),IF(S113=U113,0,1))</x:f>
        <x:v>0</x:v>
      </x:c>
      <x:c r="W113" s="30" t="str">
        <x:v>PASS</x:v>
      </x:c>
      <x:c r="X113" s="28" t="str">
        <x:f>IF(V113&lt;=1E-9,"PASS","FAIL")</x:f>
        <x:v>PASS</x:v>
      </x:c>
      <x:c r="Y113" t="str">
        <x:v>TCVN 10304:2025 tr.32–33</x:v>
      </x:c>
      <x:c r="Z113" t="str"/>
    </x:row>
    <x:row r="114">
      <x:c r="A114" t="str">
        <x:v>G0111</x:v>
      </x:c>
      <x:c r="B114" t="str">
        <x:v>Bảng 2</x:v>
      </x:c>
      <x:c r="C114" t="str">
        <x:v>clay:IL=0</x:v>
      </x:c>
      <x:c r="D114" t="str">
        <x:v>EXACT</x:v>
      </x:c>
      <x:c r="E114" t="str">
        <x:v>{"z":15,"IL":0}</x:v>
      </x:c>
      <x:c r="F114" t="str">
        <x:v>EXACT</x:v>
      </x:c>
      <x:c r="G114"/>
      <x:c r="H114"/>
      <x:c r="I114"/>
      <x:c r="J114"/>
      <x:c r="K114"/>
      <x:c r="L114"/>
      <x:c r="M114" t="n">
        <x:v>11700</x:v>
      </x:c>
      <x:c r="N114"/>
      <x:c r="O114"/>
      <x:c r="P114"/>
      <x:c r="Q114"/>
      <x:c r="R114"/>
      <x:c r="S114" t="n">
        <x:v>11700</x:v>
      </x:c>
      <x:c r="T114" t="n">
        <x:v>11700</x:v>
      </x:c>
      <x:c r="U114" s="28" t="n">
        <x:f>T114</x:f>
        <x:v>11700</x:v>
      </x:c>
      <x:c r="V114" s="32" t="n">
        <x:f>IF(AND(ISNUMBER(S114),ISNUMBER(U114)),ABS(S114-U114),IF(S114=U114,0,1))</x:f>
        <x:v>0</x:v>
      </x:c>
      <x:c r="W114" s="30" t="str">
        <x:v>PASS</x:v>
      </x:c>
      <x:c r="X114" s="28" t="str">
        <x:f>IF(V114&lt;=1E-9,"PASS","FAIL")</x:f>
        <x:v>PASS</x:v>
      </x:c>
      <x:c r="Y114" t="str">
        <x:v>TCVN 10304:2025 tr.32–33</x:v>
      </x:c>
      <x:c r="Z114" t="str"/>
    </x:row>
    <x:row r="115">
      <x:c r="A115" t="str">
        <x:v>G0112</x:v>
      </x:c>
      <x:c r="B115" t="str">
        <x:v>Bảng 2</x:v>
      </x:c>
      <x:c r="C115" t="str">
        <x:v>clay:IL=0</x:v>
      </x:c>
      <x:c r="D115" t="str">
        <x:v>EXACT</x:v>
      </x:c>
      <x:c r="E115" t="str">
        <x:v>{"z":20,"IL":0}</x:v>
      </x:c>
      <x:c r="F115" t="str">
        <x:v>EXACT</x:v>
      </x:c>
      <x:c r="G115"/>
      <x:c r="H115"/>
      <x:c r="I115"/>
      <x:c r="J115"/>
      <x:c r="K115"/>
      <x:c r="L115"/>
      <x:c r="M115" t="n">
        <x:v>12600</x:v>
      </x:c>
      <x:c r="N115"/>
      <x:c r="O115"/>
      <x:c r="P115"/>
      <x:c r="Q115"/>
      <x:c r="R115"/>
      <x:c r="S115" t="n">
        <x:v>12600</x:v>
      </x:c>
      <x:c r="T115" t="n">
        <x:v>12600</x:v>
      </x:c>
      <x:c r="U115" s="28" t="n">
        <x:f>T115</x:f>
        <x:v>12600</x:v>
      </x:c>
      <x:c r="V115" s="32" t="n">
        <x:f>IF(AND(ISNUMBER(S115),ISNUMBER(U115)),ABS(S115-U115),IF(S115=U115,0,1))</x:f>
        <x:v>0</x:v>
      </x:c>
      <x:c r="W115" s="30" t="str">
        <x:v>PASS</x:v>
      </x:c>
      <x:c r="X115" s="28" t="str">
        <x:f>IF(V115&lt;=1E-9,"PASS","FAIL")</x:f>
        <x:v>PASS</x:v>
      </x:c>
      <x:c r="Y115" t="str">
        <x:v>TCVN 10304:2025 tr.32–33</x:v>
      </x:c>
      <x:c r="Z115" t="str"/>
    </x:row>
    <x:row r="116">
      <x:c r="A116" t="str">
        <x:v>G0113</x:v>
      </x:c>
      <x:c r="B116" t="str">
        <x:v>Bảng 2</x:v>
      </x:c>
      <x:c r="C116" t="str">
        <x:v>clay:IL=0</x:v>
      </x:c>
      <x:c r="D116" t="str">
        <x:v>EXACT</x:v>
      </x:c>
      <x:c r="E116" t="str">
        <x:v>{"z":25,"IL":0}</x:v>
      </x:c>
      <x:c r="F116" t="str">
        <x:v>EXACT</x:v>
      </x:c>
      <x:c r="G116"/>
      <x:c r="H116"/>
      <x:c r="I116"/>
      <x:c r="J116"/>
      <x:c r="K116"/>
      <x:c r="L116"/>
      <x:c r="M116" t="n">
        <x:v>13400</x:v>
      </x:c>
      <x:c r="N116"/>
      <x:c r="O116"/>
      <x:c r="P116"/>
      <x:c r="Q116"/>
      <x:c r="R116"/>
      <x:c r="S116" t="n">
        <x:v>13400</x:v>
      </x:c>
      <x:c r="T116" t="n">
        <x:v>13400</x:v>
      </x:c>
      <x:c r="U116" s="28" t="n">
        <x:f>T116</x:f>
        <x:v>13400</x:v>
      </x:c>
      <x:c r="V116" s="32" t="n">
        <x:f>IF(AND(ISNUMBER(S116),ISNUMBER(U116)),ABS(S116-U116),IF(S116=U116,0,1))</x:f>
        <x:v>0</x:v>
      </x:c>
      <x:c r="W116" s="30" t="str">
        <x:v>PASS</x:v>
      </x:c>
      <x:c r="X116" s="28" t="str">
        <x:f>IF(V116&lt;=1E-9,"PASS","FAIL")</x:f>
        <x:v>PASS</x:v>
      </x:c>
      <x:c r="Y116" t="str">
        <x:v>TCVN 10304:2025 tr.32–33</x:v>
      </x:c>
      <x:c r="Z116" t="str"/>
    </x:row>
    <x:row r="117">
      <x:c r="A117" t="str">
        <x:v>G0114</x:v>
      </x:c>
      <x:c r="B117" t="str">
        <x:v>Bảng 2</x:v>
      </x:c>
      <x:c r="C117" t="str">
        <x:v>clay:IL=0</x:v>
      </x:c>
      <x:c r="D117" t="str">
        <x:v>EXACT</x:v>
      </x:c>
      <x:c r="E117" t="str">
        <x:v>{"z":30,"IL":0}</x:v>
      </x:c>
      <x:c r="F117" t="str">
        <x:v>EXACT</x:v>
      </x:c>
      <x:c r="G117"/>
      <x:c r="H117"/>
      <x:c r="I117"/>
      <x:c r="J117"/>
      <x:c r="K117"/>
      <x:c r="L117"/>
      <x:c r="M117" t="n">
        <x:v>14200</x:v>
      </x:c>
      <x:c r="N117"/>
      <x:c r="O117"/>
      <x:c r="P117"/>
      <x:c r="Q117"/>
      <x:c r="R117"/>
      <x:c r="S117" t="n">
        <x:v>14200</x:v>
      </x:c>
      <x:c r="T117" t="n">
        <x:v>14200</x:v>
      </x:c>
      <x:c r="U117" s="28" t="n">
        <x:f>T117</x:f>
        <x:v>14200</x:v>
      </x:c>
      <x:c r="V117" s="32" t="n">
        <x:f>IF(AND(ISNUMBER(S117),ISNUMBER(U117)),ABS(S117-U117),IF(S117=U117,0,1))</x:f>
        <x:v>0</x:v>
      </x:c>
      <x:c r="W117" s="30" t="str">
        <x:v>PASS</x:v>
      </x:c>
      <x:c r="X117" s="28" t="str">
        <x:f>IF(V117&lt;=1E-9,"PASS","FAIL")</x:f>
        <x:v>PASS</x:v>
      </x:c>
      <x:c r="Y117" t="str">
        <x:v>TCVN 10304:2025 tr.32–33</x:v>
      </x:c>
      <x:c r="Z117" t="str"/>
    </x:row>
    <x:row r="118">
      <x:c r="A118" t="str">
        <x:v>G0115</x:v>
      </x:c>
      <x:c r="B118" t="str">
        <x:v>Bảng 2</x:v>
      </x:c>
      <x:c r="C118" t="str">
        <x:v>clay:IL=0</x:v>
      </x:c>
      <x:c r="D118" t="str">
        <x:v>EXACT</x:v>
      </x:c>
      <x:c r="E118" t="str">
        <x:v>{"z":35,"IL":0}</x:v>
      </x:c>
      <x:c r="F118" t="str">
        <x:v>EXACT</x:v>
      </x:c>
      <x:c r="G118"/>
      <x:c r="H118"/>
      <x:c r="I118"/>
      <x:c r="J118"/>
      <x:c r="K118"/>
      <x:c r="L118"/>
      <x:c r="M118" t="n">
        <x:v>15000</x:v>
      </x:c>
      <x:c r="N118"/>
      <x:c r="O118"/>
      <x:c r="P118"/>
      <x:c r="Q118"/>
      <x:c r="R118"/>
      <x:c r="S118" t="n">
        <x:v>15000</x:v>
      </x:c>
      <x:c r="T118" t="n">
        <x:v>15000</x:v>
      </x:c>
      <x:c r="U118" s="28" t="n">
        <x:f>T118</x:f>
        <x:v>15000</x:v>
      </x:c>
      <x:c r="V118" s="32" t="n">
        <x:f>IF(AND(ISNUMBER(S118),ISNUMBER(U118)),ABS(S118-U118),IF(S118=U118,0,1))</x:f>
        <x:v>0</x:v>
      </x:c>
      <x:c r="W118" s="30" t="str">
        <x:v>PASS</x:v>
      </x:c>
      <x:c r="X118" s="28" t="str">
        <x:f>IF(V118&lt;=1E-9,"PASS","FAIL")</x:f>
        <x:v>PASS</x:v>
      </x:c>
      <x:c r="Y118" t="str">
        <x:v>TCVN 10304:2025 tr.32–33</x:v>
      </x:c>
      <x:c r="Z118" t="str"/>
    </x:row>
    <x:row r="119">
      <x:c r="A119" t="str">
        <x:v>G0116</x:v>
      </x:c>
      <x:c r="B119" t="str">
        <x:v>Bảng 2</x:v>
      </x:c>
      <x:c r="C119" t="str">
        <x:v>clay:IL=0</x:v>
      </x:c>
      <x:c r="D119" t="str">
        <x:v>EXACT</x:v>
      </x:c>
      <x:c r="E119" t="str">
        <x:v>{"z":40,"IL":0}</x:v>
      </x:c>
      <x:c r="F119" t="str">
        <x:v>EXACT</x:v>
      </x:c>
      <x:c r="G119"/>
      <x:c r="H119"/>
      <x:c r="I119"/>
      <x:c r="J119"/>
      <x:c r="K119"/>
      <x:c r="L119"/>
      <x:c r="M119" t="n">
        <x:v>15800</x:v>
      </x:c>
      <x:c r="N119"/>
      <x:c r="O119"/>
      <x:c r="P119"/>
      <x:c r="Q119"/>
      <x:c r="R119"/>
      <x:c r="S119" t="n">
        <x:v>15800</x:v>
      </x:c>
      <x:c r="T119" t="n">
        <x:v>15800</x:v>
      </x:c>
      <x:c r="U119" s="28" t="n">
        <x:f>T119</x:f>
        <x:v>15800</x:v>
      </x:c>
      <x:c r="V119" s="32" t="n">
        <x:f>IF(AND(ISNUMBER(S119),ISNUMBER(U119)),ABS(S119-U119),IF(S119=U119,0,1))</x:f>
        <x:v>0</x:v>
      </x:c>
      <x:c r="W119" s="30" t="str">
        <x:v>PASS</x:v>
      </x:c>
      <x:c r="X119" s="28" t="str">
        <x:f>IF(V119&lt;=1E-9,"PASS","FAIL")</x:f>
        <x:v>PASS</x:v>
      </x:c>
      <x:c r="Y119" t="str">
        <x:v>TCVN 10304:2025 tr.32–33</x:v>
      </x:c>
      <x:c r="Z119" t="str"/>
    </x:row>
    <x:row r="120">
      <x:c r="A120" t="str">
        <x:v>G0117</x:v>
      </x:c>
      <x:c r="B120" t="str">
        <x:v>Bảng 2</x:v>
      </x:c>
      <x:c r="C120" t="str">
        <x:v>clay:IL=0.1</x:v>
      </x:c>
      <x:c r="D120" t="str">
        <x:v>EXACT</x:v>
      </x:c>
      <x:c r="E120" t="str">
        <x:v>{"z":3,"IL":0.1}</x:v>
      </x:c>
      <x:c r="F120" t="str">
        <x:v>EXACT</x:v>
      </x:c>
      <x:c r="G120"/>
      <x:c r="H120"/>
      <x:c r="I120"/>
      <x:c r="J120"/>
      <x:c r="K120"/>
      <x:c r="L120"/>
      <x:c r="M120" t="n">
        <x:v>4000</x:v>
      </x:c>
      <x:c r="N120"/>
      <x:c r="O120"/>
      <x:c r="P120"/>
      <x:c r="Q120"/>
      <x:c r="R120"/>
      <x:c r="S120" t="n">
        <x:v>4000</x:v>
      </x:c>
      <x:c r="T120" t="n">
        <x:v>4000</x:v>
      </x:c>
      <x:c r="U120" s="28" t="n">
        <x:f>T120</x:f>
        <x:v>4000</x:v>
      </x:c>
      <x:c r="V120" s="32" t="n">
        <x:f>IF(AND(ISNUMBER(S120),ISNUMBER(U120)),ABS(S120-U120),IF(S120=U120,0,1))</x:f>
        <x:v>0</x:v>
      </x:c>
      <x:c r="W120" s="30" t="str">
        <x:v>PASS</x:v>
      </x:c>
      <x:c r="X120" s="28" t="str">
        <x:f>IF(V120&lt;=1E-9,"PASS","FAIL")</x:f>
        <x:v>PASS</x:v>
      </x:c>
      <x:c r="Y120" t="str">
        <x:v>TCVN 10304:2025 tr.32–33</x:v>
      </x:c>
      <x:c r="Z120" t="str"/>
    </x:row>
    <x:row r="121">
      <x:c r="A121" t="str">
        <x:v>G0118</x:v>
      </x:c>
      <x:c r="B121" t="str">
        <x:v>Bảng 2</x:v>
      </x:c>
      <x:c r="C121" t="str">
        <x:v>clay:IL=0.1</x:v>
      </x:c>
      <x:c r="D121" t="str">
        <x:v>EXACT</x:v>
      </x:c>
      <x:c r="E121" t="str">
        <x:v>{"z":4,"IL":0.1}</x:v>
      </x:c>
      <x:c r="F121" t="str">
        <x:v>EXACT</x:v>
      </x:c>
      <x:c r="G121"/>
      <x:c r="H121"/>
      <x:c r="I121"/>
      <x:c r="J121"/>
      <x:c r="K121"/>
      <x:c r="L121"/>
      <x:c r="M121" t="n">
        <x:v>5100</x:v>
      </x:c>
      <x:c r="N121"/>
      <x:c r="O121"/>
      <x:c r="P121"/>
      <x:c r="Q121"/>
      <x:c r="R121"/>
      <x:c r="S121" t="n">
        <x:v>5100</x:v>
      </x:c>
      <x:c r="T121" t="n">
        <x:v>5100</x:v>
      </x:c>
      <x:c r="U121" s="28" t="n">
        <x:f>T121</x:f>
        <x:v>5100</x:v>
      </x:c>
      <x:c r="V121" s="32" t="n">
        <x:f>IF(AND(ISNUMBER(S121),ISNUMBER(U121)),ABS(S121-U121),IF(S121=U121,0,1))</x:f>
        <x:v>0</x:v>
      </x:c>
      <x:c r="W121" s="30" t="str">
        <x:v>PASS</x:v>
      </x:c>
      <x:c r="X121" s="28" t="str">
        <x:f>IF(V121&lt;=1E-9,"PASS","FAIL")</x:f>
        <x:v>PASS</x:v>
      </x:c>
      <x:c r="Y121" t="str">
        <x:v>TCVN 10304:2025 tr.32–33</x:v>
      </x:c>
      <x:c r="Z121" t="str"/>
    </x:row>
    <x:row r="122">
      <x:c r="A122" t="str">
        <x:v>G0119</x:v>
      </x:c>
      <x:c r="B122" t="str">
        <x:v>Bảng 2</x:v>
      </x:c>
      <x:c r="C122" t="str">
        <x:v>clay:IL=0.1</x:v>
      </x:c>
      <x:c r="D122" t="str">
        <x:v>EXACT</x:v>
      </x:c>
      <x:c r="E122" t="str">
        <x:v>{"z":5,"IL":0.1}</x:v>
      </x:c>
      <x:c r="F122" t="str">
        <x:v>EXACT</x:v>
      </x:c>
      <x:c r="G122"/>
      <x:c r="H122"/>
      <x:c r="I122"/>
      <x:c r="J122"/>
      <x:c r="K122"/>
      <x:c r="L122"/>
      <x:c r="M122" t="n">
        <x:v>6200</x:v>
      </x:c>
      <x:c r="N122"/>
      <x:c r="O122"/>
      <x:c r="P122"/>
      <x:c r="Q122"/>
      <x:c r="R122"/>
      <x:c r="S122" t="n">
        <x:v>6200</x:v>
      </x:c>
      <x:c r="T122" t="n">
        <x:v>6200</x:v>
      </x:c>
      <x:c r="U122" s="28" t="n">
        <x:f>T122</x:f>
        <x:v>6200</x:v>
      </x:c>
      <x:c r="V122" s="32" t="n">
        <x:f>IF(AND(ISNUMBER(S122),ISNUMBER(U122)),ABS(S122-U122),IF(S122=U122,0,1))</x:f>
        <x:v>0</x:v>
      </x:c>
      <x:c r="W122" s="30" t="str">
        <x:v>PASS</x:v>
      </x:c>
      <x:c r="X122" s="28" t="str">
        <x:f>IF(V122&lt;=1E-9,"PASS","FAIL")</x:f>
        <x:v>PASS</x:v>
      </x:c>
      <x:c r="Y122" t="str">
        <x:v>TCVN 10304:2025 tr.32–33</x:v>
      </x:c>
      <x:c r="Z122" t="str"/>
    </x:row>
    <x:row r="123">
      <x:c r="A123" t="str">
        <x:v>G0120</x:v>
      </x:c>
      <x:c r="B123" t="str">
        <x:v>Bảng 2</x:v>
      </x:c>
      <x:c r="C123" t="str">
        <x:v>clay:IL=0.1</x:v>
      </x:c>
      <x:c r="D123" t="str">
        <x:v>EXACT</x:v>
      </x:c>
      <x:c r="E123" t="str">
        <x:v>{"z":7,"IL":0.1}</x:v>
      </x:c>
      <x:c r="F123" t="str">
        <x:v>EXACT</x:v>
      </x:c>
      <x:c r="G123"/>
      <x:c r="H123"/>
      <x:c r="I123"/>
      <x:c r="J123"/>
      <x:c r="K123"/>
      <x:c r="L123"/>
      <x:c r="M123" t="n">
        <x:v>6900</x:v>
      </x:c>
      <x:c r="N123"/>
      <x:c r="O123"/>
      <x:c r="P123"/>
      <x:c r="Q123"/>
      <x:c r="R123"/>
      <x:c r="S123" t="n">
        <x:v>6900</x:v>
      </x:c>
      <x:c r="T123" t="n">
        <x:v>6900</x:v>
      </x:c>
      <x:c r="U123" s="28" t="n">
        <x:f>T123</x:f>
        <x:v>6900</x:v>
      </x:c>
      <x:c r="V123" s="32" t="n">
        <x:f>IF(AND(ISNUMBER(S123),ISNUMBER(U123)),ABS(S123-U123),IF(S123=U123,0,1))</x:f>
        <x:v>0</x:v>
      </x:c>
      <x:c r="W123" s="30" t="str">
        <x:v>PASS</x:v>
      </x:c>
      <x:c r="X123" s="28" t="str">
        <x:f>IF(V123&lt;=1E-9,"PASS","FAIL")</x:f>
        <x:v>PASS</x:v>
      </x:c>
      <x:c r="Y123" t="str">
        <x:v>TCVN 10304:2025 tr.32–33</x:v>
      </x:c>
      <x:c r="Z123" t="str"/>
    </x:row>
    <x:row r="124">
      <x:c r="A124" t="str">
        <x:v>G0121</x:v>
      </x:c>
      <x:c r="B124" t="str">
        <x:v>Bảng 2</x:v>
      </x:c>
      <x:c r="C124" t="str">
        <x:v>clay:IL=0.1</x:v>
      </x:c>
      <x:c r="D124" t="str">
        <x:v>EXACT</x:v>
      </x:c>
      <x:c r="E124" t="str">
        <x:v>{"z":10,"IL":0.1}</x:v>
      </x:c>
      <x:c r="F124" t="str">
        <x:v>EXACT</x:v>
      </x:c>
      <x:c r="G124"/>
      <x:c r="H124"/>
      <x:c r="I124"/>
      <x:c r="J124"/>
      <x:c r="K124"/>
      <x:c r="L124"/>
      <x:c r="M124" t="n">
        <x:v>7300</x:v>
      </x:c>
      <x:c r="N124"/>
      <x:c r="O124"/>
      <x:c r="P124"/>
      <x:c r="Q124"/>
      <x:c r="R124"/>
      <x:c r="S124" t="n">
        <x:v>7300</x:v>
      </x:c>
      <x:c r="T124" t="n">
        <x:v>7300</x:v>
      </x:c>
      <x:c r="U124" s="28" t="n">
        <x:f>T124</x:f>
        <x:v>7300</x:v>
      </x:c>
      <x:c r="V124" s="32" t="n">
        <x:f>IF(AND(ISNUMBER(S124),ISNUMBER(U124)),ABS(S124-U124),IF(S124=U124,0,1))</x:f>
        <x:v>0</x:v>
      </x:c>
      <x:c r="W124" s="30" t="str">
        <x:v>PASS</x:v>
      </x:c>
      <x:c r="X124" s="28" t="str">
        <x:f>IF(V124&lt;=1E-9,"PASS","FAIL")</x:f>
        <x:v>PASS</x:v>
      </x:c>
      <x:c r="Y124" t="str">
        <x:v>TCVN 10304:2025 tr.32–33</x:v>
      </x:c>
      <x:c r="Z124" t="str"/>
    </x:row>
    <x:row r="125">
      <x:c r="A125" t="str">
        <x:v>G0122</x:v>
      </x:c>
      <x:c r="B125" t="str">
        <x:v>Bảng 2</x:v>
      </x:c>
      <x:c r="C125" t="str">
        <x:v>clay:IL=0.1</x:v>
      </x:c>
      <x:c r="D125" t="str">
        <x:v>EXACT</x:v>
      </x:c>
      <x:c r="E125" t="str">
        <x:v>{"z":15,"IL":0.1}</x:v>
      </x:c>
      <x:c r="F125" t="str">
        <x:v>EXACT</x:v>
      </x:c>
      <x:c r="G125"/>
      <x:c r="H125"/>
      <x:c r="I125"/>
      <x:c r="J125"/>
      <x:c r="K125"/>
      <x:c r="L125"/>
      <x:c r="M125" t="n">
        <x:v>7500</x:v>
      </x:c>
      <x:c r="N125"/>
      <x:c r="O125"/>
      <x:c r="P125"/>
      <x:c r="Q125"/>
      <x:c r="R125"/>
      <x:c r="S125" t="n">
        <x:v>7500</x:v>
      </x:c>
      <x:c r="T125" t="n">
        <x:v>7500</x:v>
      </x:c>
      <x:c r="U125" s="28" t="n">
        <x:f>T125</x:f>
        <x:v>7500</x:v>
      </x:c>
      <x:c r="V125" s="32" t="n">
        <x:f>IF(AND(ISNUMBER(S125),ISNUMBER(U125)),ABS(S125-U125),IF(S125=U125,0,1))</x:f>
        <x:v>0</x:v>
      </x:c>
      <x:c r="W125" s="30" t="str">
        <x:v>PASS</x:v>
      </x:c>
      <x:c r="X125" s="28" t="str">
        <x:f>IF(V125&lt;=1E-9,"PASS","FAIL")</x:f>
        <x:v>PASS</x:v>
      </x:c>
      <x:c r="Y125" t="str">
        <x:v>TCVN 10304:2025 tr.32–33</x:v>
      </x:c>
      <x:c r="Z125" t="str"/>
    </x:row>
    <x:row r="126">
      <x:c r="A126" t="str">
        <x:v>G0123</x:v>
      </x:c>
      <x:c r="B126" t="str">
        <x:v>Bảng 2</x:v>
      </x:c>
      <x:c r="C126" t="str">
        <x:v>clay:IL=0.1</x:v>
      </x:c>
      <x:c r="D126" t="str">
        <x:v>EXACT</x:v>
      </x:c>
      <x:c r="E126" t="str">
        <x:v>{"z":20,"IL":0.1}</x:v>
      </x:c>
      <x:c r="F126" t="str">
        <x:v>EXACT</x:v>
      </x:c>
      <x:c r="G126"/>
      <x:c r="H126"/>
      <x:c r="I126"/>
      <x:c r="J126"/>
      <x:c r="K126"/>
      <x:c r="L126"/>
      <x:c r="M126" t="n">
        <x:v>8500</x:v>
      </x:c>
      <x:c r="N126"/>
      <x:c r="O126"/>
      <x:c r="P126"/>
      <x:c r="Q126"/>
      <x:c r="R126"/>
      <x:c r="S126" t="n">
        <x:v>8500</x:v>
      </x:c>
      <x:c r="T126" t="n">
        <x:v>8500</x:v>
      </x:c>
      <x:c r="U126" s="28" t="n">
        <x:f>T126</x:f>
        <x:v>8500</x:v>
      </x:c>
      <x:c r="V126" s="32" t="n">
        <x:f>IF(AND(ISNUMBER(S126),ISNUMBER(U126)),ABS(S126-U126),IF(S126=U126,0,1))</x:f>
        <x:v>0</x:v>
      </x:c>
      <x:c r="W126" s="30" t="str">
        <x:v>PASS</x:v>
      </x:c>
      <x:c r="X126" s="28" t="str">
        <x:f>IF(V126&lt;=1E-9,"PASS","FAIL")</x:f>
        <x:v>PASS</x:v>
      </x:c>
      <x:c r="Y126" t="str">
        <x:v>TCVN 10304:2025 tr.32–33</x:v>
      </x:c>
      <x:c r="Z126" t="str"/>
    </x:row>
    <x:row r="127">
      <x:c r="A127" t="str">
        <x:v>G0124</x:v>
      </x:c>
      <x:c r="B127" t="str">
        <x:v>Bảng 2</x:v>
      </x:c>
      <x:c r="C127" t="str">
        <x:v>clay:IL=0.1</x:v>
      </x:c>
      <x:c r="D127" t="str">
        <x:v>EXACT</x:v>
      </x:c>
      <x:c r="E127" t="str">
        <x:v>{"z":25,"IL":0.1}</x:v>
      </x:c>
      <x:c r="F127" t="str">
        <x:v>EXACT</x:v>
      </x:c>
      <x:c r="G127"/>
      <x:c r="H127"/>
      <x:c r="I127"/>
      <x:c r="J127"/>
      <x:c r="K127"/>
      <x:c r="L127"/>
      <x:c r="M127" t="n">
        <x:v>9000</x:v>
      </x:c>
      <x:c r="N127"/>
      <x:c r="O127"/>
      <x:c r="P127"/>
      <x:c r="Q127"/>
      <x:c r="R127"/>
      <x:c r="S127" t="n">
        <x:v>9000</x:v>
      </x:c>
      <x:c r="T127" t="n">
        <x:v>9000</x:v>
      </x:c>
      <x:c r="U127" s="28" t="n">
        <x:f>T127</x:f>
        <x:v>9000</x:v>
      </x:c>
      <x:c r="V127" s="32" t="n">
        <x:f>IF(AND(ISNUMBER(S127),ISNUMBER(U127)),ABS(S127-U127),IF(S127=U127,0,1))</x:f>
        <x:v>0</x:v>
      </x:c>
      <x:c r="W127" s="30" t="str">
        <x:v>PASS</x:v>
      </x:c>
      <x:c r="X127" s="28" t="str">
        <x:f>IF(V127&lt;=1E-9,"PASS","FAIL")</x:f>
        <x:v>PASS</x:v>
      </x:c>
      <x:c r="Y127" t="str">
        <x:v>TCVN 10304:2025 tr.32–33</x:v>
      </x:c>
      <x:c r="Z127" t="str"/>
    </x:row>
    <x:row r="128">
      <x:c r="A128" t="str">
        <x:v>G0125</x:v>
      </x:c>
      <x:c r="B128" t="str">
        <x:v>Bảng 2</x:v>
      </x:c>
      <x:c r="C128" t="str">
        <x:v>clay:IL=0.1</x:v>
      </x:c>
      <x:c r="D128" t="str">
        <x:v>EXACT</x:v>
      </x:c>
      <x:c r="E128" t="str">
        <x:v>{"z":30,"IL":0.1}</x:v>
      </x:c>
      <x:c r="F128" t="str">
        <x:v>EXACT</x:v>
      </x:c>
      <x:c r="G128"/>
      <x:c r="H128"/>
      <x:c r="I128"/>
      <x:c r="J128"/>
      <x:c r="K128"/>
      <x:c r="L128"/>
      <x:c r="M128" t="n">
        <x:v>9500</x:v>
      </x:c>
      <x:c r="N128"/>
      <x:c r="O128"/>
      <x:c r="P128"/>
      <x:c r="Q128"/>
      <x:c r="R128"/>
      <x:c r="S128" t="n">
        <x:v>9500</x:v>
      </x:c>
      <x:c r="T128" t="n">
        <x:v>9500</x:v>
      </x:c>
      <x:c r="U128" s="28" t="n">
        <x:f>T128</x:f>
        <x:v>9500</x:v>
      </x:c>
      <x:c r="V128" s="32" t="n">
        <x:f>IF(AND(ISNUMBER(S128),ISNUMBER(U128)),ABS(S128-U128),IF(S128=U128,0,1))</x:f>
        <x:v>0</x:v>
      </x:c>
      <x:c r="W128" s="30" t="str">
        <x:v>PASS</x:v>
      </x:c>
      <x:c r="X128" s="28" t="str">
        <x:f>IF(V128&lt;=1E-9,"PASS","FAIL")</x:f>
        <x:v>PASS</x:v>
      </x:c>
      <x:c r="Y128" t="str">
        <x:v>TCVN 10304:2025 tr.32–33</x:v>
      </x:c>
      <x:c r="Z128" t="str"/>
    </x:row>
    <x:row r="129">
      <x:c r="A129" t="str">
        <x:v>G0126</x:v>
      </x:c>
      <x:c r="B129" t="str">
        <x:v>Bảng 2</x:v>
      </x:c>
      <x:c r="C129" t="str">
        <x:v>clay:IL=0.1</x:v>
      </x:c>
      <x:c r="D129" t="str">
        <x:v>EXACT</x:v>
      </x:c>
      <x:c r="E129" t="str">
        <x:v>{"z":35,"IL":0.1}</x:v>
      </x:c>
      <x:c r="F129" t="str">
        <x:v>EXACT</x:v>
      </x:c>
      <x:c r="G129"/>
      <x:c r="H129"/>
      <x:c r="I129"/>
      <x:c r="J129"/>
      <x:c r="K129"/>
      <x:c r="L129"/>
      <x:c r="M129" t="n">
        <x:v>10000</x:v>
      </x:c>
      <x:c r="N129"/>
      <x:c r="O129"/>
      <x:c r="P129"/>
      <x:c r="Q129"/>
      <x:c r="R129"/>
      <x:c r="S129" t="n">
        <x:v>10000</x:v>
      </x:c>
      <x:c r="T129" t="n">
        <x:v>10000</x:v>
      </x:c>
      <x:c r="U129" s="28" t="n">
        <x:f>T129</x:f>
        <x:v>10000</x:v>
      </x:c>
      <x:c r="V129" s="32" t="n">
        <x:f>IF(AND(ISNUMBER(S129),ISNUMBER(U129)),ABS(S129-U129),IF(S129=U129,0,1))</x:f>
        <x:v>0</x:v>
      </x:c>
      <x:c r="W129" s="30" t="str">
        <x:v>PASS</x:v>
      </x:c>
      <x:c r="X129" s="28" t="str">
        <x:f>IF(V129&lt;=1E-9,"PASS","FAIL")</x:f>
        <x:v>PASS</x:v>
      </x:c>
      <x:c r="Y129" t="str">
        <x:v>TCVN 10304:2025 tr.32–33</x:v>
      </x:c>
      <x:c r="Z129" t="str"/>
    </x:row>
    <x:row r="130">
      <x:c r="A130" t="str">
        <x:v>G0127</x:v>
      </x:c>
      <x:c r="B130" t="str">
        <x:v>Bảng 2</x:v>
      </x:c>
      <x:c r="C130" t="str">
        <x:v>clay:IL=0.1</x:v>
      </x:c>
      <x:c r="D130" t="str">
        <x:v>EXACT</x:v>
      </x:c>
      <x:c r="E130" t="str">
        <x:v>{"z":40,"IL":0.1}</x:v>
      </x:c>
      <x:c r="F130" t="str">
        <x:v>EXACT</x:v>
      </x:c>
      <x:c r="G130"/>
      <x:c r="H130"/>
      <x:c r="I130"/>
      <x:c r="J130"/>
      <x:c r="K130"/>
      <x:c r="L130"/>
      <x:c r="M130" t="n">
        <x:v>10500</x:v>
      </x:c>
      <x:c r="N130"/>
      <x:c r="O130"/>
      <x:c r="P130"/>
      <x:c r="Q130"/>
      <x:c r="R130"/>
      <x:c r="S130" t="n">
        <x:v>10500</x:v>
      </x:c>
      <x:c r="T130" t="n">
        <x:v>10500</x:v>
      </x:c>
      <x:c r="U130" s="28" t="n">
        <x:f>T130</x:f>
        <x:v>10500</x:v>
      </x:c>
      <x:c r="V130" s="32" t="n">
        <x:f>IF(AND(ISNUMBER(S130),ISNUMBER(U130)),ABS(S130-U130),IF(S130=U130,0,1))</x:f>
        <x:v>0</x:v>
      </x:c>
      <x:c r="W130" s="30" t="str">
        <x:v>PASS</x:v>
      </x:c>
      <x:c r="X130" s="28" t="str">
        <x:f>IF(V130&lt;=1E-9,"PASS","FAIL")</x:f>
        <x:v>PASS</x:v>
      </x:c>
      <x:c r="Y130" t="str">
        <x:v>TCVN 10304:2025 tr.32–33</x:v>
      </x:c>
      <x:c r="Z130" t="str"/>
    </x:row>
    <x:row r="131">
      <x:c r="A131" t="str">
        <x:v>G0128</x:v>
      </x:c>
      <x:c r="B131" t="str">
        <x:v>Bảng 2</x:v>
      </x:c>
      <x:c r="C131" t="str">
        <x:v>clay:IL=0.2</x:v>
      </x:c>
      <x:c r="D131" t="str">
        <x:v>EXACT</x:v>
      </x:c>
      <x:c r="E131" t="str">
        <x:v>{"z":3,"IL":0.2}</x:v>
      </x:c>
      <x:c r="F131" t="str">
        <x:v>EXACT</x:v>
      </x:c>
      <x:c r="G131"/>
      <x:c r="H131"/>
      <x:c r="I131"/>
      <x:c r="J131"/>
      <x:c r="K131"/>
      <x:c r="L131"/>
      <x:c r="M131" t="n">
        <x:v>3000</x:v>
      </x:c>
      <x:c r="N131"/>
      <x:c r="O131"/>
      <x:c r="P131"/>
      <x:c r="Q131"/>
      <x:c r="R131"/>
      <x:c r="S131" t="n">
        <x:v>3000</x:v>
      </x:c>
      <x:c r="T131" t="n">
        <x:v>3000</x:v>
      </x:c>
      <x:c r="U131" s="28" t="n">
        <x:f>T131</x:f>
        <x:v>3000</x:v>
      </x:c>
      <x:c r="V131" s="32" t="n">
        <x:f>IF(AND(ISNUMBER(S131),ISNUMBER(U131)),ABS(S131-U131),IF(S131=U131,0,1))</x:f>
        <x:v>0</x:v>
      </x:c>
      <x:c r="W131" s="30" t="str">
        <x:v>PASS</x:v>
      </x:c>
      <x:c r="X131" s="28" t="str">
        <x:f>IF(V131&lt;=1E-9,"PASS","FAIL")</x:f>
        <x:v>PASS</x:v>
      </x:c>
      <x:c r="Y131" t="str">
        <x:v>TCVN 10304:2025 tr.32–33</x:v>
      </x:c>
      <x:c r="Z131" t="str"/>
    </x:row>
    <x:row r="132">
      <x:c r="A132" t="str">
        <x:v>G0129</x:v>
      </x:c>
      <x:c r="B132" t="str">
        <x:v>Bảng 2</x:v>
      </x:c>
      <x:c r="C132" t="str">
        <x:v>clay:IL=0.2</x:v>
      </x:c>
      <x:c r="D132" t="str">
        <x:v>EXACT</x:v>
      </x:c>
      <x:c r="E132" t="str">
        <x:v>{"z":4,"IL":0.2}</x:v>
      </x:c>
      <x:c r="F132" t="str">
        <x:v>EXACT</x:v>
      </x:c>
      <x:c r="G132"/>
      <x:c r="H132"/>
      <x:c r="I132"/>
      <x:c r="J132"/>
      <x:c r="K132"/>
      <x:c r="L132"/>
      <x:c r="M132" t="n">
        <x:v>3800</x:v>
      </x:c>
      <x:c r="N132"/>
      <x:c r="O132"/>
      <x:c r="P132"/>
      <x:c r="Q132"/>
      <x:c r="R132"/>
      <x:c r="S132" t="n">
        <x:v>3800</x:v>
      </x:c>
      <x:c r="T132" t="n">
        <x:v>3800</x:v>
      </x:c>
      <x:c r="U132" s="28" t="n">
        <x:f>T132</x:f>
        <x:v>3800</x:v>
      </x:c>
      <x:c r="V132" s="32" t="n">
        <x:f>IF(AND(ISNUMBER(S132),ISNUMBER(U132)),ABS(S132-U132),IF(S132=U132,0,1))</x:f>
        <x:v>0</x:v>
      </x:c>
      <x:c r="W132" s="30" t="str">
        <x:v>PASS</x:v>
      </x:c>
      <x:c r="X132" s="28" t="str">
        <x:f>IF(V132&lt;=1E-9,"PASS","FAIL")</x:f>
        <x:v>PASS</x:v>
      </x:c>
      <x:c r="Y132" t="str">
        <x:v>TCVN 10304:2025 tr.32–33</x:v>
      </x:c>
      <x:c r="Z132" t="str"/>
    </x:row>
    <x:row r="133">
      <x:c r="A133" t="str">
        <x:v>G0130</x:v>
      </x:c>
      <x:c r="B133" t="str">
        <x:v>Bảng 2</x:v>
      </x:c>
      <x:c r="C133" t="str">
        <x:v>clay:IL=0.2</x:v>
      </x:c>
      <x:c r="D133" t="str">
        <x:v>EXACT</x:v>
      </x:c>
      <x:c r="E133" t="str">
        <x:v>{"z":5,"IL":0.2}</x:v>
      </x:c>
      <x:c r="F133" t="str">
        <x:v>EXACT</x:v>
      </x:c>
      <x:c r="G133"/>
      <x:c r="H133"/>
      <x:c r="I133"/>
      <x:c r="J133"/>
      <x:c r="K133"/>
      <x:c r="L133"/>
      <x:c r="M133" t="n">
        <x:v>4000</x:v>
      </x:c>
      <x:c r="N133"/>
      <x:c r="O133"/>
      <x:c r="P133"/>
      <x:c r="Q133"/>
      <x:c r="R133"/>
      <x:c r="S133" t="n">
        <x:v>4000</x:v>
      </x:c>
      <x:c r="T133" t="n">
        <x:v>4000</x:v>
      </x:c>
      <x:c r="U133" s="28" t="n">
        <x:f>T133</x:f>
        <x:v>4000</x:v>
      </x:c>
      <x:c r="V133" s="32" t="n">
        <x:f>IF(AND(ISNUMBER(S133),ISNUMBER(U133)),ABS(S133-U133),IF(S133=U133,0,1))</x:f>
        <x:v>0</x:v>
      </x:c>
      <x:c r="W133" s="30" t="str">
        <x:v>PASS</x:v>
      </x:c>
      <x:c r="X133" s="28" t="str">
        <x:f>IF(V133&lt;=1E-9,"PASS","FAIL")</x:f>
        <x:v>PASS</x:v>
      </x:c>
      <x:c r="Y133" t="str">
        <x:v>TCVN 10304:2025 tr.32–33</x:v>
      </x:c>
      <x:c r="Z133" t="str"/>
    </x:row>
    <x:row r="134">
      <x:c r="A134" t="str">
        <x:v>G0131</x:v>
      </x:c>
      <x:c r="B134" t="str">
        <x:v>Bảng 2</x:v>
      </x:c>
      <x:c r="C134" t="str">
        <x:v>clay:IL=0.2</x:v>
      </x:c>
      <x:c r="D134" t="str">
        <x:v>EXACT</x:v>
      </x:c>
      <x:c r="E134" t="str">
        <x:v>{"z":7,"IL":0.2}</x:v>
      </x:c>
      <x:c r="F134" t="str">
        <x:v>EXACT</x:v>
      </x:c>
      <x:c r="G134"/>
      <x:c r="H134"/>
      <x:c r="I134"/>
      <x:c r="J134"/>
      <x:c r="K134"/>
      <x:c r="L134"/>
      <x:c r="M134" t="n">
        <x:v>4300</x:v>
      </x:c>
      <x:c r="N134"/>
      <x:c r="O134"/>
      <x:c r="P134"/>
      <x:c r="Q134"/>
      <x:c r="R134"/>
      <x:c r="S134" t="n">
        <x:v>4300</x:v>
      </x:c>
      <x:c r="T134" t="n">
        <x:v>4300</x:v>
      </x:c>
      <x:c r="U134" s="28" t="n">
        <x:f>T134</x:f>
        <x:v>4300</x:v>
      </x:c>
      <x:c r="V134" s="32" t="n">
        <x:f>IF(AND(ISNUMBER(S134),ISNUMBER(U134)),ABS(S134-U134),IF(S134=U134,0,1))</x:f>
        <x:v>0</x:v>
      </x:c>
      <x:c r="W134" s="30" t="str">
        <x:v>PASS</x:v>
      </x:c>
      <x:c r="X134" s="28" t="str">
        <x:f>IF(V134&lt;=1E-9,"PASS","FAIL")</x:f>
        <x:v>PASS</x:v>
      </x:c>
      <x:c r="Y134" t="str">
        <x:v>TCVN 10304:2025 tr.32–33</x:v>
      </x:c>
      <x:c r="Z134" t="str"/>
    </x:row>
    <x:row r="135">
      <x:c r="A135" t="str">
        <x:v>G0132</x:v>
      </x:c>
      <x:c r="B135" t="str">
        <x:v>Bảng 2</x:v>
      </x:c>
      <x:c r="C135" t="str">
        <x:v>clay:IL=0.2</x:v>
      </x:c>
      <x:c r="D135" t="str">
        <x:v>EXACT</x:v>
      </x:c>
      <x:c r="E135" t="str">
        <x:v>{"z":10,"IL":0.2}</x:v>
      </x:c>
      <x:c r="F135" t="str">
        <x:v>EXACT</x:v>
      </x:c>
      <x:c r="G135"/>
      <x:c r="H135"/>
      <x:c r="I135"/>
      <x:c r="J135"/>
      <x:c r="K135"/>
      <x:c r="L135"/>
      <x:c r="M135" t="n">
        <x:v>5000</x:v>
      </x:c>
      <x:c r="N135"/>
      <x:c r="O135"/>
      <x:c r="P135"/>
      <x:c r="Q135"/>
      <x:c r="R135"/>
      <x:c r="S135" t="n">
        <x:v>5000</x:v>
      </x:c>
      <x:c r="T135" t="n">
        <x:v>5000</x:v>
      </x:c>
      <x:c r="U135" s="28" t="n">
        <x:f>T135</x:f>
        <x:v>5000</x:v>
      </x:c>
      <x:c r="V135" s="32" t="n">
        <x:f>IF(AND(ISNUMBER(S135),ISNUMBER(U135)),ABS(S135-U135),IF(S135=U135,0,1))</x:f>
        <x:v>0</x:v>
      </x:c>
      <x:c r="W135" s="30" t="str">
        <x:v>PASS</x:v>
      </x:c>
      <x:c r="X135" s="28" t="str">
        <x:f>IF(V135&lt;=1E-9,"PASS","FAIL")</x:f>
        <x:v>PASS</x:v>
      </x:c>
      <x:c r="Y135" t="str">
        <x:v>TCVN 10304:2025 tr.32–33</x:v>
      </x:c>
      <x:c r="Z135" t="str"/>
    </x:row>
    <x:row r="136">
      <x:c r="A136" t="str">
        <x:v>G0133</x:v>
      </x:c>
      <x:c r="B136" t="str">
        <x:v>Bảng 2</x:v>
      </x:c>
      <x:c r="C136" t="str">
        <x:v>clay:IL=0.2</x:v>
      </x:c>
      <x:c r="D136" t="str">
        <x:v>EXACT</x:v>
      </x:c>
      <x:c r="E136" t="str">
        <x:v>{"z":15,"IL":0.2}</x:v>
      </x:c>
      <x:c r="F136" t="str">
        <x:v>EXACT</x:v>
      </x:c>
      <x:c r="G136"/>
      <x:c r="H136"/>
      <x:c r="I136"/>
      <x:c r="J136"/>
      <x:c r="K136"/>
      <x:c r="L136"/>
      <x:c r="M136" t="n">
        <x:v>5600</x:v>
      </x:c>
      <x:c r="N136"/>
      <x:c r="O136"/>
      <x:c r="P136"/>
      <x:c r="Q136"/>
      <x:c r="R136"/>
      <x:c r="S136" t="n">
        <x:v>5600</x:v>
      </x:c>
      <x:c r="T136" t="n">
        <x:v>5600</x:v>
      </x:c>
      <x:c r="U136" s="28" t="n">
        <x:f>T136</x:f>
        <x:v>5600</x:v>
      </x:c>
      <x:c r="V136" s="32" t="n">
        <x:f>IF(AND(ISNUMBER(S136),ISNUMBER(U136)),ABS(S136-U136),IF(S136=U136,0,1))</x:f>
        <x:v>0</x:v>
      </x:c>
      <x:c r="W136" s="30" t="str">
        <x:v>PASS</x:v>
      </x:c>
      <x:c r="X136" s="28" t="str">
        <x:f>IF(V136&lt;=1E-9,"PASS","FAIL")</x:f>
        <x:v>PASS</x:v>
      </x:c>
      <x:c r="Y136" t="str">
        <x:v>TCVN 10304:2025 tr.32–33</x:v>
      </x:c>
      <x:c r="Z136" t="str"/>
    </x:row>
    <x:row r="137">
      <x:c r="A137" t="str">
        <x:v>G0134</x:v>
      </x:c>
      <x:c r="B137" t="str">
        <x:v>Bảng 2</x:v>
      </x:c>
      <x:c r="C137" t="str">
        <x:v>clay:IL=0.2</x:v>
      </x:c>
      <x:c r="D137" t="str">
        <x:v>EXACT</x:v>
      </x:c>
      <x:c r="E137" t="str">
        <x:v>{"z":20,"IL":0.2}</x:v>
      </x:c>
      <x:c r="F137" t="str">
        <x:v>EXACT</x:v>
      </x:c>
      <x:c r="G137"/>
      <x:c r="H137"/>
      <x:c r="I137"/>
      <x:c r="J137"/>
      <x:c r="K137"/>
      <x:c r="L137"/>
      <x:c r="M137" t="n">
        <x:v>6200</x:v>
      </x:c>
      <x:c r="N137"/>
      <x:c r="O137"/>
      <x:c r="P137"/>
      <x:c r="Q137"/>
      <x:c r="R137"/>
      <x:c r="S137" t="n">
        <x:v>6200</x:v>
      </x:c>
      <x:c r="T137" t="n">
        <x:v>6200</x:v>
      </x:c>
      <x:c r="U137" s="28" t="n">
        <x:f>T137</x:f>
        <x:v>6200</x:v>
      </x:c>
      <x:c r="V137" s="32" t="n">
        <x:f>IF(AND(ISNUMBER(S137),ISNUMBER(U137)),ABS(S137-U137),IF(S137=U137,0,1))</x:f>
        <x:v>0</x:v>
      </x:c>
      <x:c r="W137" s="30" t="str">
        <x:v>PASS</x:v>
      </x:c>
      <x:c r="X137" s="28" t="str">
        <x:f>IF(V137&lt;=1E-9,"PASS","FAIL")</x:f>
        <x:v>PASS</x:v>
      </x:c>
      <x:c r="Y137" t="str">
        <x:v>TCVN 10304:2025 tr.32–33</x:v>
      </x:c>
      <x:c r="Z137" t="str"/>
    </x:row>
    <x:row r="138">
      <x:c r="A138" t="str">
        <x:v>G0135</x:v>
      </x:c>
      <x:c r="B138" t="str">
        <x:v>Bảng 2</x:v>
      </x:c>
      <x:c r="C138" t="str">
        <x:v>clay:IL=0.2</x:v>
      </x:c>
      <x:c r="D138" t="str">
        <x:v>EXACT</x:v>
      </x:c>
      <x:c r="E138" t="str">
        <x:v>{"z":25,"IL":0.2}</x:v>
      </x:c>
      <x:c r="F138" t="str">
        <x:v>EXACT</x:v>
      </x:c>
      <x:c r="G138"/>
      <x:c r="H138"/>
      <x:c r="I138"/>
      <x:c r="J138"/>
      <x:c r="K138"/>
      <x:c r="L138"/>
      <x:c r="M138" t="n">
        <x:v>6800</x:v>
      </x:c>
      <x:c r="N138"/>
      <x:c r="O138"/>
      <x:c r="P138"/>
      <x:c r="Q138"/>
      <x:c r="R138"/>
      <x:c r="S138" t="n">
        <x:v>6800</x:v>
      </x:c>
      <x:c r="T138" t="n">
        <x:v>6800</x:v>
      </x:c>
      <x:c r="U138" s="28" t="n">
        <x:f>T138</x:f>
        <x:v>6800</x:v>
      </x:c>
      <x:c r="V138" s="32" t="n">
        <x:f>IF(AND(ISNUMBER(S138),ISNUMBER(U138)),ABS(S138-U138),IF(S138=U138,0,1))</x:f>
        <x:v>0</x:v>
      </x:c>
      <x:c r="W138" s="30" t="str">
        <x:v>PASS</x:v>
      </x:c>
      <x:c r="X138" s="28" t="str">
        <x:f>IF(V138&lt;=1E-9,"PASS","FAIL")</x:f>
        <x:v>PASS</x:v>
      </x:c>
      <x:c r="Y138" t="str">
        <x:v>TCVN 10304:2025 tr.32–33</x:v>
      </x:c>
      <x:c r="Z138" t="str"/>
    </x:row>
    <x:row r="139">
      <x:c r="A139" t="str">
        <x:v>G0136</x:v>
      </x:c>
      <x:c r="B139" t="str">
        <x:v>Bảng 2</x:v>
      </x:c>
      <x:c r="C139" t="str">
        <x:v>clay:IL=0.2</x:v>
      </x:c>
      <x:c r="D139" t="str">
        <x:v>EXACT</x:v>
      </x:c>
      <x:c r="E139" t="str">
        <x:v>{"z":30,"IL":0.2}</x:v>
      </x:c>
      <x:c r="F139" t="str">
        <x:v>EXACT</x:v>
      </x:c>
      <x:c r="G139"/>
      <x:c r="H139"/>
      <x:c r="I139"/>
      <x:c r="J139"/>
      <x:c r="K139"/>
      <x:c r="L139"/>
      <x:c r="M139" t="n">
        <x:v>7400</x:v>
      </x:c>
      <x:c r="N139"/>
      <x:c r="O139"/>
      <x:c r="P139"/>
      <x:c r="Q139"/>
      <x:c r="R139"/>
      <x:c r="S139" t="n">
        <x:v>7400</x:v>
      </x:c>
      <x:c r="T139" t="n">
        <x:v>7400</x:v>
      </x:c>
      <x:c r="U139" s="28" t="n">
        <x:f>T139</x:f>
        <x:v>7400</x:v>
      </x:c>
      <x:c r="V139" s="32" t="n">
        <x:f>IF(AND(ISNUMBER(S139),ISNUMBER(U139)),ABS(S139-U139),IF(S139=U139,0,1))</x:f>
        <x:v>0</x:v>
      </x:c>
      <x:c r="W139" s="30" t="str">
        <x:v>PASS</x:v>
      </x:c>
      <x:c r="X139" s="28" t="str">
        <x:f>IF(V139&lt;=1E-9,"PASS","FAIL")</x:f>
        <x:v>PASS</x:v>
      </x:c>
      <x:c r="Y139" t="str">
        <x:v>TCVN 10304:2025 tr.32–33</x:v>
      </x:c>
      <x:c r="Z139" t="str"/>
    </x:row>
    <x:row r="140">
      <x:c r="A140" t="str">
        <x:v>G0137</x:v>
      </x:c>
      <x:c r="B140" t="str">
        <x:v>Bảng 2</x:v>
      </x:c>
      <x:c r="C140" t="str">
        <x:v>clay:IL=0.2</x:v>
      </x:c>
      <x:c r="D140" t="str">
        <x:v>EXACT</x:v>
      </x:c>
      <x:c r="E140" t="str">
        <x:v>{"z":35,"IL":0.2}</x:v>
      </x:c>
      <x:c r="F140" t="str">
        <x:v>EXACT</x:v>
      </x:c>
      <x:c r="G140"/>
      <x:c r="H140"/>
      <x:c r="I140"/>
      <x:c r="J140"/>
      <x:c r="K140"/>
      <x:c r="L140"/>
      <x:c r="M140" t="n">
        <x:v>8000</x:v>
      </x:c>
      <x:c r="N140"/>
      <x:c r="O140"/>
      <x:c r="P140"/>
      <x:c r="Q140"/>
      <x:c r="R140"/>
      <x:c r="S140" t="n">
        <x:v>8000</x:v>
      </x:c>
      <x:c r="T140" t="n">
        <x:v>8000</x:v>
      </x:c>
      <x:c r="U140" s="28" t="n">
        <x:f>T140</x:f>
        <x:v>8000</x:v>
      </x:c>
      <x:c r="V140" s="32" t="n">
        <x:f>IF(AND(ISNUMBER(S140),ISNUMBER(U140)),ABS(S140-U140),IF(S140=U140,0,1))</x:f>
        <x:v>0</x:v>
      </x:c>
      <x:c r="W140" s="30" t="str">
        <x:v>PASS</x:v>
      </x:c>
      <x:c r="X140" s="28" t="str">
        <x:f>IF(V140&lt;=1E-9,"PASS","FAIL")</x:f>
        <x:v>PASS</x:v>
      </x:c>
      <x:c r="Y140" t="str">
        <x:v>TCVN 10304:2025 tr.32–33</x:v>
      </x:c>
      <x:c r="Z140" t="str"/>
    </x:row>
    <x:row r="141">
      <x:c r="A141" t="str">
        <x:v>G0138</x:v>
      </x:c>
      <x:c r="B141" t="str">
        <x:v>Bảng 2</x:v>
      </x:c>
      <x:c r="C141" t="str">
        <x:v>clay:IL=0.2</x:v>
      </x:c>
      <x:c r="D141" t="str">
        <x:v>EXACT</x:v>
      </x:c>
      <x:c r="E141" t="str">
        <x:v>{"z":40,"IL":0.2}</x:v>
      </x:c>
      <x:c r="F141" t="str">
        <x:v>EXACT</x:v>
      </x:c>
      <x:c r="G141"/>
      <x:c r="H141"/>
      <x:c r="I141"/>
      <x:c r="J141"/>
      <x:c r="K141"/>
      <x:c r="L141"/>
      <x:c r="M141" t="n">
        <x:v>8600</x:v>
      </x:c>
      <x:c r="N141"/>
      <x:c r="O141"/>
      <x:c r="P141"/>
      <x:c r="Q141"/>
      <x:c r="R141"/>
      <x:c r="S141" t="n">
        <x:v>8600</x:v>
      </x:c>
      <x:c r="T141" t="n">
        <x:v>8600</x:v>
      </x:c>
      <x:c r="U141" s="28" t="n">
        <x:f>T141</x:f>
        <x:v>8600</x:v>
      </x:c>
      <x:c r="V141" s="32" t="n">
        <x:f>IF(AND(ISNUMBER(S141),ISNUMBER(U141)),ABS(S141-U141),IF(S141=U141,0,1))</x:f>
        <x:v>0</x:v>
      </x:c>
      <x:c r="W141" s="30" t="str">
        <x:v>PASS</x:v>
      </x:c>
      <x:c r="X141" s="28" t="str">
        <x:f>IF(V141&lt;=1E-9,"PASS","FAIL")</x:f>
        <x:v>PASS</x:v>
      </x:c>
      <x:c r="Y141" t="str">
        <x:v>TCVN 10304:2025 tr.32–33</x:v>
      </x:c>
      <x:c r="Z141" t="str"/>
    </x:row>
    <x:row r="142">
      <x:c r="A142" t="str">
        <x:v>G0139</x:v>
      </x:c>
      <x:c r="B142" t="str">
        <x:v>Bảng 2</x:v>
      </x:c>
      <x:c r="C142" t="str">
        <x:v>clay:IL=0.3</x:v>
      </x:c>
      <x:c r="D142" t="str">
        <x:v>EXACT</x:v>
      </x:c>
      <x:c r="E142" t="str">
        <x:v>{"z":3,"IL":0.3}</x:v>
      </x:c>
      <x:c r="F142" t="str">
        <x:v>EXACT</x:v>
      </x:c>
      <x:c r="G142"/>
      <x:c r="H142"/>
      <x:c r="I142"/>
      <x:c r="J142"/>
      <x:c r="K142"/>
      <x:c r="L142"/>
      <x:c r="M142" t="n">
        <x:v>2000</x:v>
      </x:c>
      <x:c r="N142"/>
      <x:c r="O142"/>
      <x:c r="P142"/>
      <x:c r="Q142"/>
      <x:c r="R142"/>
      <x:c r="S142" t="n">
        <x:v>2000</x:v>
      </x:c>
      <x:c r="T142" t="n">
        <x:v>2000</x:v>
      </x:c>
      <x:c r="U142" s="28" t="n">
        <x:f>T142</x:f>
        <x:v>2000</x:v>
      </x:c>
      <x:c r="V142" s="32" t="n">
        <x:f>IF(AND(ISNUMBER(S142),ISNUMBER(U142)),ABS(S142-U142),IF(S142=U142,0,1))</x:f>
        <x:v>0</x:v>
      </x:c>
      <x:c r="W142" s="30" t="str">
        <x:v>PASS</x:v>
      </x:c>
      <x:c r="X142" s="28" t="str">
        <x:f>IF(V142&lt;=1E-9,"PASS","FAIL")</x:f>
        <x:v>PASS</x:v>
      </x:c>
      <x:c r="Y142" t="str">
        <x:v>TCVN 10304:2025 tr.32–33</x:v>
      </x:c>
      <x:c r="Z142" t="str"/>
    </x:row>
    <x:row r="143">
      <x:c r="A143" t="str">
        <x:v>G0140</x:v>
      </x:c>
      <x:c r="B143" t="str">
        <x:v>Bảng 2</x:v>
      </x:c>
      <x:c r="C143" t="str">
        <x:v>clay:IL=0.3</x:v>
      </x:c>
      <x:c r="D143" t="str">
        <x:v>EXACT</x:v>
      </x:c>
      <x:c r="E143" t="str">
        <x:v>{"z":4,"IL":0.3}</x:v>
      </x:c>
      <x:c r="F143" t="str">
        <x:v>EXACT</x:v>
      </x:c>
      <x:c r="G143"/>
      <x:c r="H143"/>
      <x:c r="I143"/>
      <x:c r="J143"/>
      <x:c r="K143"/>
      <x:c r="L143"/>
      <x:c r="M143" t="n">
        <x:v>2500</x:v>
      </x:c>
      <x:c r="N143"/>
      <x:c r="O143"/>
      <x:c r="P143"/>
      <x:c r="Q143"/>
      <x:c r="R143"/>
      <x:c r="S143" t="n">
        <x:v>2500</x:v>
      </x:c>
      <x:c r="T143" t="n">
        <x:v>2500</x:v>
      </x:c>
      <x:c r="U143" s="28" t="n">
        <x:f>T143</x:f>
        <x:v>2500</x:v>
      </x:c>
      <x:c r="V143" s="32" t="n">
        <x:f>IF(AND(ISNUMBER(S143),ISNUMBER(U143)),ABS(S143-U143),IF(S143=U143,0,1))</x:f>
        <x:v>0</x:v>
      </x:c>
      <x:c r="W143" s="30" t="str">
        <x:v>PASS</x:v>
      </x:c>
      <x:c r="X143" s="28" t="str">
        <x:f>IF(V143&lt;=1E-9,"PASS","FAIL")</x:f>
        <x:v>PASS</x:v>
      </x:c>
      <x:c r="Y143" t="str">
        <x:v>TCVN 10304:2025 tr.32–33</x:v>
      </x:c>
      <x:c r="Z143" t="str"/>
    </x:row>
    <x:row r="144">
      <x:c r="A144" t="str">
        <x:v>G0141</x:v>
      </x:c>
      <x:c r="B144" t="str">
        <x:v>Bảng 2</x:v>
      </x:c>
      <x:c r="C144" t="str">
        <x:v>clay:IL=0.3</x:v>
      </x:c>
      <x:c r="D144" t="str">
        <x:v>EXACT</x:v>
      </x:c>
      <x:c r="E144" t="str">
        <x:v>{"z":5,"IL":0.3}</x:v>
      </x:c>
      <x:c r="F144" t="str">
        <x:v>EXACT</x:v>
      </x:c>
      <x:c r="G144"/>
      <x:c r="H144"/>
      <x:c r="I144"/>
      <x:c r="J144"/>
      <x:c r="K144"/>
      <x:c r="L144"/>
      <x:c r="M144" t="n">
        <x:v>2800</x:v>
      </x:c>
      <x:c r="N144"/>
      <x:c r="O144"/>
      <x:c r="P144"/>
      <x:c r="Q144"/>
      <x:c r="R144"/>
      <x:c r="S144" t="n">
        <x:v>2800</x:v>
      </x:c>
      <x:c r="T144" t="n">
        <x:v>2800</x:v>
      </x:c>
      <x:c r="U144" s="28" t="n">
        <x:f>T144</x:f>
        <x:v>2800</x:v>
      </x:c>
      <x:c r="V144" s="32" t="n">
        <x:f>IF(AND(ISNUMBER(S144),ISNUMBER(U144)),ABS(S144-U144),IF(S144=U144,0,1))</x:f>
        <x:v>0</x:v>
      </x:c>
      <x:c r="W144" s="30" t="str">
        <x:v>PASS</x:v>
      </x:c>
      <x:c r="X144" s="28" t="str">
        <x:f>IF(V144&lt;=1E-9,"PASS","FAIL")</x:f>
        <x:v>PASS</x:v>
      </x:c>
      <x:c r="Y144" t="str">
        <x:v>TCVN 10304:2025 tr.32–33</x:v>
      </x:c>
      <x:c r="Z144" t="str"/>
    </x:row>
    <x:row r="145">
      <x:c r="A145" t="str">
        <x:v>G0142</x:v>
      </x:c>
      <x:c r="B145" t="str">
        <x:v>Bảng 2</x:v>
      </x:c>
      <x:c r="C145" t="str">
        <x:v>clay:IL=0.3</x:v>
      </x:c>
      <x:c r="D145" t="str">
        <x:v>EXACT</x:v>
      </x:c>
      <x:c r="E145" t="str">
        <x:v>{"z":7,"IL":0.3}</x:v>
      </x:c>
      <x:c r="F145" t="str">
        <x:v>EXACT</x:v>
      </x:c>
      <x:c r="G145"/>
      <x:c r="H145"/>
      <x:c r="I145"/>
      <x:c r="J145"/>
      <x:c r="K145"/>
      <x:c r="L145"/>
      <x:c r="M145" t="n">
        <x:v>3300</x:v>
      </x:c>
      <x:c r="N145"/>
      <x:c r="O145"/>
      <x:c r="P145"/>
      <x:c r="Q145"/>
      <x:c r="R145"/>
      <x:c r="S145" t="n">
        <x:v>3300</x:v>
      </x:c>
      <x:c r="T145" t="n">
        <x:v>3300</x:v>
      </x:c>
      <x:c r="U145" s="28" t="n">
        <x:f>T145</x:f>
        <x:v>3300</x:v>
      </x:c>
      <x:c r="V145" s="32" t="n">
        <x:f>IF(AND(ISNUMBER(S145),ISNUMBER(U145)),ABS(S145-U145),IF(S145=U145,0,1))</x:f>
        <x:v>0</x:v>
      </x:c>
      <x:c r="W145" s="30" t="str">
        <x:v>PASS</x:v>
      </x:c>
      <x:c r="X145" s="28" t="str">
        <x:f>IF(V145&lt;=1E-9,"PASS","FAIL")</x:f>
        <x:v>PASS</x:v>
      </x:c>
      <x:c r="Y145" t="str">
        <x:v>TCVN 10304:2025 tr.32–33</x:v>
      </x:c>
      <x:c r="Z145" t="str"/>
    </x:row>
    <x:row r="146">
      <x:c r="A146" t="str">
        <x:v>G0143</x:v>
      </x:c>
      <x:c r="B146" t="str">
        <x:v>Bảng 2</x:v>
      </x:c>
      <x:c r="C146" t="str">
        <x:v>clay:IL=0.3</x:v>
      </x:c>
      <x:c r="D146" t="str">
        <x:v>EXACT</x:v>
      </x:c>
      <x:c r="E146" t="str">
        <x:v>{"z":10,"IL":0.3}</x:v>
      </x:c>
      <x:c r="F146" t="str">
        <x:v>EXACT</x:v>
      </x:c>
      <x:c r="G146"/>
      <x:c r="H146"/>
      <x:c r="I146"/>
      <x:c r="J146"/>
      <x:c r="K146"/>
      <x:c r="L146"/>
      <x:c r="M146" t="n">
        <x:v>3500</x:v>
      </x:c>
      <x:c r="N146"/>
      <x:c r="O146"/>
      <x:c r="P146"/>
      <x:c r="Q146"/>
      <x:c r="R146"/>
      <x:c r="S146" t="n">
        <x:v>3500</x:v>
      </x:c>
      <x:c r="T146" t="n">
        <x:v>3500</x:v>
      </x:c>
      <x:c r="U146" s="28" t="n">
        <x:f>T146</x:f>
        <x:v>3500</x:v>
      </x:c>
      <x:c r="V146" s="32" t="n">
        <x:f>IF(AND(ISNUMBER(S146),ISNUMBER(U146)),ABS(S146-U146),IF(S146=U146,0,1))</x:f>
        <x:v>0</x:v>
      </x:c>
      <x:c r="W146" s="30" t="str">
        <x:v>PASS</x:v>
      </x:c>
      <x:c r="X146" s="28" t="str">
        <x:f>IF(V146&lt;=1E-9,"PASS","FAIL")</x:f>
        <x:v>PASS</x:v>
      </x:c>
      <x:c r="Y146" t="str">
        <x:v>TCVN 10304:2025 tr.32–33</x:v>
      </x:c>
      <x:c r="Z146" t="str"/>
    </x:row>
    <x:row r="147">
      <x:c r="A147" t="str">
        <x:v>G0144</x:v>
      </x:c>
      <x:c r="B147" t="str">
        <x:v>Bảng 2</x:v>
      </x:c>
      <x:c r="C147" t="str">
        <x:v>clay:IL=0.3</x:v>
      </x:c>
      <x:c r="D147" t="str">
        <x:v>EXACT</x:v>
      </x:c>
      <x:c r="E147" t="str">
        <x:v>{"z":15,"IL":0.3}</x:v>
      </x:c>
      <x:c r="F147" t="str">
        <x:v>EXACT</x:v>
      </x:c>
      <x:c r="G147"/>
      <x:c r="H147"/>
      <x:c r="I147"/>
      <x:c r="J147"/>
      <x:c r="K147"/>
      <x:c r="L147"/>
      <x:c r="M147" t="n">
        <x:v>4000</x:v>
      </x:c>
      <x:c r="N147"/>
      <x:c r="O147"/>
      <x:c r="P147"/>
      <x:c r="Q147"/>
      <x:c r="R147"/>
      <x:c r="S147" t="n">
        <x:v>4000</x:v>
      </x:c>
      <x:c r="T147" t="n">
        <x:v>4000</x:v>
      </x:c>
      <x:c r="U147" s="28" t="n">
        <x:f>T147</x:f>
        <x:v>4000</x:v>
      </x:c>
      <x:c r="V147" s="32" t="n">
        <x:f>IF(AND(ISNUMBER(S147),ISNUMBER(U147)),ABS(S147-U147),IF(S147=U147,0,1))</x:f>
        <x:v>0</x:v>
      </x:c>
      <x:c r="W147" s="30" t="str">
        <x:v>PASS</x:v>
      </x:c>
      <x:c r="X147" s="28" t="str">
        <x:f>IF(V147&lt;=1E-9,"PASS","FAIL")</x:f>
        <x:v>PASS</x:v>
      </x:c>
      <x:c r="Y147" t="str">
        <x:v>TCVN 10304:2025 tr.32–33</x:v>
      </x:c>
      <x:c r="Z147" t="str"/>
    </x:row>
    <x:row r="148">
      <x:c r="A148" t="str">
        <x:v>G0145</x:v>
      </x:c>
      <x:c r="B148" t="str">
        <x:v>Bảng 2</x:v>
      </x:c>
      <x:c r="C148" t="str">
        <x:v>clay:IL=0.3</x:v>
      </x:c>
      <x:c r="D148" t="str">
        <x:v>EXACT</x:v>
      </x:c>
      <x:c r="E148" t="str">
        <x:v>{"z":20,"IL":0.3}</x:v>
      </x:c>
      <x:c r="F148" t="str">
        <x:v>EXACT</x:v>
      </x:c>
      <x:c r="G148"/>
      <x:c r="H148"/>
      <x:c r="I148"/>
      <x:c r="J148"/>
      <x:c r="K148"/>
      <x:c r="L148"/>
      <x:c r="M148" t="n">
        <x:v>4500</x:v>
      </x:c>
      <x:c r="N148"/>
      <x:c r="O148"/>
      <x:c r="P148"/>
      <x:c r="Q148"/>
      <x:c r="R148"/>
      <x:c r="S148" t="n">
        <x:v>4500</x:v>
      </x:c>
      <x:c r="T148" t="n">
        <x:v>4500</x:v>
      </x:c>
      <x:c r="U148" s="28" t="n">
        <x:f>T148</x:f>
        <x:v>4500</x:v>
      </x:c>
      <x:c r="V148" s="32" t="n">
        <x:f>IF(AND(ISNUMBER(S148),ISNUMBER(U148)),ABS(S148-U148),IF(S148=U148,0,1))</x:f>
        <x:v>0</x:v>
      </x:c>
      <x:c r="W148" s="30" t="str">
        <x:v>PASS</x:v>
      </x:c>
      <x:c r="X148" s="28" t="str">
        <x:f>IF(V148&lt;=1E-9,"PASS","FAIL")</x:f>
        <x:v>PASS</x:v>
      </x:c>
      <x:c r="Y148" t="str">
        <x:v>TCVN 10304:2025 tr.32–33</x:v>
      </x:c>
      <x:c r="Z148" t="str"/>
    </x:row>
    <x:row r="149">
      <x:c r="A149" t="str">
        <x:v>G0146</x:v>
      </x:c>
      <x:c r="B149" t="str">
        <x:v>Bảng 2</x:v>
      </x:c>
      <x:c r="C149" t="str">
        <x:v>clay:IL=0.3</x:v>
      </x:c>
      <x:c r="D149" t="str">
        <x:v>EXACT</x:v>
      </x:c>
      <x:c r="E149" t="str">
        <x:v>{"z":25,"IL":0.3}</x:v>
      </x:c>
      <x:c r="F149" t="str">
        <x:v>EXACT</x:v>
      </x:c>
      <x:c r="G149"/>
      <x:c r="H149"/>
      <x:c r="I149"/>
      <x:c r="J149"/>
      <x:c r="K149"/>
      <x:c r="L149"/>
      <x:c r="M149" t="n">
        <x:v>5200</x:v>
      </x:c>
      <x:c r="N149"/>
      <x:c r="O149"/>
      <x:c r="P149"/>
      <x:c r="Q149"/>
      <x:c r="R149"/>
      <x:c r="S149" t="n">
        <x:v>5200</x:v>
      </x:c>
      <x:c r="T149" t="n">
        <x:v>5200</x:v>
      </x:c>
      <x:c r="U149" s="28" t="n">
        <x:f>T149</x:f>
        <x:v>5200</x:v>
      </x:c>
      <x:c r="V149" s="32" t="n">
        <x:f>IF(AND(ISNUMBER(S149),ISNUMBER(U149)),ABS(S149-U149),IF(S149=U149,0,1))</x:f>
        <x:v>0</x:v>
      </x:c>
      <x:c r="W149" s="30" t="str">
        <x:v>PASS</x:v>
      </x:c>
      <x:c r="X149" s="28" t="str">
        <x:f>IF(V149&lt;=1E-9,"PASS","FAIL")</x:f>
        <x:v>PASS</x:v>
      </x:c>
      <x:c r="Y149" t="str">
        <x:v>TCVN 10304:2025 tr.32–33</x:v>
      </x:c>
      <x:c r="Z149" t="str"/>
    </x:row>
    <x:row r="150">
      <x:c r="A150" t="str">
        <x:v>G0147</x:v>
      </x:c>
      <x:c r="B150" t="str">
        <x:v>Bảng 2</x:v>
      </x:c>
      <x:c r="C150" t="str">
        <x:v>clay:IL=0.3</x:v>
      </x:c>
      <x:c r="D150" t="str">
        <x:v>EXACT</x:v>
      </x:c>
      <x:c r="E150" t="str">
        <x:v>{"z":30,"IL":0.3}</x:v>
      </x:c>
      <x:c r="F150" t="str">
        <x:v>EXACT</x:v>
      </x:c>
      <x:c r="G150"/>
      <x:c r="H150"/>
      <x:c r="I150"/>
      <x:c r="J150"/>
      <x:c r="K150"/>
      <x:c r="L150"/>
      <x:c r="M150" t="n">
        <x:v>5600</x:v>
      </x:c>
      <x:c r="N150"/>
      <x:c r="O150"/>
      <x:c r="P150"/>
      <x:c r="Q150"/>
      <x:c r="R150"/>
      <x:c r="S150" t="n">
        <x:v>5600</x:v>
      </x:c>
      <x:c r="T150" t="n">
        <x:v>5600</x:v>
      </x:c>
      <x:c r="U150" s="28" t="n">
        <x:f>T150</x:f>
        <x:v>5600</x:v>
      </x:c>
      <x:c r="V150" s="32" t="n">
        <x:f>IF(AND(ISNUMBER(S150),ISNUMBER(U150)),ABS(S150-U150),IF(S150=U150,0,1))</x:f>
        <x:v>0</x:v>
      </x:c>
      <x:c r="W150" s="30" t="str">
        <x:v>PASS</x:v>
      </x:c>
      <x:c r="X150" s="28" t="str">
        <x:f>IF(V150&lt;=1E-9,"PASS","FAIL")</x:f>
        <x:v>PASS</x:v>
      </x:c>
      <x:c r="Y150" t="str">
        <x:v>TCVN 10304:2025 tr.32–33</x:v>
      </x:c>
      <x:c r="Z150" t="str"/>
    </x:row>
    <x:row r="151">
      <x:c r="A151" t="str">
        <x:v>G0148</x:v>
      </x:c>
      <x:c r="B151" t="str">
        <x:v>Bảng 2</x:v>
      </x:c>
      <x:c r="C151" t="str">
        <x:v>clay:IL=0.3</x:v>
      </x:c>
      <x:c r="D151" t="str">
        <x:v>EXACT</x:v>
      </x:c>
      <x:c r="E151" t="str">
        <x:v>{"z":35,"IL":0.3}</x:v>
      </x:c>
      <x:c r="F151" t="str">
        <x:v>EXACT</x:v>
      </x:c>
      <x:c r="G151"/>
      <x:c r="H151"/>
      <x:c r="I151"/>
      <x:c r="J151"/>
      <x:c r="K151"/>
      <x:c r="L151"/>
      <x:c r="M151" t="n">
        <x:v>6000</x:v>
      </x:c>
      <x:c r="N151"/>
      <x:c r="O151"/>
      <x:c r="P151"/>
      <x:c r="Q151"/>
      <x:c r="R151"/>
      <x:c r="S151" t="n">
        <x:v>6000</x:v>
      </x:c>
      <x:c r="T151" t="n">
        <x:v>6000</x:v>
      </x:c>
      <x:c r="U151" s="28" t="n">
        <x:f>T151</x:f>
        <x:v>6000</x:v>
      </x:c>
      <x:c r="V151" s="32" t="n">
        <x:f>IF(AND(ISNUMBER(S151),ISNUMBER(U151)),ABS(S151-U151),IF(S151=U151,0,1))</x:f>
        <x:v>0</x:v>
      </x:c>
      <x:c r="W151" s="30" t="str">
        <x:v>PASS</x:v>
      </x:c>
      <x:c r="X151" s="28" t="str">
        <x:f>IF(V151&lt;=1E-9,"PASS","FAIL")</x:f>
        <x:v>PASS</x:v>
      </x:c>
      <x:c r="Y151" t="str">
        <x:v>TCVN 10304:2025 tr.32–33</x:v>
      </x:c>
      <x:c r="Z151" t="str"/>
    </x:row>
    <x:row r="152">
      <x:c r="A152" t="str">
        <x:v>G0149</x:v>
      </x:c>
      <x:c r="B152" t="str">
        <x:v>Bảng 2</x:v>
      </x:c>
      <x:c r="C152" t="str">
        <x:v>clay:IL=0.3</x:v>
      </x:c>
      <x:c r="D152" t="str">
        <x:v>EXACT</x:v>
      </x:c>
      <x:c r="E152" t="str">
        <x:v>{"z":40,"IL":0.3}</x:v>
      </x:c>
      <x:c r="F152" t="str">
        <x:v>EXACT</x:v>
      </x:c>
      <x:c r="G152"/>
      <x:c r="H152"/>
      <x:c r="I152"/>
      <x:c r="J152"/>
      <x:c r="K152"/>
      <x:c r="L152"/>
      <x:c r="M152" t="n">
        <x:v>6400</x:v>
      </x:c>
      <x:c r="N152"/>
      <x:c r="O152"/>
      <x:c r="P152"/>
      <x:c r="Q152"/>
      <x:c r="R152"/>
      <x:c r="S152" t="n">
        <x:v>6400</x:v>
      </x:c>
      <x:c r="T152" t="n">
        <x:v>6400</x:v>
      </x:c>
      <x:c r="U152" s="28" t="n">
        <x:f>T152</x:f>
        <x:v>6400</x:v>
      </x:c>
      <x:c r="V152" s="32" t="n">
        <x:f>IF(AND(ISNUMBER(S152),ISNUMBER(U152)),ABS(S152-U152),IF(S152=U152,0,1))</x:f>
        <x:v>0</x:v>
      </x:c>
      <x:c r="W152" s="30" t="str">
        <x:v>PASS</x:v>
      </x:c>
      <x:c r="X152" s="28" t="str">
        <x:f>IF(V152&lt;=1E-9,"PASS","FAIL")</x:f>
        <x:v>PASS</x:v>
      </x:c>
      <x:c r="Y152" t="str">
        <x:v>TCVN 10304:2025 tr.32–33</x:v>
      </x:c>
      <x:c r="Z152" t="str"/>
    </x:row>
    <x:row r="153">
      <x:c r="A153" t="str">
        <x:v>G0150</x:v>
      </x:c>
      <x:c r="B153" t="str">
        <x:v>Bảng 2</x:v>
      </x:c>
      <x:c r="C153" t="str">
        <x:v>clay:IL=0.4</x:v>
      </x:c>
      <x:c r="D153" t="str">
        <x:v>EXACT</x:v>
      </x:c>
      <x:c r="E153" t="str">
        <x:v>{"z":3,"IL":0.4}</x:v>
      </x:c>
      <x:c r="F153" t="str">
        <x:v>EXACT</x:v>
      </x:c>
      <x:c r="G153"/>
      <x:c r="H153"/>
      <x:c r="I153"/>
      <x:c r="J153"/>
      <x:c r="K153"/>
      <x:c r="L153"/>
      <x:c r="M153" t="n">
        <x:v>1200</x:v>
      </x:c>
      <x:c r="N153"/>
      <x:c r="O153"/>
      <x:c r="P153"/>
      <x:c r="Q153"/>
      <x:c r="R153"/>
      <x:c r="S153" t="n">
        <x:v>1200</x:v>
      </x:c>
      <x:c r="T153" t="n">
        <x:v>1200</x:v>
      </x:c>
      <x:c r="U153" s="28" t="n">
        <x:f>T153</x:f>
        <x:v>1200</x:v>
      </x:c>
      <x:c r="V153" s="32" t="n">
        <x:f>IF(AND(ISNUMBER(S153),ISNUMBER(U153)),ABS(S153-U153),IF(S153=U153,0,1))</x:f>
        <x:v>0</x:v>
      </x:c>
      <x:c r="W153" s="30" t="str">
        <x:v>PASS</x:v>
      </x:c>
      <x:c r="X153" s="28" t="str">
        <x:f>IF(V153&lt;=1E-9,"PASS","FAIL")</x:f>
        <x:v>PASS</x:v>
      </x:c>
      <x:c r="Y153" t="str">
        <x:v>TCVN 10304:2025 tr.32–33</x:v>
      </x:c>
      <x:c r="Z153" t="str"/>
    </x:row>
    <x:row r="154">
      <x:c r="A154" t="str">
        <x:v>G0151</x:v>
      </x:c>
      <x:c r="B154" t="str">
        <x:v>Bảng 2</x:v>
      </x:c>
      <x:c r="C154" t="str">
        <x:v>clay:IL=0.4</x:v>
      </x:c>
      <x:c r="D154" t="str">
        <x:v>EXACT</x:v>
      </x:c>
      <x:c r="E154" t="str">
        <x:v>{"z":4,"IL":0.4}</x:v>
      </x:c>
      <x:c r="F154" t="str">
        <x:v>EXACT</x:v>
      </x:c>
      <x:c r="G154"/>
      <x:c r="H154"/>
      <x:c r="I154"/>
      <x:c r="J154"/>
      <x:c r="K154"/>
      <x:c r="L154"/>
      <x:c r="M154" t="n">
        <x:v>1600</x:v>
      </x:c>
      <x:c r="N154"/>
      <x:c r="O154"/>
      <x:c r="P154"/>
      <x:c r="Q154"/>
      <x:c r="R154"/>
      <x:c r="S154" t="n">
        <x:v>1600</x:v>
      </x:c>
      <x:c r="T154" t="n">
        <x:v>1600</x:v>
      </x:c>
      <x:c r="U154" s="28" t="n">
        <x:f>T154</x:f>
        <x:v>1600</x:v>
      </x:c>
      <x:c r="V154" s="32" t="n">
        <x:f>IF(AND(ISNUMBER(S154),ISNUMBER(U154)),ABS(S154-U154),IF(S154=U154,0,1))</x:f>
        <x:v>0</x:v>
      </x:c>
      <x:c r="W154" s="30" t="str">
        <x:v>PASS</x:v>
      </x:c>
      <x:c r="X154" s="28" t="str">
        <x:f>IF(V154&lt;=1E-9,"PASS","FAIL")</x:f>
        <x:v>PASS</x:v>
      </x:c>
      <x:c r="Y154" t="str">
        <x:v>TCVN 10304:2025 tr.32–33</x:v>
      </x:c>
      <x:c r="Z154" t="str"/>
    </x:row>
    <x:row r="155">
      <x:c r="A155" t="str">
        <x:v>G0152</x:v>
      </x:c>
      <x:c r="B155" t="str">
        <x:v>Bảng 2</x:v>
      </x:c>
      <x:c r="C155" t="str">
        <x:v>clay:IL=0.4</x:v>
      </x:c>
      <x:c r="D155" t="str">
        <x:v>EXACT</x:v>
      </x:c>
      <x:c r="E155" t="str">
        <x:v>{"z":5,"IL":0.4}</x:v>
      </x:c>
      <x:c r="F155" t="str">
        <x:v>EXACT</x:v>
      </x:c>
      <x:c r="G155"/>
      <x:c r="H155"/>
      <x:c r="I155"/>
      <x:c r="J155"/>
      <x:c r="K155"/>
      <x:c r="L155"/>
      <x:c r="M155" t="n">
        <x:v>2000</x:v>
      </x:c>
      <x:c r="N155"/>
      <x:c r="O155"/>
      <x:c r="P155"/>
      <x:c r="Q155"/>
      <x:c r="R155"/>
      <x:c r="S155" t="n">
        <x:v>2000</x:v>
      </x:c>
      <x:c r="T155" t="n">
        <x:v>2000</x:v>
      </x:c>
      <x:c r="U155" s="28" t="n">
        <x:f>T155</x:f>
        <x:v>2000</x:v>
      </x:c>
      <x:c r="V155" s="32" t="n">
        <x:f>IF(AND(ISNUMBER(S155),ISNUMBER(U155)),ABS(S155-U155),IF(S155=U155,0,1))</x:f>
        <x:v>0</x:v>
      </x:c>
      <x:c r="W155" s="30" t="str">
        <x:v>PASS</x:v>
      </x:c>
      <x:c r="X155" s="28" t="str">
        <x:f>IF(V155&lt;=1E-9,"PASS","FAIL")</x:f>
        <x:v>PASS</x:v>
      </x:c>
      <x:c r="Y155" t="str">
        <x:v>TCVN 10304:2025 tr.32–33</x:v>
      </x:c>
      <x:c r="Z155" t="str"/>
    </x:row>
    <x:row r="156">
      <x:c r="A156" t="str">
        <x:v>G0153</x:v>
      </x:c>
      <x:c r="B156" t="str">
        <x:v>Bảng 2</x:v>
      </x:c>
      <x:c r="C156" t="str">
        <x:v>clay:IL=0.4</x:v>
      </x:c>
      <x:c r="D156" t="str">
        <x:v>EXACT</x:v>
      </x:c>
      <x:c r="E156" t="str">
        <x:v>{"z":7,"IL":0.4}</x:v>
      </x:c>
      <x:c r="F156" t="str">
        <x:v>EXACT</x:v>
      </x:c>
      <x:c r="G156"/>
      <x:c r="H156"/>
      <x:c r="I156"/>
      <x:c r="J156"/>
      <x:c r="K156"/>
      <x:c r="L156"/>
      <x:c r="M156" t="n">
        <x:v>2200</x:v>
      </x:c>
      <x:c r="N156"/>
      <x:c r="O156"/>
      <x:c r="P156"/>
      <x:c r="Q156"/>
      <x:c r="R156"/>
      <x:c r="S156" t="n">
        <x:v>2200</x:v>
      </x:c>
      <x:c r="T156" t="n">
        <x:v>2200</x:v>
      </x:c>
      <x:c r="U156" s="28" t="n">
        <x:f>T156</x:f>
        <x:v>2200</x:v>
      </x:c>
      <x:c r="V156" s="32" t="n">
        <x:f>IF(AND(ISNUMBER(S156),ISNUMBER(U156)),ABS(S156-U156),IF(S156=U156,0,1))</x:f>
        <x:v>0</x:v>
      </x:c>
      <x:c r="W156" s="30" t="str">
        <x:v>PASS</x:v>
      </x:c>
      <x:c r="X156" s="28" t="str">
        <x:f>IF(V156&lt;=1E-9,"PASS","FAIL")</x:f>
        <x:v>PASS</x:v>
      </x:c>
      <x:c r="Y156" t="str">
        <x:v>TCVN 10304:2025 tr.32–33</x:v>
      </x:c>
      <x:c r="Z156" t="str"/>
    </x:row>
    <x:row r="157">
      <x:c r="A157" t="str">
        <x:v>G0154</x:v>
      </x:c>
      <x:c r="B157" t="str">
        <x:v>Bảng 2</x:v>
      </x:c>
      <x:c r="C157" t="str">
        <x:v>clay:IL=0.4</x:v>
      </x:c>
      <x:c r="D157" t="str">
        <x:v>EXACT</x:v>
      </x:c>
      <x:c r="E157" t="str">
        <x:v>{"z":10,"IL":0.4}</x:v>
      </x:c>
      <x:c r="F157" t="str">
        <x:v>EXACT</x:v>
      </x:c>
      <x:c r="G157"/>
      <x:c r="H157"/>
      <x:c r="I157"/>
      <x:c r="J157"/>
      <x:c r="K157"/>
      <x:c r="L157"/>
      <x:c r="M157" t="n">
        <x:v>2400</x:v>
      </x:c>
      <x:c r="N157"/>
      <x:c r="O157"/>
      <x:c r="P157"/>
      <x:c r="Q157"/>
      <x:c r="R157"/>
      <x:c r="S157" t="n">
        <x:v>2400</x:v>
      </x:c>
      <x:c r="T157" t="n">
        <x:v>2400</x:v>
      </x:c>
      <x:c r="U157" s="28" t="n">
        <x:f>T157</x:f>
        <x:v>2400</x:v>
      </x:c>
      <x:c r="V157" s="32" t="n">
        <x:f>IF(AND(ISNUMBER(S157),ISNUMBER(U157)),ABS(S157-U157),IF(S157=U157,0,1))</x:f>
        <x:v>0</x:v>
      </x:c>
      <x:c r="W157" s="30" t="str">
        <x:v>PASS</x:v>
      </x:c>
      <x:c r="X157" s="28" t="str">
        <x:f>IF(V157&lt;=1E-9,"PASS","FAIL")</x:f>
        <x:v>PASS</x:v>
      </x:c>
      <x:c r="Y157" t="str">
        <x:v>TCVN 10304:2025 tr.32–33</x:v>
      </x:c>
      <x:c r="Z157" t="str"/>
    </x:row>
    <x:row r="158">
      <x:c r="A158" t="str">
        <x:v>G0155</x:v>
      </x:c>
      <x:c r="B158" t="str">
        <x:v>Bảng 2</x:v>
      </x:c>
      <x:c r="C158" t="str">
        <x:v>clay:IL=0.4</x:v>
      </x:c>
      <x:c r="D158" t="str">
        <x:v>EXACT</x:v>
      </x:c>
      <x:c r="E158" t="str">
        <x:v>{"z":15,"IL":0.4}</x:v>
      </x:c>
      <x:c r="F158" t="str">
        <x:v>EXACT</x:v>
      </x:c>
      <x:c r="G158"/>
      <x:c r="H158"/>
      <x:c r="I158"/>
      <x:c r="J158"/>
      <x:c r="K158"/>
      <x:c r="L158"/>
      <x:c r="M158" t="n">
        <x:v>2900</x:v>
      </x:c>
      <x:c r="N158"/>
      <x:c r="O158"/>
      <x:c r="P158"/>
      <x:c r="Q158"/>
      <x:c r="R158"/>
      <x:c r="S158" t="n">
        <x:v>2900</x:v>
      </x:c>
      <x:c r="T158" t="n">
        <x:v>2900</x:v>
      </x:c>
      <x:c r="U158" s="28" t="n">
        <x:f>T158</x:f>
        <x:v>2900</x:v>
      </x:c>
      <x:c r="V158" s="32" t="n">
        <x:f>IF(AND(ISNUMBER(S158),ISNUMBER(U158)),ABS(S158-U158),IF(S158=U158,0,1))</x:f>
        <x:v>0</x:v>
      </x:c>
      <x:c r="W158" s="30" t="str">
        <x:v>PASS</x:v>
      </x:c>
      <x:c r="X158" s="28" t="str">
        <x:f>IF(V158&lt;=1E-9,"PASS","FAIL")</x:f>
        <x:v>PASS</x:v>
      </x:c>
      <x:c r="Y158" t="str">
        <x:v>TCVN 10304:2025 tr.32–33</x:v>
      </x:c>
      <x:c r="Z158" t="str"/>
    </x:row>
    <x:row r="159">
      <x:c r="A159" t="str">
        <x:v>G0156</x:v>
      </x:c>
      <x:c r="B159" t="str">
        <x:v>Bảng 2</x:v>
      </x:c>
      <x:c r="C159" t="str">
        <x:v>clay:IL=0.4</x:v>
      </x:c>
      <x:c r="D159" t="str">
        <x:v>EXACT</x:v>
      </x:c>
      <x:c r="E159" t="str">
        <x:v>{"z":20,"IL":0.4}</x:v>
      </x:c>
      <x:c r="F159" t="str">
        <x:v>EXACT</x:v>
      </x:c>
      <x:c r="G159"/>
      <x:c r="H159"/>
      <x:c r="I159"/>
      <x:c r="J159"/>
      <x:c r="K159"/>
      <x:c r="L159"/>
      <x:c r="M159" t="n">
        <x:v>3200</x:v>
      </x:c>
      <x:c r="N159"/>
      <x:c r="O159"/>
      <x:c r="P159"/>
      <x:c r="Q159"/>
      <x:c r="R159"/>
      <x:c r="S159" t="n">
        <x:v>3200</x:v>
      </x:c>
      <x:c r="T159" t="n">
        <x:v>3200</x:v>
      </x:c>
      <x:c r="U159" s="28" t="n">
        <x:f>T159</x:f>
        <x:v>3200</x:v>
      </x:c>
      <x:c r="V159" s="32" t="n">
        <x:f>IF(AND(ISNUMBER(S159),ISNUMBER(U159)),ABS(S159-U159),IF(S159=U159,0,1))</x:f>
        <x:v>0</x:v>
      </x:c>
      <x:c r="W159" s="30" t="str">
        <x:v>PASS</x:v>
      </x:c>
      <x:c r="X159" s="28" t="str">
        <x:f>IF(V159&lt;=1E-9,"PASS","FAIL")</x:f>
        <x:v>PASS</x:v>
      </x:c>
      <x:c r="Y159" t="str">
        <x:v>TCVN 10304:2025 tr.32–33</x:v>
      </x:c>
      <x:c r="Z159" t="str"/>
    </x:row>
    <x:row r="160">
      <x:c r="A160" t="str">
        <x:v>G0157</x:v>
      </x:c>
      <x:c r="B160" t="str">
        <x:v>Bảng 2</x:v>
      </x:c>
      <x:c r="C160" t="str">
        <x:v>clay:IL=0.4</x:v>
      </x:c>
      <x:c r="D160" t="str">
        <x:v>EXACT</x:v>
      </x:c>
      <x:c r="E160" t="str">
        <x:v>{"z":25,"IL":0.4}</x:v>
      </x:c>
      <x:c r="F160" t="str">
        <x:v>EXACT</x:v>
      </x:c>
      <x:c r="G160"/>
      <x:c r="H160"/>
      <x:c r="I160"/>
      <x:c r="J160"/>
      <x:c r="K160"/>
      <x:c r="L160"/>
      <x:c r="M160" t="n">
        <x:v>3500</x:v>
      </x:c>
      <x:c r="N160"/>
      <x:c r="O160"/>
      <x:c r="P160"/>
      <x:c r="Q160"/>
      <x:c r="R160"/>
      <x:c r="S160" t="n">
        <x:v>3500</x:v>
      </x:c>
      <x:c r="T160" t="n">
        <x:v>3500</x:v>
      </x:c>
      <x:c r="U160" s="28" t="n">
        <x:f>T160</x:f>
        <x:v>3500</x:v>
      </x:c>
      <x:c r="V160" s="32" t="n">
        <x:f>IF(AND(ISNUMBER(S160),ISNUMBER(U160)),ABS(S160-U160),IF(S160=U160,0,1))</x:f>
        <x:v>0</x:v>
      </x:c>
      <x:c r="W160" s="30" t="str">
        <x:v>PASS</x:v>
      </x:c>
      <x:c r="X160" s="28" t="str">
        <x:f>IF(V160&lt;=1E-9,"PASS","FAIL")</x:f>
        <x:v>PASS</x:v>
      </x:c>
      <x:c r="Y160" t="str">
        <x:v>TCVN 10304:2025 tr.32–33</x:v>
      </x:c>
      <x:c r="Z160" t="str"/>
    </x:row>
    <x:row r="161">
      <x:c r="A161" t="str">
        <x:v>G0158</x:v>
      </x:c>
      <x:c r="B161" t="str">
        <x:v>Bảng 2</x:v>
      </x:c>
      <x:c r="C161" t="str">
        <x:v>clay:IL=0.4</x:v>
      </x:c>
      <x:c r="D161" t="str">
        <x:v>EXACT</x:v>
      </x:c>
      <x:c r="E161" t="str">
        <x:v>{"z":30,"IL":0.4}</x:v>
      </x:c>
      <x:c r="F161" t="str">
        <x:v>EXACT</x:v>
      </x:c>
      <x:c r="G161"/>
      <x:c r="H161"/>
      <x:c r="I161"/>
      <x:c r="J161"/>
      <x:c r="K161"/>
      <x:c r="L161"/>
      <x:c r="M161" t="n">
        <x:v>3800</x:v>
      </x:c>
      <x:c r="N161"/>
      <x:c r="O161"/>
      <x:c r="P161"/>
      <x:c r="Q161"/>
      <x:c r="R161"/>
      <x:c r="S161" t="n">
        <x:v>3800</x:v>
      </x:c>
      <x:c r="T161" t="n">
        <x:v>3800</x:v>
      </x:c>
      <x:c r="U161" s="28" t="n">
        <x:f>T161</x:f>
        <x:v>3800</x:v>
      </x:c>
      <x:c r="V161" s="32" t="n">
        <x:f>IF(AND(ISNUMBER(S161),ISNUMBER(U161)),ABS(S161-U161),IF(S161=U161,0,1))</x:f>
        <x:v>0</x:v>
      </x:c>
      <x:c r="W161" s="30" t="str">
        <x:v>PASS</x:v>
      </x:c>
      <x:c r="X161" s="28" t="str">
        <x:f>IF(V161&lt;=1E-9,"PASS","FAIL")</x:f>
        <x:v>PASS</x:v>
      </x:c>
      <x:c r="Y161" t="str">
        <x:v>TCVN 10304:2025 tr.32–33</x:v>
      </x:c>
      <x:c r="Z161" t="str"/>
    </x:row>
    <x:row r="162">
      <x:c r="A162" t="str">
        <x:v>G0159</x:v>
      </x:c>
      <x:c r="B162" t="str">
        <x:v>Bảng 2</x:v>
      </x:c>
      <x:c r="C162" t="str">
        <x:v>clay:IL=0.4</x:v>
      </x:c>
      <x:c r="D162" t="str">
        <x:v>EXACT</x:v>
      </x:c>
      <x:c r="E162" t="str">
        <x:v>{"z":35,"IL":0.4}</x:v>
      </x:c>
      <x:c r="F162" t="str">
        <x:v>EXACT</x:v>
      </x:c>
      <x:c r="G162"/>
      <x:c r="H162"/>
      <x:c r="I162"/>
      <x:c r="J162"/>
      <x:c r="K162"/>
      <x:c r="L162"/>
      <x:c r="M162" t="n">
        <x:v>4100</x:v>
      </x:c>
      <x:c r="N162"/>
      <x:c r="O162"/>
      <x:c r="P162"/>
      <x:c r="Q162"/>
      <x:c r="R162"/>
      <x:c r="S162" t="n">
        <x:v>4100</x:v>
      </x:c>
      <x:c r="T162" t="n">
        <x:v>4100</x:v>
      </x:c>
      <x:c r="U162" s="28" t="n">
        <x:f>T162</x:f>
        <x:v>4100</x:v>
      </x:c>
      <x:c r="V162" s="32" t="n">
        <x:f>IF(AND(ISNUMBER(S162),ISNUMBER(U162)),ABS(S162-U162),IF(S162=U162,0,1))</x:f>
        <x:v>0</x:v>
      </x:c>
      <x:c r="W162" s="30" t="str">
        <x:v>PASS</x:v>
      </x:c>
      <x:c r="X162" s="28" t="str">
        <x:f>IF(V162&lt;=1E-9,"PASS","FAIL")</x:f>
        <x:v>PASS</x:v>
      </x:c>
      <x:c r="Y162" t="str">
        <x:v>TCVN 10304:2025 tr.32–33</x:v>
      </x:c>
      <x:c r="Z162" t="str"/>
    </x:row>
    <x:row r="163">
      <x:c r="A163" t="str">
        <x:v>G0160</x:v>
      </x:c>
      <x:c r="B163" t="str">
        <x:v>Bảng 2</x:v>
      </x:c>
      <x:c r="C163" t="str">
        <x:v>clay:IL=0.4</x:v>
      </x:c>
      <x:c r="D163" t="str">
        <x:v>EXACT</x:v>
      </x:c>
      <x:c r="E163" t="str">
        <x:v>{"z":40,"IL":0.4}</x:v>
      </x:c>
      <x:c r="F163" t="str">
        <x:v>EXACT</x:v>
      </x:c>
      <x:c r="G163"/>
      <x:c r="H163"/>
      <x:c r="I163"/>
      <x:c r="J163"/>
      <x:c r="K163"/>
      <x:c r="L163"/>
      <x:c r="M163" t="n">
        <x:v>4400</x:v>
      </x:c>
      <x:c r="N163"/>
      <x:c r="O163"/>
      <x:c r="P163"/>
      <x:c r="Q163"/>
      <x:c r="R163"/>
      <x:c r="S163" t="n">
        <x:v>4400</x:v>
      </x:c>
      <x:c r="T163" t="n">
        <x:v>4400</x:v>
      </x:c>
      <x:c r="U163" s="28" t="n">
        <x:f>T163</x:f>
        <x:v>4400</x:v>
      </x:c>
      <x:c r="V163" s="32" t="n">
        <x:f>IF(AND(ISNUMBER(S163),ISNUMBER(U163)),ABS(S163-U163),IF(S163=U163,0,1))</x:f>
        <x:v>0</x:v>
      </x:c>
      <x:c r="W163" s="30" t="str">
        <x:v>PASS</x:v>
      </x:c>
      <x:c r="X163" s="28" t="str">
        <x:f>IF(V163&lt;=1E-9,"PASS","FAIL")</x:f>
        <x:v>PASS</x:v>
      </x:c>
      <x:c r="Y163" t="str">
        <x:v>TCVN 10304:2025 tr.32–33</x:v>
      </x:c>
      <x:c r="Z163" t="str"/>
    </x:row>
    <x:row r="164">
      <x:c r="A164" t="str">
        <x:v>G0161</x:v>
      </x:c>
      <x:c r="B164" t="str">
        <x:v>Bảng 2</x:v>
      </x:c>
      <x:c r="C164" t="str">
        <x:v>clay:IL=0.5</x:v>
      </x:c>
      <x:c r="D164" t="str">
        <x:v>EXACT</x:v>
      </x:c>
      <x:c r="E164" t="str">
        <x:v>{"z":3,"IL":0.5}</x:v>
      </x:c>
      <x:c r="F164" t="str">
        <x:v>EXACT</x:v>
      </x:c>
      <x:c r="G164"/>
      <x:c r="H164"/>
      <x:c r="I164"/>
      <x:c r="J164"/>
      <x:c r="K164"/>
      <x:c r="L164"/>
      <x:c r="M164" t="n">
        <x:v>1100</x:v>
      </x:c>
      <x:c r="N164"/>
      <x:c r="O164"/>
      <x:c r="P164"/>
      <x:c r="Q164"/>
      <x:c r="R164"/>
      <x:c r="S164" t="n">
        <x:v>1100</x:v>
      </x:c>
      <x:c r="T164" t="n">
        <x:v>1100</x:v>
      </x:c>
      <x:c r="U164" s="28" t="n">
        <x:f>T164</x:f>
        <x:v>1100</x:v>
      </x:c>
      <x:c r="V164" s="32" t="n">
        <x:f>IF(AND(ISNUMBER(S164),ISNUMBER(U164)),ABS(S164-U164),IF(S164=U164,0,1))</x:f>
        <x:v>0</x:v>
      </x:c>
      <x:c r="W164" s="30" t="str">
        <x:v>PASS</x:v>
      </x:c>
      <x:c r="X164" s="28" t="str">
        <x:f>IF(V164&lt;=1E-9,"PASS","FAIL")</x:f>
        <x:v>PASS</x:v>
      </x:c>
      <x:c r="Y164" t="str">
        <x:v>TCVN 10304:2025 tr.32–33</x:v>
      </x:c>
      <x:c r="Z164" t="str"/>
    </x:row>
    <x:row r="165">
      <x:c r="A165" t="str">
        <x:v>G0162</x:v>
      </x:c>
      <x:c r="B165" t="str">
        <x:v>Bảng 2</x:v>
      </x:c>
      <x:c r="C165" t="str">
        <x:v>clay:IL=0.5</x:v>
      </x:c>
      <x:c r="D165" t="str">
        <x:v>EXACT</x:v>
      </x:c>
      <x:c r="E165" t="str">
        <x:v>{"z":4,"IL":0.5}</x:v>
      </x:c>
      <x:c r="F165" t="str">
        <x:v>EXACT</x:v>
      </x:c>
      <x:c r="G165"/>
      <x:c r="H165"/>
      <x:c r="I165"/>
      <x:c r="J165"/>
      <x:c r="K165"/>
      <x:c r="L165"/>
      <x:c r="M165" t="n">
        <x:v>1250</x:v>
      </x:c>
      <x:c r="N165"/>
      <x:c r="O165"/>
      <x:c r="P165"/>
      <x:c r="Q165"/>
      <x:c r="R165"/>
      <x:c r="S165" t="n">
        <x:v>1250</x:v>
      </x:c>
      <x:c r="T165" t="n">
        <x:v>1250</x:v>
      </x:c>
      <x:c r="U165" s="28" t="n">
        <x:f>T165</x:f>
        <x:v>1250</x:v>
      </x:c>
      <x:c r="V165" s="32" t="n">
        <x:f>IF(AND(ISNUMBER(S165),ISNUMBER(U165)),ABS(S165-U165),IF(S165=U165,0,1))</x:f>
        <x:v>0</x:v>
      </x:c>
      <x:c r="W165" s="30" t="str">
        <x:v>PASS</x:v>
      </x:c>
      <x:c r="X165" s="28" t="str">
        <x:f>IF(V165&lt;=1E-9,"PASS","FAIL")</x:f>
        <x:v>PASS</x:v>
      </x:c>
      <x:c r="Y165" t="str">
        <x:v>TCVN 10304:2025 tr.32–33</x:v>
      </x:c>
      <x:c r="Z165" t="str"/>
    </x:row>
    <x:row r="166">
      <x:c r="A166" t="str">
        <x:v>G0163</x:v>
      </x:c>
      <x:c r="B166" t="str">
        <x:v>Bảng 2</x:v>
      </x:c>
      <x:c r="C166" t="str">
        <x:v>clay:IL=0.5</x:v>
      </x:c>
      <x:c r="D166" t="str">
        <x:v>EXACT</x:v>
      </x:c>
      <x:c r="E166" t="str">
        <x:v>{"z":5,"IL":0.5}</x:v>
      </x:c>
      <x:c r="F166" t="str">
        <x:v>EXACT</x:v>
      </x:c>
      <x:c r="G166"/>
      <x:c r="H166"/>
      <x:c r="I166"/>
      <x:c r="J166"/>
      <x:c r="K166"/>
      <x:c r="L166"/>
      <x:c r="M166" t="n">
        <x:v>1300</x:v>
      </x:c>
      <x:c r="N166"/>
      <x:c r="O166"/>
      <x:c r="P166"/>
      <x:c r="Q166"/>
      <x:c r="R166"/>
      <x:c r="S166" t="n">
        <x:v>1300</x:v>
      </x:c>
      <x:c r="T166" t="n">
        <x:v>1300</x:v>
      </x:c>
      <x:c r="U166" s="28" t="n">
        <x:f>T166</x:f>
        <x:v>1300</x:v>
      </x:c>
      <x:c r="V166" s="32" t="n">
        <x:f>IF(AND(ISNUMBER(S166),ISNUMBER(U166)),ABS(S166-U166),IF(S166=U166,0,1))</x:f>
        <x:v>0</x:v>
      </x:c>
      <x:c r="W166" s="30" t="str">
        <x:v>PASS</x:v>
      </x:c>
      <x:c r="X166" s="28" t="str">
        <x:f>IF(V166&lt;=1E-9,"PASS","FAIL")</x:f>
        <x:v>PASS</x:v>
      </x:c>
      <x:c r="Y166" t="str">
        <x:v>TCVN 10304:2025 tr.32–33</x:v>
      </x:c>
      <x:c r="Z166" t="str"/>
    </x:row>
    <x:row r="167">
      <x:c r="A167" t="str">
        <x:v>G0164</x:v>
      </x:c>
      <x:c r="B167" t="str">
        <x:v>Bảng 2</x:v>
      </x:c>
      <x:c r="C167" t="str">
        <x:v>clay:IL=0.5</x:v>
      </x:c>
      <x:c r="D167" t="str">
        <x:v>EXACT</x:v>
      </x:c>
      <x:c r="E167" t="str">
        <x:v>{"z":7,"IL":0.5}</x:v>
      </x:c>
      <x:c r="F167" t="str">
        <x:v>EXACT</x:v>
      </x:c>
      <x:c r="G167"/>
      <x:c r="H167"/>
      <x:c r="I167"/>
      <x:c r="J167"/>
      <x:c r="K167"/>
      <x:c r="L167"/>
      <x:c r="M167" t="n">
        <x:v>1400</x:v>
      </x:c>
      <x:c r="N167"/>
      <x:c r="O167"/>
      <x:c r="P167"/>
      <x:c r="Q167"/>
      <x:c r="R167"/>
      <x:c r="S167" t="n">
        <x:v>1400</x:v>
      </x:c>
      <x:c r="T167" t="n">
        <x:v>1400</x:v>
      </x:c>
      <x:c r="U167" s="28" t="n">
        <x:f>T167</x:f>
        <x:v>1400</x:v>
      </x:c>
      <x:c r="V167" s="32" t="n">
        <x:f>IF(AND(ISNUMBER(S167),ISNUMBER(U167)),ABS(S167-U167),IF(S167=U167,0,1))</x:f>
        <x:v>0</x:v>
      </x:c>
      <x:c r="W167" s="30" t="str">
        <x:v>PASS</x:v>
      </x:c>
      <x:c r="X167" s="28" t="str">
        <x:f>IF(V167&lt;=1E-9,"PASS","FAIL")</x:f>
        <x:v>PASS</x:v>
      </x:c>
      <x:c r="Y167" t="str">
        <x:v>TCVN 10304:2025 tr.32–33</x:v>
      </x:c>
      <x:c r="Z167" t="str"/>
    </x:row>
    <x:row r="168">
      <x:c r="A168" t="str">
        <x:v>G0165</x:v>
      </x:c>
      <x:c r="B168" t="str">
        <x:v>Bảng 2</x:v>
      </x:c>
      <x:c r="C168" t="str">
        <x:v>clay:IL=0.5</x:v>
      </x:c>
      <x:c r="D168" t="str">
        <x:v>EXACT</x:v>
      </x:c>
      <x:c r="E168" t="str">
        <x:v>{"z":10,"IL":0.5}</x:v>
      </x:c>
      <x:c r="F168" t="str">
        <x:v>EXACT</x:v>
      </x:c>
      <x:c r="G168"/>
      <x:c r="H168"/>
      <x:c r="I168"/>
      <x:c r="J168"/>
      <x:c r="K168"/>
      <x:c r="L168"/>
      <x:c r="M168" t="n">
        <x:v>1500</x:v>
      </x:c>
      <x:c r="N168"/>
      <x:c r="O168"/>
      <x:c r="P168"/>
      <x:c r="Q168"/>
      <x:c r="R168"/>
      <x:c r="S168" t="n">
        <x:v>1500</x:v>
      </x:c>
      <x:c r="T168" t="n">
        <x:v>1500</x:v>
      </x:c>
      <x:c r="U168" s="28" t="n">
        <x:f>T168</x:f>
        <x:v>1500</x:v>
      </x:c>
      <x:c r="V168" s="32" t="n">
        <x:f>IF(AND(ISNUMBER(S168),ISNUMBER(U168)),ABS(S168-U168),IF(S168=U168,0,1))</x:f>
        <x:v>0</x:v>
      </x:c>
      <x:c r="W168" s="30" t="str">
        <x:v>PASS</x:v>
      </x:c>
      <x:c r="X168" s="28" t="str">
        <x:f>IF(V168&lt;=1E-9,"PASS","FAIL")</x:f>
        <x:v>PASS</x:v>
      </x:c>
      <x:c r="Y168" t="str">
        <x:v>TCVN 10304:2025 tr.32–33</x:v>
      </x:c>
      <x:c r="Z168" t="str"/>
    </x:row>
    <x:row r="169">
      <x:c r="A169" t="str">
        <x:v>G0166</x:v>
      </x:c>
      <x:c r="B169" t="str">
        <x:v>Bảng 2</x:v>
      </x:c>
      <x:c r="C169" t="str">
        <x:v>clay:IL=0.5</x:v>
      </x:c>
      <x:c r="D169" t="str">
        <x:v>EXACT</x:v>
      </x:c>
      <x:c r="E169" t="str">
        <x:v>{"z":15,"IL":0.5}</x:v>
      </x:c>
      <x:c r="F169" t="str">
        <x:v>EXACT</x:v>
      </x:c>
      <x:c r="G169"/>
      <x:c r="H169"/>
      <x:c r="I169"/>
      <x:c r="J169"/>
      <x:c r="K169"/>
      <x:c r="L169"/>
      <x:c r="M169" t="n">
        <x:v>1650</x:v>
      </x:c>
      <x:c r="N169"/>
      <x:c r="O169"/>
      <x:c r="P169"/>
      <x:c r="Q169"/>
      <x:c r="R169"/>
      <x:c r="S169" t="n">
        <x:v>1650</x:v>
      </x:c>
      <x:c r="T169" t="n">
        <x:v>1650</x:v>
      </x:c>
      <x:c r="U169" s="28" t="n">
        <x:f>T169</x:f>
        <x:v>1650</x:v>
      </x:c>
      <x:c r="V169" s="32" t="n">
        <x:f>IF(AND(ISNUMBER(S169),ISNUMBER(U169)),ABS(S169-U169),IF(S169=U169,0,1))</x:f>
        <x:v>0</x:v>
      </x:c>
      <x:c r="W169" s="30" t="str">
        <x:v>PASS</x:v>
      </x:c>
      <x:c r="X169" s="28" t="str">
        <x:f>IF(V169&lt;=1E-9,"PASS","FAIL")</x:f>
        <x:v>PASS</x:v>
      </x:c>
      <x:c r="Y169" t="str">
        <x:v>TCVN 10304:2025 tr.32–33</x:v>
      </x:c>
      <x:c r="Z169" t="str"/>
    </x:row>
    <x:row r="170">
      <x:c r="A170" t="str">
        <x:v>G0167</x:v>
      </x:c>
      <x:c r="B170" t="str">
        <x:v>Bảng 2</x:v>
      </x:c>
      <x:c r="C170" t="str">
        <x:v>clay:IL=0.5</x:v>
      </x:c>
      <x:c r="D170" t="str">
        <x:v>EXACT</x:v>
      </x:c>
      <x:c r="E170" t="str">
        <x:v>{"z":20,"IL":0.5}</x:v>
      </x:c>
      <x:c r="F170" t="str">
        <x:v>EXACT</x:v>
      </x:c>
      <x:c r="G170"/>
      <x:c r="H170"/>
      <x:c r="I170"/>
      <x:c r="J170"/>
      <x:c r="K170"/>
      <x:c r="L170"/>
      <x:c r="M170" t="n">
        <x:v>1800</x:v>
      </x:c>
      <x:c r="N170"/>
      <x:c r="O170"/>
      <x:c r="P170"/>
      <x:c r="Q170"/>
      <x:c r="R170"/>
      <x:c r="S170" t="n">
        <x:v>1800</x:v>
      </x:c>
      <x:c r="T170" t="n">
        <x:v>1800</x:v>
      </x:c>
      <x:c r="U170" s="28" t="n">
        <x:f>T170</x:f>
        <x:v>1800</x:v>
      </x:c>
      <x:c r="V170" s="32" t="n">
        <x:f>IF(AND(ISNUMBER(S170),ISNUMBER(U170)),ABS(S170-U170),IF(S170=U170,0,1))</x:f>
        <x:v>0</x:v>
      </x:c>
      <x:c r="W170" s="30" t="str">
        <x:v>PASS</x:v>
      </x:c>
      <x:c r="X170" s="28" t="str">
        <x:f>IF(V170&lt;=1E-9,"PASS","FAIL")</x:f>
        <x:v>PASS</x:v>
      </x:c>
      <x:c r="Y170" t="str">
        <x:v>TCVN 10304:2025 tr.32–33</x:v>
      </x:c>
      <x:c r="Z170" t="str"/>
    </x:row>
    <x:row r="171">
      <x:c r="A171" t="str">
        <x:v>G0168</x:v>
      </x:c>
      <x:c r="B171" t="str">
        <x:v>Bảng 2</x:v>
      </x:c>
      <x:c r="C171" t="str">
        <x:v>clay:IL=0.5</x:v>
      </x:c>
      <x:c r="D171" t="str">
        <x:v>EXACT</x:v>
      </x:c>
      <x:c r="E171" t="str">
        <x:v>{"z":25,"IL":0.5}</x:v>
      </x:c>
      <x:c r="F171" t="str">
        <x:v>EXACT</x:v>
      </x:c>
      <x:c r="G171"/>
      <x:c r="H171"/>
      <x:c r="I171"/>
      <x:c r="J171"/>
      <x:c r="K171"/>
      <x:c r="L171"/>
      <x:c r="M171" t="n">
        <x:v>1950</x:v>
      </x:c>
      <x:c r="N171"/>
      <x:c r="O171"/>
      <x:c r="P171"/>
      <x:c r="Q171"/>
      <x:c r="R171"/>
      <x:c r="S171" t="n">
        <x:v>1950</x:v>
      </x:c>
      <x:c r="T171" t="n">
        <x:v>1950</x:v>
      </x:c>
      <x:c r="U171" s="28" t="n">
        <x:f>T171</x:f>
        <x:v>1950</x:v>
      </x:c>
      <x:c r="V171" s="32" t="n">
        <x:f>IF(AND(ISNUMBER(S171),ISNUMBER(U171)),ABS(S171-U171),IF(S171=U171,0,1))</x:f>
        <x:v>0</x:v>
      </x:c>
      <x:c r="W171" s="30" t="str">
        <x:v>PASS</x:v>
      </x:c>
      <x:c r="X171" s="28" t="str">
        <x:f>IF(V171&lt;=1E-9,"PASS","FAIL")</x:f>
        <x:v>PASS</x:v>
      </x:c>
      <x:c r="Y171" t="str">
        <x:v>TCVN 10304:2025 tr.32–33</x:v>
      </x:c>
      <x:c r="Z171" t="str"/>
    </x:row>
    <x:row r="172">
      <x:c r="A172" t="str">
        <x:v>G0169</x:v>
      </x:c>
      <x:c r="B172" t="str">
        <x:v>Bảng 2</x:v>
      </x:c>
      <x:c r="C172" t="str">
        <x:v>clay:IL=0.5</x:v>
      </x:c>
      <x:c r="D172" t="str">
        <x:v>EXACT</x:v>
      </x:c>
      <x:c r="E172" t="str">
        <x:v>{"z":30,"IL":0.5}</x:v>
      </x:c>
      <x:c r="F172" t="str">
        <x:v>EXACT</x:v>
      </x:c>
      <x:c r="G172"/>
      <x:c r="H172"/>
      <x:c r="I172"/>
      <x:c r="J172"/>
      <x:c r="K172"/>
      <x:c r="L172"/>
      <x:c r="M172" t="n">
        <x:v>2100</x:v>
      </x:c>
      <x:c r="N172"/>
      <x:c r="O172"/>
      <x:c r="P172"/>
      <x:c r="Q172"/>
      <x:c r="R172"/>
      <x:c r="S172" t="n">
        <x:v>2100</x:v>
      </x:c>
      <x:c r="T172" t="n">
        <x:v>2100</x:v>
      </x:c>
      <x:c r="U172" s="28" t="n">
        <x:f>T172</x:f>
        <x:v>2100</x:v>
      </x:c>
      <x:c r="V172" s="32" t="n">
        <x:f>IF(AND(ISNUMBER(S172),ISNUMBER(U172)),ABS(S172-U172),IF(S172=U172,0,1))</x:f>
        <x:v>0</x:v>
      </x:c>
      <x:c r="W172" s="30" t="str">
        <x:v>PASS</x:v>
      </x:c>
      <x:c r="X172" s="28" t="str">
        <x:f>IF(V172&lt;=1E-9,"PASS","FAIL")</x:f>
        <x:v>PASS</x:v>
      </x:c>
      <x:c r="Y172" t="str">
        <x:v>TCVN 10304:2025 tr.32–33</x:v>
      </x:c>
      <x:c r="Z172" t="str"/>
    </x:row>
    <x:row r="173">
      <x:c r="A173" t="str">
        <x:v>G0170</x:v>
      </x:c>
      <x:c r="B173" t="str">
        <x:v>Bảng 2</x:v>
      </x:c>
      <x:c r="C173" t="str">
        <x:v>clay:IL=0.5</x:v>
      </x:c>
      <x:c r="D173" t="str">
        <x:v>EXACT</x:v>
      </x:c>
      <x:c r="E173" t="str">
        <x:v>{"z":35,"IL":0.5}</x:v>
      </x:c>
      <x:c r="F173" t="str">
        <x:v>EXACT</x:v>
      </x:c>
      <x:c r="G173"/>
      <x:c r="H173"/>
      <x:c r="I173"/>
      <x:c r="J173"/>
      <x:c r="K173"/>
      <x:c r="L173"/>
      <x:c r="M173" t="n">
        <x:v>2250</x:v>
      </x:c>
      <x:c r="N173"/>
      <x:c r="O173"/>
      <x:c r="P173"/>
      <x:c r="Q173"/>
      <x:c r="R173"/>
      <x:c r="S173" t="n">
        <x:v>2250</x:v>
      </x:c>
      <x:c r="T173" t="n">
        <x:v>2250</x:v>
      </x:c>
      <x:c r="U173" s="28" t="n">
        <x:f>T173</x:f>
        <x:v>2250</x:v>
      </x:c>
      <x:c r="V173" s="32" t="n">
        <x:f>IF(AND(ISNUMBER(S173),ISNUMBER(U173)),ABS(S173-U173),IF(S173=U173,0,1))</x:f>
        <x:v>0</x:v>
      </x:c>
      <x:c r="W173" s="30" t="str">
        <x:v>PASS</x:v>
      </x:c>
      <x:c r="X173" s="28" t="str">
        <x:f>IF(V173&lt;=1E-9,"PASS","FAIL")</x:f>
        <x:v>PASS</x:v>
      </x:c>
      <x:c r="Y173" t="str">
        <x:v>TCVN 10304:2025 tr.32–33</x:v>
      </x:c>
      <x:c r="Z173" t="str"/>
    </x:row>
    <x:row r="174">
      <x:c r="A174" t="str">
        <x:v>G0171</x:v>
      </x:c>
      <x:c r="B174" t="str">
        <x:v>Bảng 2</x:v>
      </x:c>
      <x:c r="C174" t="str">
        <x:v>clay:IL=0.5</x:v>
      </x:c>
      <x:c r="D174" t="str">
        <x:v>EXACT</x:v>
      </x:c>
      <x:c r="E174" t="str">
        <x:v>{"z":40,"IL":0.5}</x:v>
      </x:c>
      <x:c r="F174" t="str">
        <x:v>EXACT</x:v>
      </x:c>
      <x:c r="G174"/>
      <x:c r="H174"/>
      <x:c r="I174"/>
      <x:c r="J174"/>
      <x:c r="K174"/>
      <x:c r="L174"/>
      <x:c r="M174" t="n">
        <x:v>2400</x:v>
      </x:c>
      <x:c r="N174"/>
      <x:c r="O174"/>
      <x:c r="P174"/>
      <x:c r="Q174"/>
      <x:c r="R174"/>
      <x:c r="S174" t="n">
        <x:v>2400</x:v>
      </x:c>
      <x:c r="T174" t="n">
        <x:v>2400</x:v>
      </x:c>
      <x:c r="U174" s="28" t="n">
        <x:f>T174</x:f>
        <x:v>2400</x:v>
      </x:c>
      <x:c r="V174" s="32" t="n">
        <x:f>IF(AND(ISNUMBER(S174),ISNUMBER(U174)),ABS(S174-U174),IF(S174=U174,0,1))</x:f>
        <x:v>0</x:v>
      </x:c>
      <x:c r="W174" s="30" t="str">
        <x:v>PASS</x:v>
      </x:c>
      <x:c r="X174" s="28" t="str">
        <x:f>IF(V174&lt;=1E-9,"PASS","FAIL")</x:f>
        <x:v>PASS</x:v>
      </x:c>
      <x:c r="Y174" t="str">
        <x:v>TCVN 10304:2025 tr.32–33</x:v>
      </x:c>
      <x:c r="Z174" t="str"/>
    </x:row>
    <x:row r="175">
      <x:c r="A175" t="str">
        <x:v>G0172</x:v>
      </x:c>
      <x:c r="B175" t="str">
        <x:v>Bảng 2</x:v>
      </x:c>
      <x:c r="C175" t="str">
        <x:v>clay:IL=0.6</x:v>
      </x:c>
      <x:c r="D175" t="str">
        <x:v>EXACT</x:v>
      </x:c>
      <x:c r="E175" t="str">
        <x:v>{"z":3,"IL":0.6}</x:v>
      </x:c>
      <x:c r="F175" t="str">
        <x:v>EXACT</x:v>
      </x:c>
      <x:c r="G175"/>
      <x:c r="H175"/>
      <x:c r="I175"/>
      <x:c r="J175"/>
      <x:c r="K175"/>
      <x:c r="L175"/>
      <x:c r="M175" t="n">
        <x:v>600</x:v>
      </x:c>
      <x:c r="N175"/>
      <x:c r="O175"/>
      <x:c r="P175"/>
      <x:c r="Q175"/>
      <x:c r="R175"/>
      <x:c r="S175" t="n">
        <x:v>600</x:v>
      </x:c>
      <x:c r="T175" t="n">
        <x:v>600</x:v>
      </x:c>
      <x:c r="U175" s="28" t="n">
        <x:f>T175</x:f>
        <x:v>600</x:v>
      </x:c>
      <x:c r="V175" s="32" t="n">
        <x:f>IF(AND(ISNUMBER(S175),ISNUMBER(U175)),ABS(S175-U175),IF(S175=U175,0,1))</x:f>
        <x:v>0</x:v>
      </x:c>
      <x:c r="W175" s="30" t="str">
        <x:v>PASS</x:v>
      </x:c>
      <x:c r="X175" s="28" t="str">
        <x:f>IF(V175&lt;=1E-9,"PASS","FAIL")</x:f>
        <x:v>PASS</x:v>
      </x:c>
      <x:c r="Y175" t="str">
        <x:v>TCVN 10304:2025 tr.32–33</x:v>
      </x:c>
      <x:c r="Z175" t="str"/>
    </x:row>
    <x:row r="176">
      <x:c r="A176" t="str">
        <x:v>G0173</x:v>
      </x:c>
      <x:c r="B176" t="str">
        <x:v>Bảng 2</x:v>
      </x:c>
      <x:c r="C176" t="str">
        <x:v>clay:IL=0.6</x:v>
      </x:c>
      <x:c r="D176" t="str">
        <x:v>EXACT</x:v>
      </x:c>
      <x:c r="E176" t="str">
        <x:v>{"z":4,"IL":0.6}</x:v>
      </x:c>
      <x:c r="F176" t="str">
        <x:v>EXACT</x:v>
      </x:c>
      <x:c r="G176"/>
      <x:c r="H176"/>
      <x:c r="I176"/>
      <x:c r="J176"/>
      <x:c r="K176"/>
      <x:c r="L176"/>
      <x:c r="M176" t="n">
        <x:v>700</x:v>
      </x:c>
      <x:c r="N176"/>
      <x:c r="O176"/>
      <x:c r="P176"/>
      <x:c r="Q176"/>
      <x:c r="R176"/>
      <x:c r="S176" t="n">
        <x:v>700</x:v>
      </x:c>
      <x:c r="T176" t="n">
        <x:v>700</x:v>
      </x:c>
      <x:c r="U176" s="28" t="n">
        <x:f>T176</x:f>
        <x:v>700</x:v>
      </x:c>
      <x:c r="V176" s="32" t="n">
        <x:f>IF(AND(ISNUMBER(S176),ISNUMBER(U176)),ABS(S176-U176),IF(S176=U176,0,1))</x:f>
        <x:v>0</x:v>
      </x:c>
      <x:c r="W176" s="30" t="str">
        <x:v>PASS</x:v>
      </x:c>
      <x:c r="X176" s="28" t="str">
        <x:f>IF(V176&lt;=1E-9,"PASS","FAIL")</x:f>
        <x:v>PASS</x:v>
      </x:c>
      <x:c r="Y176" t="str">
        <x:v>TCVN 10304:2025 tr.32–33</x:v>
      </x:c>
      <x:c r="Z176" t="str"/>
    </x:row>
    <x:row r="177">
      <x:c r="A177" t="str">
        <x:v>G0174</x:v>
      </x:c>
      <x:c r="B177" t="str">
        <x:v>Bảng 2</x:v>
      </x:c>
      <x:c r="C177" t="str">
        <x:v>clay:IL=0.6</x:v>
      </x:c>
      <x:c r="D177" t="str">
        <x:v>EXACT</x:v>
      </x:c>
      <x:c r="E177" t="str">
        <x:v>{"z":5,"IL":0.6}</x:v>
      </x:c>
      <x:c r="F177" t="str">
        <x:v>EXACT</x:v>
      </x:c>
      <x:c r="G177"/>
      <x:c r="H177"/>
      <x:c r="I177"/>
      <x:c r="J177"/>
      <x:c r="K177"/>
      <x:c r="L177"/>
      <x:c r="M177" t="n">
        <x:v>800</x:v>
      </x:c>
      <x:c r="N177"/>
      <x:c r="O177"/>
      <x:c r="P177"/>
      <x:c r="Q177"/>
      <x:c r="R177"/>
      <x:c r="S177" t="n">
        <x:v>800</x:v>
      </x:c>
      <x:c r="T177" t="n">
        <x:v>800</x:v>
      </x:c>
      <x:c r="U177" s="28" t="n">
        <x:f>T177</x:f>
        <x:v>800</x:v>
      </x:c>
      <x:c r="V177" s="32" t="n">
        <x:f>IF(AND(ISNUMBER(S177),ISNUMBER(U177)),ABS(S177-U177),IF(S177=U177,0,1))</x:f>
        <x:v>0</x:v>
      </x:c>
      <x:c r="W177" s="30" t="str">
        <x:v>PASS</x:v>
      </x:c>
      <x:c r="X177" s="28" t="str">
        <x:f>IF(V177&lt;=1E-9,"PASS","FAIL")</x:f>
        <x:v>PASS</x:v>
      </x:c>
      <x:c r="Y177" t="str">
        <x:v>TCVN 10304:2025 tr.32–33</x:v>
      </x:c>
      <x:c r="Z177" t="str"/>
    </x:row>
    <x:row r="178">
      <x:c r="A178" t="str">
        <x:v>G0175</x:v>
      </x:c>
      <x:c r="B178" t="str">
        <x:v>Bảng 2</x:v>
      </x:c>
      <x:c r="C178" t="str">
        <x:v>clay:IL=0.6</x:v>
      </x:c>
      <x:c r="D178" t="str">
        <x:v>EXACT</x:v>
      </x:c>
      <x:c r="E178" t="str">
        <x:v>{"z":7,"IL":0.6}</x:v>
      </x:c>
      <x:c r="F178" t="str">
        <x:v>EXACT</x:v>
      </x:c>
      <x:c r="G178"/>
      <x:c r="H178"/>
      <x:c r="I178"/>
      <x:c r="J178"/>
      <x:c r="K178"/>
      <x:c r="L178"/>
      <x:c r="M178" t="n">
        <x:v>850</x:v>
      </x:c>
      <x:c r="N178"/>
      <x:c r="O178"/>
      <x:c r="P178"/>
      <x:c r="Q178"/>
      <x:c r="R178"/>
      <x:c r="S178" t="n">
        <x:v>850</x:v>
      </x:c>
      <x:c r="T178" t="n">
        <x:v>850</x:v>
      </x:c>
      <x:c r="U178" s="28" t="n">
        <x:f>T178</x:f>
        <x:v>850</x:v>
      </x:c>
      <x:c r="V178" s="32" t="n">
        <x:f>IF(AND(ISNUMBER(S178),ISNUMBER(U178)),ABS(S178-U178),IF(S178=U178,0,1))</x:f>
        <x:v>0</x:v>
      </x:c>
      <x:c r="W178" s="30" t="str">
        <x:v>PASS</x:v>
      </x:c>
      <x:c r="X178" s="28" t="str">
        <x:f>IF(V178&lt;=1E-9,"PASS","FAIL")</x:f>
        <x:v>PASS</x:v>
      </x:c>
      <x:c r="Y178" t="str">
        <x:v>TCVN 10304:2025 tr.32–33</x:v>
      </x:c>
      <x:c r="Z178" t="str"/>
    </x:row>
    <x:row r="179">
      <x:c r="A179" t="str">
        <x:v>G0176</x:v>
      </x:c>
      <x:c r="B179" t="str">
        <x:v>Bảng 2</x:v>
      </x:c>
      <x:c r="C179" t="str">
        <x:v>clay:IL=0.6</x:v>
      </x:c>
      <x:c r="D179" t="str">
        <x:v>EXACT</x:v>
      </x:c>
      <x:c r="E179" t="str">
        <x:v>{"z":10,"IL":0.6}</x:v>
      </x:c>
      <x:c r="F179" t="str">
        <x:v>EXACT</x:v>
      </x:c>
      <x:c r="G179"/>
      <x:c r="H179"/>
      <x:c r="I179"/>
      <x:c r="J179"/>
      <x:c r="K179"/>
      <x:c r="L179"/>
      <x:c r="M179" t="n">
        <x:v>900</x:v>
      </x:c>
      <x:c r="N179"/>
      <x:c r="O179"/>
      <x:c r="P179"/>
      <x:c r="Q179"/>
      <x:c r="R179"/>
      <x:c r="S179" t="n">
        <x:v>900</x:v>
      </x:c>
      <x:c r="T179" t="n">
        <x:v>900</x:v>
      </x:c>
      <x:c r="U179" s="28" t="n">
        <x:f>T179</x:f>
        <x:v>900</x:v>
      </x:c>
      <x:c r="V179" s="32" t="n">
        <x:f>IF(AND(ISNUMBER(S179),ISNUMBER(U179)),ABS(S179-U179),IF(S179=U179,0,1))</x:f>
        <x:v>0</x:v>
      </x:c>
      <x:c r="W179" s="30" t="str">
        <x:v>PASS</x:v>
      </x:c>
      <x:c r="X179" s="28" t="str">
        <x:f>IF(V179&lt;=1E-9,"PASS","FAIL")</x:f>
        <x:v>PASS</x:v>
      </x:c>
      <x:c r="Y179" t="str">
        <x:v>TCVN 10304:2025 tr.32–33</x:v>
      </x:c>
      <x:c r="Z179" t="str"/>
    </x:row>
    <x:row r="180">
      <x:c r="A180" t="str">
        <x:v>G0177</x:v>
      </x:c>
      <x:c r="B180" t="str">
        <x:v>Bảng 2</x:v>
      </x:c>
      <x:c r="C180" t="str">
        <x:v>clay:IL=0.6</x:v>
      </x:c>
      <x:c r="D180" t="str">
        <x:v>EXACT</x:v>
      </x:c>
      <x:c r="E180" t="str">
        <x:v>{"z":15,"IL":0.6}</x:v>
      </x:c>
      <x:c r="F180" t="str">
        <x:v>EXACT</x:v>
      </x:c>
      <x:c r="G180"/>
      <x:c r="H180"/>
      <x:c r="I180"/>
      <x:c r="J180"/>
      <x:c r="K180"/>
      <x:c r="L180"/>
      <x:c r="M180" t="n">
        <x:v>1000</x:v>
      </x:c>
      <x:c r="N180"/>
      <x:c r="O180"/>
      <x:c r="P180"/>
      <x:c r="Q180"/>
      <x:c r="R180"/>
      <x:c r="S180" t="n">
        <x:v>1000</x:v>
      </x:c>
      <x:c r="T180" t="n">
        <x:v>1000</x:v>
      </x:c>
      <x:c r="U180" s="28" t="n">
        <x:f>T180</x:f>
        <x:v>1000</x:v>
      </x:c>
      <x:c r="V180" s="32" t="n">
        <x:f>IF(AND(ISNUMBER(S180),ISNUMBER(U180)),ABS(S180-U180),IF(S180=U180,0,1))</x:f>
        <x:v>0</x:v>
      </x:c>
      <x:c r="W180" s="30" t="str">
        <x:v>PASS</x:v>
      </x:c>
      <x:c r="X180" s="28" t="str">
        <x:f>IF(V180&lt;=1E-9,"PASS","FAIL")</x:f>
        <x:v>PASS</x:v>
      </x:c>
      <x:c r="Y180" t="str">
        <x:v>TCVN 10304:2025 tr.32–33</x:v>
      </x:c>
      <x:c r="Z180" t="str"/>
    </x:row>
    <x:row r="181">
      <x:c r="A181" t="str">
        <x:v>G0178</x:v>
      </x:c>
      <x:c r="B181" t="str">
        <x:v>Bảng 2</x:v>
      </x:c>
      <x:c r="C181" t="str">
        <x:v>clay:IL=0.6</x:v>
      </x:c>
      <x:c r="D181" t="str">
        <x:v>EXACT</x:v>
      </x:c>
      <x:c r="E181" t="str">
        <x:v>{"z":20,"IL":0.6}</x:v>
      </x:c>
      <x:c r="F181" t="str">
        <x:v>EXACT</x:v>
      </x:c>
      <x:c r="G181"/>
      <x:c r="H181"/>
      <x:c r="I181"/>
      <x:c r="J181"/>
      <x:c r="K181"/>
      <x:c r="L181"/>
      <x:c r="M181" t="n">
        <x:v>1100</x:v>
      </x:c>
      <x:c r="N181"/>
      <x:c r="O181"/>
      <x:c r="P181"/>
      <x:c r="Q181"/>
      <x:c r="R181"/>
      <x:c r="S181" t="n">
        <x:v>1100</x:v>
      </x:c>
      <x:c r="T181" t="n">
        <x:v>1100</x:v>
      </x:c>
      <x:c r="U181" s="28" t="n">
        <x:f>T181</x:f>
        <x:v>1100</x:v>
      </x:c>
      <x:c r="V181" s="32" t="n">
        <x:f>IF(AND(ISNUMBER(S181),ISNUMBER(U181)),ABS(S181-U181),IF(S181=U181,0,1))</x:f>
        <x:v>0</x:v>
      </x:c>
      <x:c r="W181" s="30" t="str">
        <x:v>PASS</x:v>
      </x:c>
      <x:c r="X181" s="28" t="str">
        <x:f>IF(V181&lt;=1E-9,"PASS","FAIL")</x:f>
        <x:v>PASS</x:v>
      </x:c>
      <x:c r="Y181" t="str">
        <x:v>TCVN 10304:2025 tr.32–33</x:v>
      </x:c>
      <x:c r="Z181" t="str"/>
    </x:row>
    <x:row r="182">
      <x:c r="A182" t="str">
        <x:v>G0179</x:v>
      </x:c>
      <x:c r="B182" t="str">
        <x:v>Bảng 2</x:v>
      </x:c>
      <x:c r="C182" t="str">
        <x:v>clay:IL=0.6</x:v>
      </x:c>
      <x:c r="D182" t="str">
        <x:v>EXACT</x:v>
      </x:c>
      <x:c r="E182" t="str">
        <x:v>{"z":25,"IL":0.6}</x:v>
      </x:c>
      <x:c r="F182" t="str">
        <x:v>EXACT</x:v>
      </x:c>
      <x:c r="G182"/>
      <x:c r="H182"/>
      <x:c r="I182"/>
      <x:c r="J182"/>
      <x:c r="K182"/>
      <x:c r="L182"/>
      <x:c r="M182" t="n">
        <x:v>1200</x:v>
      </x:c>
      <x:c r="N182"/>
      <x:c r="O182"/>
      <x:c r="P182"/>
      <x:c r="Q182"/>
      <x:c r="R182"/>
      <x:c r="S182" t="n">
        <x:v>1200</x:v>
      </x:c>
      <x:c r="T182" t="n">
        <x:v>1200</x:v>
      </x:c>
      <x:c r="U182" s="28" t="n">
        <x:f>T182</x:f>
        <x:v>1200</x:v>
      </x:c>
      <x:c r="V182" s="32" t="n">
        <x:f>IF(AND(ISNUMBER(S182),ISNUMBER(U182)),ABS(S182-U182),IF(S182=U182,0,1))</x:f>
        <x:v>0</x:v>
      </x:c>
      <x:c r="W182" s="30" t="str">
        <x:v>PASS</x:v>
      </x:c>
      <x:c r="X182" s="28" t="str">
        <x:f>IF(V182&lt;=1E-9,"PASS","FAIL")</x:f>
        <x:v>PASS</x:v>
      </x:c>
      <x:c r="Y182" t="str">
        <x:v>TCVN 10304:2025 tr.32–33</x:v>
      </x:c>
      <x:c r="Z182" t="str"/>
    </x:row>
    <x:row r="183">
      <x:c r="A183" t="str">
        <x:v>G0180</x:v>
      </x:c>
      <x:c r="B183" t="str">
        <x:v>Bảng 2</x:v>
      </x:c>
      <x:c r="C183" t="str">
        <x:v>clay:IL=0.6</x:v>
      </x:c>
      <x:c r="D183" t="str">
        <x:v>EXACT</x:v>
      </x:c>
      <x:c r="E183" t="str">
        <x:v>{"z":30,"IL":0.6}</x:v>
      </x:c>
      <x:c r="F183" t="str">
        <x:v>EXACT</x:v>
      </x:c>
      <x:c r="G183"/>
      <x:c r="H183"/>
      <x:c r="I183"/>
      <x:c r="J183"/>
      <x:c r="K183"/>
      <x:c r="L183"/>
      <x:c r="M183" t="n">
        <x:v>1300</x:v>
      </x:c>
      <x:c r="N183"/>
      <x:c r="O183"/>
      <x:c r="P183"/>
      <x:c r="Q183"/>
      <x:c r="R183"/>
      <x:c r="S183" t="n">
        <x:v>1300</x:v>
      </x:c>
      <x:c r="T183" t="n">
        <x:v>1300</x:v>
      </x:c>
      <x:c r="U183" s="28" t="n">
        <x:f>T183</x:f>
        <x:v>1300</x:v>
      </x:c>
      <x:c r="V183" s="32" t="n">
        <x:f>IF(AND(ISNUMBER(S183),ISNUMBER(U183)),ABS(S183-U183),IF(S183=U183,0,1))</x:f>
        <x:v>0</x:v>
      </x:c>
      <x:c r="W183" s="30" t="str">
        <x:v>PASS</x:v>
      </x:c>
      <x:c r="X183" s="28" t="str">
        <x:f>IF(V183&lt;=1E-9,"PASS","FAIL")</x:f>
        <x:v>PASS</x:v>
      </x:c>
      <x:c r="Y183" t="str">
        <x:v>TCVN 10304:2025 tr.32–33</x:v>
      </x:c>
      <x:c r="Z183" t="str"/>
    </x:row>
    <x:row r="184">
      <x:c r="A184" t="str">
        <x:v>G0181</x:v>
      </x:c>
      <x:c r="B184" t="str">
        <x:v>Bảng 2</x:v>
      </x:c>
      <x:c r="C184" t="str">
        <x:v>clay:IL=0.6</x:v>
      </x:c>
      <x:c r="D184" t="str">
        <x:v>EXACT</x:v>
      </x:c>
      <x:c r="E184" t="str">
        <x:v>{"z":35,"IL":0.6}</x:v>
      </x:c>
      <x:c r="F184" t="str">
        <x:v>EXACT</x:v>
      </x:c>
      <x:c r="G184"/>
      <x:c r="H184"/>
      <x:c r="I184"/>
      <x:c r="J184"/>
      <x:c r="K184"/>
      <x:c r="L184"/>
      <x:c r="M184" t="n">
        <x:v>1400</x:v>
      </x:c>
      <x:c r="N184"/>
      <x:c r="O184"/>
      <x:c r="P184"/>
      <x:c r="Q184"/>
      <x:c r="R184"/>
      <x:c r="S184" t="n">
        <x:v>1400</x:v>
      </x:c>
      <x:c r="T184" t="n">
        <x:v>1400</x:v>
      </x:c>
      <x:c r="U184" s="28" t="n">
        <x:f>T184</x:f>
        <x:v>1400</x:v>
      </x:c>
      <x:c r="V184" s="32" t="n">
        <x:f>IF(AND(ISNUMBER(S184),ISNUMBER(U184)),ABS(S184-U184),IF(S184=U184,0,1))</x:f>
        <x:v>0</x:v>
      </x:c>
      <x:c r="W184" s="30" t="str">
        <x:v>PASS</x:v>
      </x:c>
      <x:c r="X184" s="28" t="str">
        <x:f>IF(V184&lt;=1E-9,"PASS","FAIL")</x:f>
        <x:v>PASS</x:v>
      </x:c>
      <x:c r="Y184" t="str">
        <x:v>TCVN 10304:2025 tr.32–33</x:v>
      </x:c>
      <x:c r="Z184" t="str"/>
    </x:row>
    <x:row r="185">
      <x:c r="A185" t="str">
        <x:v>G0182</x:v>
      </x:c>
      <x:c r="B185" t="str">
        <x:v>Bảng 2</x:v>
      </x:c>
      <x:c r="C185" t="str">
        <x:v>clay:IL=0.6</x:v>
      </x:c>
      <x:c r="D185" t="str">
        <x:v>EXACT</x:v>
      </x:c>
      <x:c r="E185" t="str">
        <x:v>{"z":40,"IL":0.6}</x:v>
      </x:c>
      <x:c r="F185" t="str">
        <x:v>EXACT</x:v>
      </x:c>
      <x:c r="G185"/>
      <x:c r="H185"/>
      <x:c r="I185"/>
      <x:c r="J185"/>
      <x:c r="K185"/>
      <x:c r="L185"/>
      <x:c r="M185" t="n">
        <x:v>1500</x:v>
      </x:c>
      <x:c r="N185"/>
      <x:c r="O185"/>
      <x:c r="P185"/>
      <x:c r="Q185"/>
      <x:c r="R185"/>
      <x:c r="S185" t="n">
        <x:v>1500</x:v>
      </x:c>
      <x:c r="T185" t="n">
        <x:v>1500</x:v>
      </x:c>
      <x:c r="U185" s="28" t="n">
        <x:f>T185</x:f>
        <x:v>1500</x:v>
      </x:c>
      <x:c r="V185" s="32" t="n">
        <x:f>IF(AND(ISNUMBER(S185),ISNUMBER(U185)),ABS(S185-U185),IF(S185=U185,0,1))</x:f>
        <x:v>0</x:v>
      </x:c>
      <x:c r="W185" s="30" t="str">
        <x:v>PASS</x:v>
      </x:c>
      <x:c r="X185" s="28" t="str">
        <x:f>IF(V185&lt;=1E-9,"PASS","FAIL")</x:f>
        <x:v>PASS</x:v>
      </x:c>
      <x:c r="Y185" t="str">
        <x:v>TCVN 10304:2025 tr.32–33</x:v>
      </x:c>
      <x:c r="Z185" t="str"/>
    </x:row>
    <x:row r="186">
      <x:c r="A186" t="str">
        <x:v>G0183</x:v>
      </x:c>
      <x:c r="B186" t="str">
        <x:v>Bảng 2</x:v>
      </x:c>
      <x:c r="C186" t="str">
        <x:v>clay</x:v>
      </x:c>
      <x:c r="D186" t="str">
        <x:v>MID-2D</x:v>
      </x:c>
      <x:c r="E186" t="str">
        <x:v>{"z":3.5,"IL":0.05}</x:v>
      </x:c>
      <x:c r="F186" t="str">
        <x:v>BILINEAR-2D</x:v>
      </x:c>
      <x:c r="G186" t="n">
        <x:v>3.5</x:v>
      </x:c>
      <x:c r="H186" t="n">
        <x:v>0.05</x:v>
      </x:c>
      <x:c r="I186" t="n">
        <x:v>3</x:v>
      </x:c>
      <x:c r="J186" t="n">
        <x:v>4</x:v>
      </x:c>
      <x:c r="K186" t="n">
        <x:v>0</x:v>
      </x:c>
      <x:c r="L186" t="n">
        <x:v>0.1</x:v>
      </x:c>
      <x:c r="M186"/>
      <x:c r="N186"/>
      <x:c r="O186" t="n">
        <x:v>7500</x:v>
      </x:c>
      <x:c r="P186" t="n">
        <x:v>4000</x:v>
      </x:c>
      <x:c r="Q186" t="n">
        <x:v>8300</x:v>
      </x:c>
      <x:c r="R186" t="n">
        <x:v>5100</x:v>
      </x:c>
      <x:c r="S186" t="n">
        <x:v>6225</x:v>
      </x:c>
      <x:c r="T186" t="n">
        <x:v>6225</x:v>
      </x:c>
      <x:c r="U186" s="28" t="n">
        <x:f>(O186+(G186-I186)*(Q186-O186)/(J186-I186))+(H186-K186)/(L186-K186)*((P186+(G186-I186)*(R186-P186)/(J186-I186))-(O186+(G186-I186)*(Q186-O186)/(J186-I186)))</x:f>
        <x:v>6225</x:v>
      </x:c>
      <x:c r="V186" s="32" t="n">
        <x:f>IF(AND(ISNUMBER(S186),ISNUMBER(U186)),ABS(S186-U186),IF(S186=U186,0,1))</x:f>
        <x:v>0</x:v>
      </x:c>
      <x:c r="W186" s="30" t="str">
        <x:v>PASS</x:v>
      </x:c>
      <x:c r="X186" s="28" t="str">
        <x:f>IF(V186&lt;=1E-9,"PASS","FAIL")</x:f>
        <x:v>PASS</x:v>
      </x:c>
      <x:c r="Y186" t="str">
        <x:v>Chú thích 4</x:v>
      </x:c>
      <x:c r="Z186" t="str"/>
    </x:row>
    <x:row r="187">
      <x:c r="A187" t="str">
        <x:v>G0184</x:v>
      </x:c>
      <x:c r="B187" t="str">
        <x:v>Bảng 2</x:v>
      </x:c>
      <x:c r="C187" t="str">
        <x:v>clay</x:v>
      </x:c>
      <x:c r="D187" t="str">
        <x:v>MID-2D</x:v>
      </x:c>
      <x:c r="E187" t="str">
        <x:v>{"z":3.5,"IL":0.15000000000000002}</x:v>
      </x:c>
      <x:c r="F187" t="str">
        <x:v>BILINEAR-2D</x:v>
      </x:c>
      <x:c r="G187" t="n">
        <x:v>3.5</x:v>
      </x:c>
      <x:c r="H187" t="n">
        <x:v>0.15000000000000002</x:v>
      </x:c>
      <x:c r="I187" t="n">
        <x:v>3</x:v>
      </x:c>
      <x:c r="J187" t="n">
        <x:v>4</x:v>
      </x:c>
      <x:c r="K187" t="n">
        <x:v>0.1</x:v>
      </x:c>
      <x:c r="L187" t="n">
        <x:v>0.2</x:v>
      </x:c>
      <x:c r="M187"/>
      <x:c r="N187"/>
      <x:c r="O187" t="n">
        <x:v>4000</x:v>
      </x:c>
      <x:c r="P187" t="n">
        <x:v>3000</x:v>
      </x:c>
      <x:c r="Q187" t="n">
        <x:v>5100</x:v>
      </x:c>
      <x:c r="R187" t="n">
        <x:v>3800</x:v>
      </x:c>
      <x:c r="S187" t="n">
        <x:v>3975</x:v>
      </x:c>
      <x:c r="T187" t="n">
        <x:v>3975</x:v>
      </x:c>
      <x:c r="U187" s="28" t="n">
        <x:f>(O187+(G187-I187)*(Q187-O187)/(J187-I187))+(H187-K187)/(L187-K187)*((P187+(G187-I187)*(R187-P187)/(J187-I187))-(O187+(G187-I187)*(Q187-O187)/(J187-I187)))</x:f>
        <x:v>3975</x:v>
      </x:c>
      <x:c r="V187" s="32" t="n">
        <x:f>IF(AND(ISNUMBER(S187),ISNUMBER(U187)),ABS(S187-U187),IF(S187=U187,0,1))</x:f>
        <x:v>0</x:v>
      </x:c>
      <x:c r="W187" s="30" t="str">
        <x:v>PASS</x:v>
      </x:c>
      <x:c r="X187" s="28" t="str">
        <x:f>IF(V187&lt;=1E-9,"PASS","FAIL")</x:f>
        <x:v>PASS</x:v>
      </x:c>
      <x:c r="Y187" t="str">
        <x:v>Chú thích 4</x:v>
      </x:c>
      <x:c r="Z187" t="str"/>
    </x:row>
    <x:row r="188">
      <x:c r="A188" t="str">
        <x:v>G0185</x:v>
      </x:c>
      <x:c r="B188" t="str">
        <x:v>Bảng 2</x:v>
      </x:c>
      <x:c r="C188" t="str">
        <x:v>clay</x:v>
      </x:c>
      <x:c r="D188" t="str">
        <x:v>MID-2D</x:v>
      </x:c>
      <x:c r="E188" t="str">
        <x:v>{"z":3.5,"IL":0.25}</x:v>
      </x:c>
      <x:c r="F188" t="str">
        <x:v>BILINEAR-2D</x:v>
      </x:c>
      <x:c r="G188" t="n">
        <x:v>3.5</x:v>
      </x:c>
      <x:c r="H188" t="n">
        <x:v>0.25</x:v>
      </x:c>
      <x:c r="I188" t="n">
        <x:v>3</x:v>
      </x:c>
      <x:c r="J188" t="n">
        <x:v>4</x:v>
      </x:c>
      <x:c r="K188" t="n">
        <x:v>0.2</x:v>
      </x:c>
      <x:c r="L188" t="n">
        <x:v>0.3</x:v>
      </x:c>
      <x:c r="M188"/>
      <x:c r="N188"/>
      <x:c r="O188" t="n">
        <x:v>3000</x:v>
      </x:c>
      <x:c r="P188" t="n">
        <x:v>2000</x:v>
      </x:c>
      <x:c r="Q188" t="n">
        <x:v>3800</x:v>
      </x:c>
      <x:c r="R188" t="n">
        <x:v>2500</x:v>
      </x:c>
      <x:c r="S188" t="n">
        <x:v>2825</x:v>
      </x:c>
      <x:c r="T188" t="n">
        <x:v>2825</x:v>
      </x:c>
      <x:c r="U188" s="28" t="n">
        <x:f>(O188+(G188-I188)*(Q188-O188)/(J188-I188))+(H188-K188)/(L188-K188)*((P188+(G188-I188)*(R188-P188)/(J188-I188))-(O188+(G188-I188)*(Q188-O188)/(J188-I188)))</x:f>
        <x:v>2825</x:v>
      </x:c>
      <x:c r="V188" s="32" t="n">
        <x:f>IF(AND(ISNUMBER(S188),ISNUMBER(U188)),ABS(S188-U188),IF(S188=U188,0,1))</x:f>
        <x:v>0</x:v>
      </x:c>
      <x:c r="W188" s="30" t="str">
        <x:v>PASS</x:v>
      </x:c>
      <x:c r="X188" s="28" t="str">
        <x:f>IF(V188&lt;=1E-9,"PASS","FAIL")</x:f>
        <x:v>PASS</x:v>
      </x:c>
      <x:c r="Y188" t="str">
        <x:v>Chú thích 4</x:v>
      </x:c>
      <x:c r="Z188" t="str"/>
    </x:row>
    <x:row r="189">
      <x:c r="A189" t="str">
        <x:v>G0186</x:v>
      </x:c>
      <x:c r="B189" t="str">
        <x:v>Bảng 2</x:v>
      </x:c>
      <x:c r="C189" t="str">
        <x:v>clay</x:v>
      </x:c>
      <x:c r="D189" t="str">
        <x:v>MID-2D</x:v>
      </x:c>
      <x:c r="E189" t="str">
        <x:v>{"z":3.5,"IL":0.35}</x:v>
      </x:c>
      <x:c r="F189" t="str">
        <x:v>BILINEAR-2D</x:v>
      </x:c>
      <x:c r="G189" t="n">
        <x:v>3.5</x:v>
      </x:c>
      <x:c r="H189" t="n">
        <x:v>0.35</x:v>
      </x:c>
      <x:c r="I189" t="n">
        <x:v>3</x:v>
      </x:c>
      <x:c r="J189" t="n">
        <x:v>4</x:v>
      </x:c>
      <x:c r="K189" t="n">
        <x:v>0.3</x:v>
      </x:c>
      <x:c r="L189" t="n">
        <x:v>0.4</x:v>
      </x:c>
      <x:c r="M189"/>
      <x:c r="N189"/>
      <x:c r="O189" t="n">
        <x:v>2000</x:v>
      </x:c>
      <x:c r="P189" t="n">
        <x:v>1200</x:v>
      </x:c>
      <x:c r="Q189" t="n">
        <x:v>2500</x:v>
      </x:c>
      <x:c r="R189" t="n">
        <x:v>1600</x:v>
      </x:c>
      <x:c r="S189" t="n">
        <x:v>1825.0000000000002</x:v>
      </x:c>
      <x:c r="T189" t="n">
        <x:v>1825.0000000000002</x:v>
      </x:c>
      <x:c r="U189" s="28" t="n">
        <x:f>(O189+(G189-I189)*(Q189-O189)/(J189-I189))+(H189-K189)/(L189-K189)*((P189+(G189-I189)*(R189-P189)/(J189-I189))-(O189+(G189-I189)*(Q189-O189)/(J189-I189)))</x:f>
        <x:v>1825.0000000000002</x:v>
      </x:c>
      <x:c r="V189" s="32" t="n">
        <x:f>IF(AND(ISNUMBER(S189),ISNUMBER(U189)),ABS(S189-U189),IF(S189=U189,0,1))</x:f>
        <x:v>0</x:v>
      </x:c>
      <x:c r="W189" s="30" t="str">
        <x:v>PASS</x:v>
      </x:c>
      <x:c r="X189" s="28" t="str">
        <x:f>IF(V189&lt;=1E-9,"PASS","FAIL")</x:f>
        <x:v>PASS</x:v>
      </x:c>
      <x:c r="Y189" t="str">
        <x:v>Chú thích 4</x:v>
      </x:c>
      <x:c r="Z189" t="str"/>
    </x:row>
    <x:row r="190">
      <x:c r="A190" t="str">
        <x:v>G0187</x:v>
      </x:c>
      <x:c r="B190" t="str">
        <x:v>Bảng 2</x:v>
      </x:c>
      <x:c r="C190" t="str">
        <x:v>clay</x:v>
      </x:c>
      <x:c r="D190" t="str">
        <x:v>MID-2D</x:v>
      </x:c>
      <x:c r="E190" t="str">
        <x:v>{"z":3.5,"IL":0.45}</x:v>
      </x:c>
      <x:c r="F190" t="str">
        <x:v>BILINEAR-2D</x:v>
      </x:c>
      <x:c r="G190" t="n">
        <x:v>3.5</x:v>
      </x:c>
      <x:c r="H190" t="n">
        <x:v>0.45</x:v>
      </x:c>
      <x:c r="I190" t="n">
        <x:v>3</x:v>
      </x:c>
      <x:c r="J190" t="n">
        <x:v>4</x:v>
      </x:c>
      <x:c r="K190" t="n">
        <x:v>0.4</x:v>
      </x:c>
      <x:c r="L190" t="n">
        <x:v>0.5</x:v>
      </x:c>
      <x:c r="M190"/>
      <x:c r="N190"/>
      <x:c r="O190" t="n">
        <x:v>1200</x:v>
      </x:c>
      <x:c r="P190" t="n">
        <x:v>1100</x:v>
      </x:c>
      <x:c r="Q190" t="n">
        <x:v>1600</x:v>
      </x:c>
      <x:c r="R190" t="n">
        <x:v>1250</x:v>
      </x:c>
      <x:c r="S190" t="n">
        <x:v>1287.5</x:v>
      </x:c>
      <x:c r="T190" t="n">
        <x:v>1287.5</x:v>
      </x:c>
      <x:c r="U190" s="28" t="n">
        <x:f>(O190+(G190-I190)*(Q190-O190)/(J190-I190))+(H190-K190)/(L190-K190)*((P190+(G190-I190)*(R190-P190)/(J190-I190))-(O190+(G190-I190)*(Q190-O190)/(J190-I190)))</x:f>
        <x:v>1287.5</x:v>
      </x:c>
      <x:c r="V190" s="32" t="n">
        <x:f>IF(AND(ISNUMBER(S190),ISNUMBER(U190)),ABS(S190-U190),IF(S190=U190,0,1))</x:f>
        <x:v>0</x:v>
      </x:c>
      <x:c r="W190" s="30" t="str">
        <x:v>PASS</x:v>
      </x:c>
      <x:c r="X190" s="28" t="str">
        <x:f>IF(V190&lt;=1E-9,"PASS","FAIL")</x:f>
        <x:v>PASS</x:v>
      </x:c>
      <x:c r="Y190" t="str">
        <x:v>Chú thích 4</x:v>
      </x:c>
      <x:c r="Z190" t="str"/>
    </x:row>
    <x:row r="191">
      <x:c r="A191" t="str">
        <x:v>G0188</x:v>
      </x:c>
      <x:c r="B191" t="str">
        <x:v>Bảng 2</x:v>
      </x:c>
      <x:c r="C191" t="str">
        <x:v>clay</x:v>
      </x:c>
      <x:c r="D191" t="str">
        <x:v>MID-2D</x:v>
      </x:c>
      <x:c r="E191" t="str">
        <x:v>{"z":3.5,"IL":0.55}</x:v>
      </x:c>
      <x:c r="F191" t="str">
        <x:v>BILINEAR-2D</x:v>
      </x:c>
      <x:c r="G191" t="n">
        <x:v>3.5</x:v>
      </x:c>
      <x:c r="H191" t="n">
        <x:v>0.55</x:v>
      </x:c>
      <x:c r="I191" t="n">
        <x:v>3</x:v>
      </x:c>
      <x:c r="J191" t="n">
        <x:v>4</x:v>
      </x:c>
      <x:c r="K191" t="n">
        <x:v>0.5</x:v>
      </x:c>
      <x:c r="L191" t="n">
        <x:v>0.6</x:v>
      </x:c>
      <x:c r="M191"/>
      <x:c r="N191"/>
      <x:c r="O191" t="n">
        <x:v>1100</x:v>
      </x:c>
      <x:c r="P191" t="n">
        <x:v>600</x:v>
      </x:c>
      <x:c r="Q191" t="n">
        <x:v>1250</x:v>
      </x:c>
      <x:c r="R191" t="n">
        <x:v>700</x:v>
      </x:c>
      <x:c r="S191" t="n">
        <x:v>912.4999999999998</x:v>
      </x:c>
      <x:c r="T191" t="n">
        <x:v>912.4999999999998</x:v>
      </x:c>
      <x:c r="U191" s="28" t="n">
        <x:f>(O191+(G191-I191)*(Q191-O191)/(J191-I191))+(H191-K191)/(L191-K191)*((P191+(G191-I191)*(R191-P191)/(J191-I191))-(O191+(G191-I191)*(Q191-O191)/(J191-I191)))</x:f>
        <x:v>912.4999999999998</x:v>
      </x:c>
      <x:c r="V191" s="32" t="n">
        <x:f>IF(AND(ISNUMBER(S191),ISNUMBER(U191)),ABS(S191-U191),IF(S191=U191,0,1))</x:f>
        <x:v>0</x:v>
      </x:c>
      <x:c r="W191" s="30" t="str">
        <x:v>PASS</x:v>
      </x:c>
      <x:c r="X191" s="28" t="str">
        <x:f>IF(V191&lt;=1E-9,"PASS","FAIL")</x:f>
        <x:v>PASS</x:v>
      </x:c>
      <x:c r="Y191" t="str">
        <x:v>Chú thích 4</x:v>
      </x:c>
      <x:c r="Z191" t="str"/>
    </x:row>
    <x:row r="192">
      <x:c r="A192" t="str">
        <x:v>G0189</x:v>
      </x:c>
      <x:c r="B192" t="str">
        <x:v>Bảng 2</x:v>
      </x:c>
      <x:c r="C192" t="str">
        <x:v>clay</x:v>
      </x:c>
      <x:c r="D192" t="str">
        <x:v>MID-2D</x:v>
      </x:c>
      <x:c r="E192" t="str">
        <x:v>{"z":4.5,"IL":0.05}</x:v>
      </x:c>
      <x:c r="F192" t="str">
        <x:v>BILINEAR-2D</x:v>
      </x:c>
      <x:c r="G192" t="n">
        <x:v>4.5</x:v>
      </x:c>
      <x:c r="H192" t="n">
        <x:v>0.05</x:v>
      </x:c>
      <x:c r="I192" t="n">
        <x:v>4</x:v>
      </x:c>
      <x:c r="J192" t="n">
        <x:v>5</x:v>
      </x:c>
      <x:c r="K192" t="n">
        <x:v>0</x:v>
      </x:c>
      <x:c r="L192" t="n">
        <x:v>0.1</x:v>
      </x:c>
      <x:c r="M192"/>
      <x:c r="N192"/>
      <x:c r="O192" t="n">
        <x:v>8300</x:v>
      </x:c>
      <x:c r="P192" t="n">
        <x:v>5100</x:v>
      </x:c>
      <x:c r="Q192" t="n">
        <x:v>8800</x:v>
      </x:c>
      <x:c r="R192" t="n">
        <x:v>6200</x:v>
      </x:c>
      <x:c r="S192" t="n">
        <x:v>7100</x:v>
      </x:c>
      <x:c r="T192" t="n">
        <x:v>7100</x:v>
      </x:c>
      <x:c r="U192" s="28" t="n">
        <x:f>(O192+(G192-I192)*(Q192-O192)/(J192-I192))+(H192-K192)/(L192-K192)*((P192+(G192-I192)*(R192-P192)/(J192-I192))-(O192+(G192-I192)*(Q192-O192)/(J192-I192)))</x:f>
        <x:v>7100</x:v>
      </x:c>
      <x:c r="V192" s="32" t="n">
        <x:f>IF(AND(ISNUMBER(S192),ISNUMBER(U192)),ABS(S192-U192),IF(S192=U192,0,1))</x:f>
        <x:v>0</x:v>
      </x:c>
      <x:c r="W192" s="30" t="str">
        <x:v>PASS</x:v>
      </x:c>
      <x:c r="X192" s="28" t="str">
        <x:f>IF(V192&lt;=1E-9,"PASS","FAIL")</x:f>
        <x:v>PASS</x:v>
      </x:c>
      <x:c r="Y192" t="str">
        <x:v>Chú thích 4</x:v>
      </x:c>
      <x:c r="Z192" t="str"/>
    </x:row>
    <x:row r="193">
      <x:c r="A193" t="str">
        <x:v>G0190</x:v>
      </x:c>
      <x:c r="B193" t="str">
        <x:v>Bảng 2</x:v>
      </x:c>
      <x:c r="C193" t="str">
        <x:v>clay</x:v>
      </x:c>
      <x:c r="D193" t="str">
        <x:v>MID-2D</x:v>
      </x:c>
      <x:c r="E193" t="str">
        <x:v>{"z":4.5,"IL":0.15000000000000002}</x:v>
      </x:c>
      <x:c r="F193" t="str">
        <x:v>BILINEAR-2D</x:v>
      </x:c>
      <x:c r="G193" t="n">
        <x:v>4.5</x:v>
      </x:c>
      <x:c r="H193" t="n">
        <x:v>0.15000000000000002</x:v>
      </x:c>
      <x:c r="I193" t="n">
        <x:v>4</x:v>
      </x:c>
      <x:c r="J193" t="n">
        <x:v>5</x:v>
      </x:c>
      <x:c r="K193" t="n">
        <x:v>0.1</x:v>
      </x:c>
      <x:c r="L193" t="n">
        <x:v>0.2</x:v>
      </x:c>
      <x:c r="M193"/>
      <x:c r="N193"/>
      <x:c r="O193" t="n">
        <x:v>5100</x:v>
      </x:c>
      <x:c r="P193" t="n">
        <x:v>3800</x:v>
      </x:c>
      <x:c r="Q193" t="n">
        <x:v>6200</x:v>
      </x:c>
      <x:c r="R193" t="n">
        <x:v>4000</x:v>
      </x:c>
      <x:c r="S193" t="n">
        <x:v>4775</x:v>
      </x:c>
      <x:c r="T193" t="n">
        <x:v>4775</x:v>
      </x:c>
      <x:c r="U193" s="28" t="n">
        <x:f>(O193+(G193-I193)*(Q193-O193)/(J193-I193))+(H193-K193)/(L193-K193)*((P193+(G193-I193)*(R193-P193)/(J193-I193))-(O193+(G193-I193)*(Q193-O193)/(J193-I193)))</x:f>
        <x:v>4775</x:v>
      </x:c>
      <x:c r="V193" s="32" t="n">
        <x:f>IF(AND(ISNUMBER(S193),ISNUMBER(U193)),ABS(S193-U193),IF(S193=U193,0,1))</x:f>
        <x:v>0</x:v>
      </x:c>
      <x:c r="W193" s="30" t="str">
        <x:v>PASS</x:v>
      </x:c>
      <x:c r="X193" s="28" t="str">
        <x:f>IF(V193&lt;=1E-9,"PASS","FAIL")</x:f>
        <x:v>PASS</x:v>
      </x:c>
      <x:c r="Y193" t="str">
        <x:v>Chú thích 4</x:v>
      </x:c>
      <x:c r="Z193" t="str"/>
    </x:row>
    <x:row r="194">
      <x:c r="A194" t="str">
        <x:v>G0191</x:v>
      </x:c>
      <x:c r="B194" t="str">
        <x:v>Bảng 2</x:v>
      </x:c>
      <x:c r="C194" t="str">
        <x:v>clay</x:v>
      </x:c>
      <x:c r="D194" t="str">
        <x:v>MID-2D</x:v>
      </x:c>
      <x:c r="E194" t="str">
        <x:v>{"z":4.5,"IL":0.25}</x:v>
      </x:c>
      <x:c r="F194" t="str">
        <x:v>BILINEAR-2D</x:v>
      </x:c>
      <x:c r="G194" t="n">
        <x:v>4.5</x:v>
      </x:c>
      <x:c r="H194" t="n">
        <x:v>0.25</x:v>
      </x:c>
      <x:c r="I194" t="n">
        <x:v>4</x:v>
      </x:c>
      <x:c r="J194" t="n">
        <x:v>5</x:v>
      </x:c>
      <x:c r="K194" t="n">
        <x:v>0.2</x:v>
      </x:c>
      <x:c r="L194" t="n">
        <x:v>0.3</x:v>
      </x:c>
      <x:c r="M194"/>
      <x:c r="N194"/>
      <x:c r="O194" t="n">
        <x:v>3800</x:v>
      </x:c>
      <x:c r="P194" t="n">
        <x:v>2500</x:v>
      </x:c>
      <x:c r="Q194" t="n">
        <x:v>4000</x:v>
      </x:c>
      <x:c r="R194" t="n">
        <x:v>2800</x:v>
      </x:c>
      <x:c r="S194" t="n">
        <x:v>3275</x:v>
      </x:c>
      <x:c r="T194" t="n">
        <x:v>3275</x:v>
      </x:c>
      <x:c r="U194" s="28" t="n">
        <x:f>(O194+(G194-I194)*(Q194-O194)/(J194-I194))+(H194-K194)/(L194-K194)*((P194+(G194-I194)*(R194-P194)/(J194-I194))-(O194+(G194-I194)*(Q194-O194)/(J194-I194)))</x:f>
        <x:v>3275</x:v>
      </x:c>
      <x:c r="V194" s="32" t="n">
        <x:f>IF(AND(ISNUMBER(S194),ISNUMBER(U194)),ABS(S194-U194),IF(S194=U194,0,1))</x:f>
        <x:v>0</x:v>
      </x:c>
      <x:c r="W194" s="30" t="str">
        <x:v>PASS</x:v>
      </x:c>
      <x:c r="X194" s="28" t="str">
        <x:f>IF(V194&lt;=1E-9,"PASS","FAIL")</x:f>
        <x:v>PASS</x:v>
      </x:c>
      <x:c r="Y194" t="str">
        <x:v>Chú thích 4</x:v>
      </x:c>
      <x:c r="Z194" t="str"/>
    </x:row>
    <x:row r="195">
      <x:c r="A195" t="str">
        <x:v>G0192</x:v>
      </x:c>
      <x:c r="B195" t="str">
        <x:v>Bảng 2</x:v>
      </x:c>
      <x:c r="C195" t="str">
        <x:v>clay</x:v>
      </x:c>
      <x:c r="D195" t="str">
        <x:v>MID-2D</x:v>
      </x:c>
      <x:c r="E195" t="str">
        <x:v>{"z":4.5,"IL":0.35}</x:v>
      </x:c>
      <x:c r="F195" t="str">
        <x:v>BILINEAR-2D</x:v>
      </x:c>
      <x:c r="G195" t="n">
        <x:v>4.5</x:v>
      </x:c>
      <x:c r="H195" t="n">
        <x:v>0.35</x:v>
      </x:c>
      <x:c r="I195" t="n">
        <x:v>4</x:v>
      </x:c>
      <x:c r="J195" t="n">
        <x:v>5</x:v>
      </x:c>
      <x:c r="K195" t="n">
        <x:v>0.3</x:v>
      </x:c>
      <x:c r="L195" t="n">
        <x:v>0.4</x:v>
      </x:c>
      <x:c r="M195"/>
      <x:c r="N195"/>
      <x:c r="O195" t="n">
        <x:v>2500</x:v>
      </x:c>
      <x:c r="P195" t="n">
        <x:v>1600</x:v>
      </x:c>
      <x:c r="Q195" t="n">
        <x:v>2800</x:v>
      </x:c>
      <x:c r="R195" t="n">
        <x:v>2000</x:v>
      </x:c>
      <x:c r="S195" t="n">
        <x:v>2225</x:v>
      </x:c>
      <x:c r="T195" t="n">
        <x:v>2225</x:v>
      </x:c>
      <x:c r="U195" s="28" t="n">
        <x:f>(O195+(G195-I195)*(Q195-O195)/(J195-I195))+(H195-K195)/(L195-K195)*((P195+(G195-I195)*(R195-P195)/(J195-I195))-(O195+(G195-I195)*(Q195-O195)/(J195-I195)))</x:f>
        <x:v>2225</x:v>
      </x:c>
      <x:c r="V195" s="32" t="n">
        <x:f>IF(AND(ISNUMBER(S195),ISNUMBER(U195)),ABS(S195-U195),IF(S195=U195,0,1))</x:f>
        <x:v>0</x:v>
      </x:c>
      <x:c r="W195" s="30" t="str">
        <x:v>PASS</x:v>
      </x:c>
      <x:c r="X195" s="28" t="str">
        <x:f>IF(V195&lt;=1E-9,"PASS","FAIL")</x:f>
        <x:v>PASS</x:v>
      </x:c>
      <x:c r="Y195" t="str">
        <x:v>Chú thích 4</x:v>
      </x:c>
      <x:c r="Z195" t="str"/>
    </x:row>
    <x:row r="196">
      <x:c r="A196" t="str">
        <x:v>G0193</x:v>
      </x:c>
      <x:c r="B196" t="str">
        <x:v>Bảng 2</x:v>
      </x:c>
      <x:c r="C196" t="str">
        <x:v>clay</x:v>
      </x:c>
      <x:c r="D196" t="str">
        <x:v>MID-2D</x:v>
      </x:c>
      <x:c r="E196" t="str">
        <x:v>{"z":4.5,"IL":0.45}</x:v>
      </x:c>
      <x:c r="F196" t="str">
        <x:v>BILINEAR-2D</x:v>
      </x:c>
      <x:c r="G196" t="n">
        <x:v>4.5</x:v>
      </x:c>
      <x:c r="H196" t="n">
        <x:v>0.45</x:v>
      </x:c>
      <x:c r="I196" t="n">
        <x:v>4</x:v>
      </x:c>
      <x:c r="J196" t="n">
        <x:v>5</x:v>
      </x:c>
      <x:c r="K196" t="n">
        <x:v>0.4</x:v>
      </x:c>
      <x:c r="L196" t="n">
        <x:v>0.5</x:v>
      </x:c>
      <x:c r="M196"/>
      <x:c r="N196"/>
      <x:c r="O196" t="n">
        <x:v>1600</x:v>
      </x:c>
      <x:c r="P196" t="n">
        <x:v>1250</x:v>
      </x:c>
      <x:c r="Q196" t="n">
        <x:v>2000</x:v>
      </x:c>
      <x:c r="R196" t="n">
        <x:v>1300</x:v>
      </x:c>
      <x:c r="S196" t="n">
        <x:v>1537.5</x:v>
      </x:c>
      <x:c r="T196" t="n">
        <x:v>1537.5</x:v>
      </x:c>
      <x:c r="U196" s="28" t="n">
        <x:f>(O196+(G196-I196)*(Q196-O196)/(J196-I196))+(H196-K196)/(L196-K196)*((P196+(G196-I196)*(R196-P196)/(J196-I196))-(O196+(G196-I196)*(Q196-O196)/(J196-I196)))</x:f>
        <x:v>1537.5</x:v>
      </x:c>
      <x:c r="V196" s="32" t="n">
        <x:f>IF(AND(ISNUMBER(S196),ISNUMBER(U196)),ABS(S196-U196),IF(S196=U196,0,1))</x:f>
        <x:v>0</x:v>
      </x:c>
      <x:c r="W196" s="30" t="str">
        <x:v>PASS</x:v>
      </x:c>
      <x:c r="X196" s="28" t="str">
        <x:f>IF(V196&lt;=1E-9,"PASS","FAIL")</x:f>
        <x:v>PASS</x:v>
      </x:c>
      <x:c r="Y196" t="str">
        <x:v>Chú thích 4</x:v>
      </x:c>
      <x:c r="Z196" t="str"/>
    </x:row>
    <x:row r="197">
      <x:c r="A197" t="str">
        <x:v>G0194</x:v>
      </x:c>
      <x:c r="B197" t="str">
        <x:v>Bảng 2</x:v>
      </x:c>
      <x:c r="C197" t="str">
        <x:v>clay</x:v>
      </x:c>
      <x:c r="D197" t="str">
        <x:v>MID-2D</x:v>
      </x:c>
      <x:c r="E197" t="str">
        <x:v>{"z":4.5,"IL":0.55}</x:v>
      </x:c>
      <x:c r="F197" t="str">
        <x:v>BILINEAR-2D</x:v>
      </x:c>
      <x:c r="G197" t="n">
        <x:v>4.5</x:v>
      </x:c>
      <x:c r="H197" t="n">
        <x:v>0.55</x:v>
      </x:c>
      <x:c r="I197" t="n">
        <x:v>4</x:v>
      </x:c>
      <x:c r="J197" t="n">
        <x:v>5</x:v>
      </x:c>
      <x:c r="K197" t="n">
        <x:v>0.5</x:v>
      </x:c>
      <x:c r="L197" t="n">
        <x:v>0.6</x:v>
      </x:c>
      <x:c r="M197"/>
      <x:c r="N197"/>
      <x:c r="O197" t="n">
        <x:v>1250</x:v>
      </x:c>
      <x:c r="P197" t="n">
        <x:v>700</x:v>
      </x:c>
      <x:c r="Q197" t="n">
        <x:v>1300</x:v>
      </x:c>
      <x:c r="R197" t="n">
        <x:v>800</x:v>
      </x:c>
      <x:c r="S197" t="n">
        <x:v>1012.4999999999998</x:v>
      </x:c>
      <x:c r="T197" t="n">
        <x:v>1012.4999999999998</x:v>
      </x:c>
      <x:c r="U197" s="28" t="n">
        <x:f>(O197+(G197-I197)*(Q197-O197)/(J197-I197))+(H197-K197)/(L197-K197)*((P197+(G197-I197)*(R197-P197)/(J197-I197))-(O197+(G197-I197)*(Q197-O197)/(J197-I197)))</x:f>
        <x:v>1012.4999999999998</x:v>
      </x:c>
      <x:c r="V197" s="32" t="n">
        <x:f>IF(AND(ISNUMBER(S197),ISNUMBER(U197)),ABS(S197-U197),IF(S197=U197,0,1))</x:f>
        <x:v>0</x:v>
      </x:c>
      <x:c r="W197" s="30" t="str">
        <x:v>PASS</x:v>
      </x:c>
      <x:c r="X197" s="28" t="str">
        <x:f>IF(V197&lt;=1E-9,"PASS","FAIL")</x:f>
        <x:v>PASS</x:v>
      </x:c>
      <x:c r="Y197" t="str">
        <x:v>Chú thích 4</x:v>
      </x:c>
      <x:c r="Z197" t="str"/>
    </x:row>
    <x:row r="198">
      <x:c r="A198" t="str">
        <x:v>G0195</x:v>
      </x:c>
      <x:c r="B198" t="str">
        <x:v>Bảng 2</x:v>
      </x:c>
      <x:c r="C198" t="str">
        <x:v>clay</x:v>
      </x:c>
      <x:c r="D198" t="str">
        <x:v>MID-2D</x:v>
      </x:c>
      <x:c r="E198" t="str">
        <x:v>{"z":6,"IL":0.05}</x:v>
      </x:c>
      <x:c r="F198" t="str">
        <x:v>BILINEAR-2D</x:v>
      </x:c>
      <x:c r="G198" t="n">
        <x:v>6</x:v>
      </x:c>
      <x:c r="H198" t="n">
        <x:v>0.05</x:v>
      </x:c>
      <x:c r="I198" t="n">
        <x:v>5</x:v>
      </x:c>
      <x:c r="J198" t="n">
        <x:v>7</x:v>
      </x:c>
      <x:c r="K198" t="n">
        <x:v>0</x:v>
      </x:c>
      <x:c r="L198" t="n">
        <x:v>0.1</x:v>
      </x:c>
      <x:c r="M198"/>
      <x:c r="N198"/>
      <x:c r="O198" t="n">
        <x:v>8800</x:v>
      </x:c>
      <x:c r="P198" t="n">
        <x:v>6200</x:v>
      </x:c>
      <x:c r="Q198" t="n">
        <x:v>9700</x:v>
      </x:c>
      <x:c r="R198" t="n">
        <x:v>6900</x:v>
      </x:c>
      <x:c r="S198" t="n">
        <x:v>7900</x:v>
      </x:c>
      <x:c r="T198" t="n">
        <x:v>7900</x:v>
      </x:c>
      <x:c r="U198" s="28" t="n">
        <x:f>(O198+(G198-I198)*(Q198-O198)/(J198-I198))+(H198-K198)/(L198-K198)*((P198+(G198-I198)*(R198-P198)/(J198-I198))-(O198+(G198-I198)*(Q198-O198)/(J198-I198)))</x:f>
        <x:v>7900</x:v>
      </x:c>
      <x:c r="V198" s="32" t="n">
        <x:f>IF(AND(ISNUMBER(S198),ISNUMBER(U198)),ABS(S198-U198),IF(S198=U198,0,1))</x:f>
        <x:v>0</x:v>
      </x:c>
      <x:c r="W198" s="30" t="str">
        <x:v>PASS</x:v>
      </x:c>
      <x:c r="X198" s="28" t="str">
        <x:f>IF(V198&lt;=1E-9,"PASS","FAIL")</x:f>
        <x:v>PASS</x:v>
      </x:c>
      <x:c r="Y198" t="str">
        <x:v>Chú thích 4</x:v>
      </x:c>
      <x:c r="Z198" t="str"/>
    </x:row>
    <x:row r="199">
      <x:c r="A199" t="str">
        <x:v>G0196</x:v>
      </x:c>
      <x:c r="B199" t="str">
        <x:v>Bảng 2</x:v>
      </x:c>
      <x:c r="C199" t="str">
        <x:v>clay</x:v>
      </x:c>
      <x:c r="D199" t="str">
        <x:v>MID-2D</x:v>
      </x:c>
      <x:c r="E199" t="str">
        <x:v>{"z":6,"IL":0.15000000000000002}</x:v>
      </x:c>
      <x:c r="F199" t="str">
        <x:v>BILINEAR-2D</x:v>
      </x:c>
      <x:c r="G199" t="n">
        <x:v>6</x:v>
      </x:c>
      <x:c r="H199" t="n">
        <x:v>0.15000000000000002</x:v>
      </x:c>
      <x:c r="I199" t="n">
        <x:v>5</x:v>
      </x:c>
      <x:c r="J199" t="n">
        <x:v>7</x:v>
      </x:c>
      <x:c r="K199" t="n">
        <x:v>0.1</x:v>
      </x:c>
      <x:c r="L199" t="n">
        <x:v>0.2</x:v>
      </x:c>
      <x:c r="M199"/>
      <x:c r="N199"/>
      <x:c r="O199" t="n">
        <x:v>6200</x:v>
      </x:c>
      <x:c r="P199" t="n">
        <x:v>4000</x:v>
      </x:c>
      <x:c r="Q199" t="n">
        <x:v>6900</x:v>
      </x:c>
      <x:c r="R199" t="n">
        <x:v>4300</x:v>
      </x:c>
      <x:c r="S199" t="n">
        <x:v>5350</x:v>
      </x:c>
      <x:c r="T199" t="n">
        <x:v>5350</x:v>
      </x:c>
      <x:c r="U199" s="28" t="n">
        <x:f>(O199+(G199-I199)*(Q199-O199)/(J199-I199))+(H199-K199)/(L199-K199)*((P199+(G199-I199)*(R199-P199)/(J199-I199))-(O199+(G199-I199)*(Q199-O199)/(J199-I199)))</x:f>
        <x:v>5350</x:v>
      </x:c>
      <x:c r="V199" s="32" t="n">
        <x:f>IF(AND(ISNUMBER(S199),ISNUMBER(U199)),ABS(S199-U199),IF(S199=U199,0,1))</x:f>
        <x:v>0</x:v>
      </x:c>
      <x:c r="W199" s="30" t="str">
        <x:v>PASS</x:v>
      </x:c>
      <x:c r="X199" s="28" t="str">
        <x:f>IF(V199&lt;=1E-9,"PASS","FAIL")</x:f>
        <x:v>PASS</x:v>
      </x:c>
      <x:c r="Y199" t="str">
        <x:v>Chú thích 4</x:v>
      </x:c>
      <x:c r="Z199" t="str"/>
    </x:row>
    <x:row r="200">
      <x:c r="A200" t="str">
        <x:v>G0197</x:v>
      </x:c>
      <x:c r="B200" t="str">
        <x:v>Bảng 2</x:v>
      </x:c>
      <x:c r="C200" t="str">
        <x:v>clay</x:v>
      </x:c>
      <x:c r="D200" t="str">
        <x:v>MID-2D</x:v>
      </x:c>
      <x:c r="E200" t="str">
        <x:v>{"z":6,"IL":0.25}</x:v>
      </x:c>
      <x:c r="F200" t="str">
        <x:v>BILINEAR-2D</x:v>
      </x:c>
      <x:c r="G200" t="n">
        <x:v>6</x:v>
      </x:c>
      <x:c r="H200" t="n">
        <x:v>0.25</x:v>
      </x:c>
      <x:c r="I200" t="n">
        <x:v>5</x:v>
      </x:c>
      <x:c r="J200" t="n">
        <x:v>7</x:v>
      </x:c>
      <x:c r="K200" t="n">
        <x:v>0.2</x:v>
      </x:c>
      <x:c r="L200" t="n">
        <x:v>0.3</x:v>
      </x:c>
      <x:c r="M200"/>
      <x:c r="N200"/>
      <x:c r="O200" t="n">
        <x:v>4000</x:v>
      </x:c>
      <x:c r="P200" t="n">
        <x:v>2800</x:v>
      </x:c>
      <x:c r="Q200" t="n">
        <x:v>4300</x:v>
      </x:c>
      <x:c r="R200" t="n">
        <x:v>3300</x:v>
      </x:c>
      <x:c r="S200" t="n">
        <x:v>3600</x:v>
      </x:c>
      <x:c r="T200" t="n">
        <x:v>3600</x:v>
      </x:c>
      <x:c r="U200" s="28" t="n">
        <x:f>(O200+(G200-I200)*(Q200-O200)/(J200-I200))+(H200-K200)/(L200-K200)*((P200+(G200-I200)*(R200-P200)/(J200-I200))-(O200+(G200-I200)*(Q200-O200)/(J200-I200)))</x:f>
        <x:v>3600</x:v>
      </x:c>
      <x:c r="V200" s="32" t="n">
        <x:f>IF(AND(ISNUMBER(S200),ISNUMBER(U200)),ABS(S200-U200),IF(S200=U200,0,1))</x:f>
        <x:v>0</x:v>
      </x:c>
      <x:c r="W200" s="30" t="str">
        <x:v>PASS</x:v>
      </x:c>
      <x:c r="X200" s="28" t="str">
        <x:f>IF(V200&lt;=1E-9,"PASS","FAIL")</x:f>
        <x:v>PASS</x:v>
      </x:c>
      <x:c r="Y200" t="str">
        <x:v>Chú thích 4</x:v>
      </x:c>
      <x:c r="Z200" t="str"/>
    </x:row>
    <x:row r="201">
      <x:c r="A201" t="str">
        <x:v>G0198</x:v>
      </x:c>
      <x:c r="B201" t="str">
        <x:v>Bảng 2</x:v>
      </x:c>
      <x:c r="C201" t="str">
        <x:v>clay</x:v>
      </x:c>
      <x:c r="D201" t="str">
        <x:v>MID-2D</x:v>
      </x:c>
      <x:c r="E201" t="str">
        <x:v>{"z":6,"IL":0.35}</x:v>
      </x:c>
      <x:c r="F201" t="str">
        <x:v>BILINEAR-2D</x:v>
      </x:c>
      <x:c r="G201" t="n">
        <x:v>6</x:v>
      </x:c>
      <x:c r="H201" t="n">
        <x:v>0.35</x:v>
      </x:c>
      <x:c r="I201" t="n">
        <x:v>5</x:v>
      </x:c>
      <x:c r="J201" t="n">
        <x:v>7</x:v>
      </x:c>
      <x:c r="K201" t="n">
        <x:v>0.3</x:v>
      </x:c>
      <x:c r="L201" t="n">
        <x:v>0.4</x:v>
      </x:c>
      <x:c r="M201"/>
      <x:c r="N201"/>
      <x:c r="O201" t="n">
        <x:v>2800</x:v>
      </x:c>
      <x:c r="P201" t="n">
        <x:v>2000</x:v>
      </x:c>
      <x:c r="Q201" t="n">
        <x:v>3300</x:v>
      </x:c>
      <x:c r="R201" t="n">
        <x:v>2200</x:v>
      </x:c>
      <x:c r="S201" t="n">
        <x:v>2575.0000000000005</x:v>
      </x:c>
      <x:c r="T201" t="n">
        <x:v>2575.0000000000005</x:v>
      </x:c>
      <x:c r="U201" s="28" t="n">
        <x:f>(O201+(G201-I201)*(Q201-O201)/(J201-I201))+(H201-K201)/(L201-K201)*((P201+(G201-I201)*(R201-P201)/(J201-I201))-(O201+(G201-I201)*(Q201-O201)/(J201-I201)))</x:f>
        <x:v>2575.0000000000005</x:v>
      </x:c>
      <x:c r="V201" s="32" t="n">
        <x:f>IF(AND(ISNUMBER(S201),ISNUMBER(U201)),ABS(S201-U201),IF(S201=U201,0,1))</x:f>
        <x:v>0</x:v>
      </x:c>
      <x:c r="W201" s="30" t="str">
        <x:v>PASS</x:v>
      </x:c>
      <x:c r="X201" s="28" t="str">
        <x:f>IF(V201&lt;=1E-9,"PASS","FAIL")</x:f>
        <x:v>PASS</x:v>
      </x:c>
      <x:c r="Y201" t="str">
        <x:v>Chú thích 4</x:v>
      </x:c>
      <x:c r="Z201" t="str"/>
    </x:row>
    <x:row r="202">
      <x:c r="A202" t="str">
        <x:v>G0199</x:v>
      </x:c>
      <x:c r="B202" t="str">
        <x:v>Bảng 2</x:v>
      </x:c>
      <x:c r="C202" t="str">
        <x:v>clay</x:v>
      </x:c>
      <x:c r="D202" t="str">
        <x:v>MID-2D</x:v>
      </x:c>
      <x:c r="E202" t="str">
        <x:v>{"z":6,"IL":0.45}</x:v>
      </x:c>
      <x:c r="F202" t="str">
        <x:v>BILINEAR-2D</x:v>
      </x:c>
      <x:c r="G202" t="n">
        <x:v>6</x:v>
      </x:c>
      <x:c r="H202" t="n">
        <x:v>0.45</x:v>
      </x:c>
      <x:c r="I202" t="n">
        <x:v>5</x:v>
      </x:c>
      <x:c r="J202" t="n">
        <x:v>7</x:v>
      </x:c>
      <x:c r="K202" t="n">
        <x:v>0.4</x:v>
      </x:c>
      <x:c r="L202" t="n">
        <x:v>0.5</x:v>
      </x:c>
      <x:c r="M202"/>
      <x:c r="N202"/>
      <x:c r="O202" t="n">
        <x:v>2000</x:v>
      </x:c>
      <x:c r="P202" t="n">
        <x:v>1300</x:v>
      </x:c>
      <x:c r="Q202" t="n">
        <x:v>2200</x:v>
      </x:c>
      <x:c r="R202" t="n">
        <x:v>1400</x:v>
      </x:c>
      <x:c r="S202" t="n">
        <x:v>1725</x:v>
      </x:c>
      <x:c r="T202" t="n">
        <x:v>1725</x:v>
      </x:c>
      <x:c r="U202" s="28" t="n">
        <x:f>(O202+(G202-I202)*(Q202-O202)/(J202-I202))+(H202-K202)/(L202-K202)*((P202+(G202-I202)*(R202-P202)/(J202-I202))-(O202+(G202-I202)*(Q202-O202)/(J202-I202)))</x:f>
        <x:v>1725</x:v>
      </x:c>
      <x:c r="V202" s="32" t="n">
        <x:f>IF(AND(ISNUMBER(S202),ISNUMBER(U202)),ABS(S202-U202),IF(S202=U202,0,1))</x:f>
        <x:v>0</x:v>
      </x:c>
      <x:c r="W202" s="30" t="str">
        <x:v>PASS</x:v>
      </x:c>
      <x:c r="X202" s="28" t="str">
        <x:f>IF(V202&lt;=1E-9,"PASS","FAIL")</x:f>
        <x:v>PASS</x:v>
      </x:c>
      <x:c r="Y202" t="str">
        <x:v>Chú thích 4</x:v>
      </x:c>
      <x:c r="Z202" t="str"/>
    </x:row>
    <x:row r="203">
      <x:c r="A203" t="str">
        <x:v>G0200</x:v>
      </x:c>
      <x:c r="B203" t="str">
        <x:v>Bảng 2</x:v>
      </x:c>
      <x:c r="C203" t="str">
        <x:v>clay</x:v>
      </x:c>
      <x:c r="D203" t="str">
        <x:v>MID-2D</x:v>
      </x:c>
      <x:c r="E203" t="str">
        <x:v>{"z":6,"IL":0.55}</x:v>
      </x:c>
      <x:c r="F203" t="str">
        <x:v>BILINEAR-2D</x:v>
      </x:c>
      <x:c r="G203" t="n">
        <x:v>6</x:v>
      </x:c>
      <x:c r="H203" t="n">
        <x:v>0.55</x:v>
      </x:c>
      <x:c r="I203" t="n">
        <x:v>5</x:v>
      </x:c>
      <x:c r="J203" t="n">
        <x:v>7</x:v>
      </x:c>
      <x:c r="K203" t="n">
        <x:v>0.5</x:v>
      </x:c>
      <x:c r="L203" t="n">
        <x:v>0.6</x:v>
      </x:c>
      <x:c r="M203"/>
      <x:c r="N203"/>
      <x:c r="O203" t="n">
        <x:v>1300</x:v>
      </x:c>
      <x:c r="P203" t="n">
        <x:v>800</x:v>
      </x:c>
      <x:c r="Q203" t="n">
        <x:v>1400</x:v>
      </x:c>
      <x:c r="R203" t="n">
        <x:v>850</x:v>
      </x:c>
      <x:c r="S203" t="n">
        <x:v>1087.4999999999998</x:v>
      </x:c>
      <x:c r="T203" t="n">
        <x:v>1087.4999999999998</x:v>
      </x:c>
      <x:c r="U203" s="28" t="n">
        <x:f>(O203+(G203-I203)*(Q203-O203)/(J203-I203))+(H203-K203)/(L203-K203)*((P203+(G203-I203)*(R203-P203)/(J203-I203))-(O203+(G203-I203)*(Q203-O203)/(J203-I203)))</x:f>
        <x:v>1087.4999999999998</x:v>
      </x:c>
      <x:c r="V203" s="32" t="n">
        <x:f>IF(AND(ISNUMBER(S203),ISNUMBER(U203)),ABS(S203-U203),IF(S203=U203,0,1))</x:f>
        <x:v>0</x:v>
      </x:c>
      <x:c r="W203" s="30" t="str">
        <x:v>PASS</x:v>
      </x:c>
      <x:c r="X203" s="28" t="str">
        <x:f>IF(V203&lt;=1E-9,"PASS","FAIL")</x:f>
        <x:v>PASS</x:v>
      </x:c>
      <x:c r="Y203" t="str">
        <x:v>Chú thích 4</x:v>
      </x:c>
      <x:c r="Z203" t="str"/>
    </x:row>
    <x:row r="204">
      <x:c r="A204" t="str">
        <x:v>G0201</x:v>
      </x:c>
      <x:c r="B204" t="str">
        <x:v>Bảng 2</x:v>
      </x:c>
      <x:c r="C204" t="str">
        <x:v>clay</x:v>
      </x:c>
      <x:c r="D204" t="str">
        <x:v>MID-2D</x:v>
      </x:c>
      <x:c r="E204" t="str">
        <x:v>{"z":8.5,"IL":0.05}</x:v>
      </x:c>
      <x:c r="F204" t="str">
        <x:v>BILINEAR-2D</x:v>
      </x:c>
      <x:c r="G204" t="n">
        <x:v>8.5</x:v>
      </x:c>
      <x:c r="H204" t="n">
        <x:v>0.05</x:v>
      </x:c>
      <x:c r="I204" t="n">
        <x:v>7</x:v>
      </x:c>
      <x:c r="J204" t="n">
        <x:v>10</x:v>
      </x:c>
      <x:c r="K204" t="n">
        <x:v>0</x:v>
      </x:c>
      <x:c r="L204" t="n">
        <x:v>0.1</x:v>
      </x:c>
      <x:c r="M204"/>
      <x:c r="N204"/>
      <x:c r="O204" t="n">
        <x:v>9700</x:v>
      </x:c>
      <x:c r="P204" t="n">
        <x:v>6900</x:v>
      </x:c>
      <x:c r="Q204" t="n">
        <x:v>10500</x:v>
      </x:c>
      <x:c r="R204" t="n">
        <x:v>7300</x:v>
      </x:c>
      <x:c r="S204" t="n">
        <x:v>8600</x:v>
      </x:c>
      <x:c r="T204" t="n">
        <x:v>8600</x:v>
      </x:c>
      <x:c r="U204" s="28" t="n">
        <x:f>(O204+(G204-I204)*(Q204-O204)/(J204-I204))+(H204-K204)/(L204-K204)*((P204+(G204-I204)*(R204-P204)/(J204-I204))-(O204+(G204-I204)*(Q204-O204)/(J204-I204)))</x:f>
        <x:v>8600</x:v>
      </x:c>
      <x:c r="V204" s="32" t="n">
        <x:f>IF(AND(ISNUMBER(S204),ISNUMBER(U204)),ABS(S204-U204),IF(S204=U204,0,1))</x:f>
        <x:v>0</x:v>
      </x:c>
      <x:c r="W204" s="30" t="str">
        <x:v>PASS</x:v>
      </x:c>
      <x:c r="X204" s="28" t="str">
        <x:f>IF(V204&lt;=1E-9,"PASS","FAIL")</x:f>
        <x:v>PASS</x:v>
      </x:c>
      <x:c r="Y204" t="str">
        <x:v>Chú thích 4</x:v>
      </x:c>
      <x:c r="Z204" t="str"/>
    </x:row>
    <x:row r="205">
      <x:c r="A205" t="str">
        <x:v>G0202</x:v>
      </x:c>
      <x:c r="B205" t="str">
        <x:v>Bảng 2</x:v>
      </x:c>
      <x:c r="C205" t="str">
        <x:v>clay</x:v>
      </x:c>
      <x:c r="D205" t="str">
        <x:v>MID-2D</x:v>
      </x:c>
      <x:c r="E205" t="str">
        <x:v>{"z":8.5,"IL":0.15000000000000002}</x:v>
      </x:c>
      <x:c r="F205" t="str">
        <x:v>BILINEAR-2D</x:v>
      </x:c>
      <x:c r="G205" t="n">
        <x:v>8.5</x:v>
      </x:c>
      <x:c r="H205" t="n">
        <x:v>0.15000000000000002</x:v>
      </x:c>
      <x:c r="I205" t="n">
        <x:v>7</x:v>
      </x:c>
      <x:c r="J205" t="n">
        <x:v>10</x:v>
      </x:c>
      <x:c r="K205" t="n">
        <x:v>0.1</x:v>
      </x:c>
      <x:c r="L205" t="n">
        <x:v>0.2</x:v>
      </x:c>
      <x:c r="M205"/>
      <x:c r="N205"/>
      <x:c r="O205" t="n">
        <x:v>6900</x:v>
      </x:c>
      <x:c r="P205" t="n">
        <x:v>4300</x:v>
      </x:c>
      <x:c r="Q205" t="n">
        <x:v>7300</x:v>
      </x:c>
      <x:c r="R205" t="n">
        <x:v>5000</x:v>
      </x:c>
      <x:c r="S205" t="n">
        <x:v>5875</x:v>
      </x:c>
      <x:c r="T205" t="n">
        <x:v>5875</x:v>
      </x:c>
      <x:c r="U205" s="28" t="n">
        <x:f>(O205+(G205-I205)*(Q205-O205)/(J205-I205))+(H205-K205)/(L205-K205)*((P205+(G205-I205)*(R205-P205)/(J205-I205))-(O205+(G205-I205)*(Q205-O205)/(J205-I205)))</x:f>
        <x:v>5875</x:v>
      </x:c>
      <x:c r="V205" s="32" t="n">
        <x:f>IF(AND(ISNUMBER(S205),ISNUMBER(U205)),ABS(S205-U205),IF(S205=U205,0,1))</x:f>
        <x:v>0</x:v>
      </x:c>
      <x:c r="W205" s="30" t="str">
        <x:v>PASS</x:v>
      </x:c>
      <x:c r="X205" s="28" t="str">
        <x:f>IF(V205&lt;=1E-9,"PASS","FAIL")</x:f>
        <x:v>PASS</x:v>
      </x:c>
      <x:c r="Y205" t="str">
        <x:v>Chú thích 4</x:v>
      </x:c>
      <x:c r="Z205" t="str"/>
    </x:row>
    <x:row r="206">
      <x:c r="A206" t="str">
        <x:v>G0203</x:v>
      </x:c>
      <x:c r="B206" t="str">
        <x:v>Bảng 2</x:v>
      </x:c>
      <x:c r="C206" t="str">
        <x:v>clay</x:v>
      </x:c>
      <x:c r="D206" t="str">
        <x:v>MID-2D</x:v>
      </x:c>
      <x:c r="E206" t="str">
        <x:v>{"z":8.5,"IL":0.25}</x:v>
      </x:c>
      <x:c r="F206" t="str">
        <x:v>BILINEAR-2D</x:v>
      </x:c>
      <x:c r="G206" t="n">
        <x:v>8.5</x:v>
      </x:c>
      <x:c r="H206" t="n">
        <x:v>0.25</x:v>
      </x:c>
      <x:c r="I206" t="n">
        <x:v>7</x:v>
      </x:c>
      <x:c r="J206" t="n">
        <x:v>10</x:v>
      </x:c>
      <x:c r="K206" t="n">
        <x:v>0.2</x:v>
      </x:c>
      <x:c r="L206" t="n">
        <x:v>0.3</x:v>
      </x:c>
      <x:c r="M206"/>
      <x:c r="N206"/>
      <x:c r="O206" t="n">
        <x:v>4300</x:v>
      </x:c>
      <x:c r="P206" t="n">
        <x:v>3300</x:v>
      </x:c>
      <x:c r="Q206" t="n">
        <x:v>5000</x:v>
      </x:c>
      <x:c r="R206" t="n">
        <x:v>3500</x:v>
      </x:c>
      <x:c r="S206" t="n">
        <x:v>4025</x:v>
      </x:c>
      <x:c r="T206" t="n">
        <x:v>4025</x:v>
      </x:c>
      <x:c r="U206" s="28" t="n">
        <x:f>(O206+(G206-I206)*(Q206-O206)/(J206-I206))+(H206-K206)/(L206-K206)*((P206+(G206-I206)*(R206-P206)/(J206-I206))-(O206+(G206-I206)*(Q206-O206)/(J206-I206)))</x:f>
        <x:v>4025</x:v>
      </x:c>
      <x:c r="V206" s="32" t="n">
        <x:f>IF(AND(ISNUMBER(S206),ISNUMBER(U206)),ABS(S206-U206),IF(S206=U206,0,1))</x:f>
        <x:v>0</x:v>
      </x:c>
      <x:c r="W206" s="30" t="str">
        <x:v>PASS</x:v>
      </x:c>
      <x:c r="X206" s="28" t="str">
        <x:f>IF(V206&lt;=1E-9,"PASS","FAIL")</x:f>
        <x:v>PASS</x:v>
      </x:c>
      <x:c r="Y206" t="str">
        <x:v>Chú thích 4</x:v>
      </x:c>
      <x:c r="Z206" t="str"/>
    </x:row>
    <x:row r="207">
      <x:c r="A207" t="str">
        <x:v>G0204</x:v>
      </x:c>
      <x:c r="B207" t="str">
        <x:v>Bảng 2</x:v>
      </x:c>
      <x:c r="C207" t="str">
        <x:v>clay</x:v>
      </x:c>
      <x:c r="D207" t="str">
        <x:v>MID-2D</x:v>
      </x:c>
      <x:c r="E207" t="str">
        <x:v>{"z":8.5,"IL":0.35}</x:v>
      </x:c>
      <x:c r="F207" t="str">
        <x:v>BILINEAR-2D</x:v>
      </x:c>
      <x:c r="G207" t="n">
        <x:v>8.5</x:v>
      </x:c>
      <x:c r="H207" t="n">
        <x:v>0.35</x:v>
      </x:c>
      <x:c r="I207" t="n">
        <x:v>7</x:v>
      </x:c>
      <x:c r="J207" t="n">
        <x:v>10</x:v>
      </x:c>
      <x:c r="K207" t="n">
        <x:v>0.3</x:v>
      </x:c>
      <x:c r="L207" t="n">
        <x:v>0.4</x:v>
      </x:c>
      <x:c r="M207"/>
      <x:c r="N207"/>
      <x:c r="O207" t="n">
        <x:v>3300</x:v>
      </x:c>
      <x:c r="P207" t="n">
        <x:v>2200</x:v>
      </x:c>
      <x:c r="Q207" t="n">
        <x:v>3500</x:v>
      </x:c>
      <x:c r="R207" t="n">
        <x:v>2400</x:v>
      </x:c>
      <x:c r="S207" t="n">
        <x:v>2850.0000000000005</x:v>
      </x:c>
      <x:c r="T207" t="n">
        <x:v>2850.0000000000005</x:v>
      </x:c>
      <x:c r="U207" s="28" t="n">
        <x:f>(O207+(G207-I207)*(Q207-O207)/(J207-I207))+(H207-K207)/(L207-K207)*((P207+(G207-I207)*(R207-P207)/(J207-I207))-(O207+(G207-I207)*(Q207-O207)/(J207-I207)))</x:f>
        <x:v>2850.0000000000005</x:v>
      </x:c>
      <x:c r="V207" s="32" t="n">
        <x:f>IF(AND(ISNUMBER(S207),ISNUMBER(U207)),ABS(S207-U207),IF(S207=U207,0,1))</x:f>
        <x:v>0</x:v>
      </x:c>
      <x:c r="W207" s="30" t="str">
        <x:v>PASS</x:v>
      </x:c>
      <x:c r="X207" s="28" t="str">
        <x:f>IF(V207&lt;=1E-9,"PASS","FAIL")</x:f>
        <x:v>PASS</x:v>
      </x:c>
      <x:c r="Y207" t="str">
        <x:v>Chú thích 4</x:v>
      </x:c>
      <x:c r="Z207" t="str"/>
    </x:row>
    <x:row r="208">
      <x:c r="A208" t="str">
        <x:v>G0205</x:v>
      </x:c>
      <x:c r="B208" t="str">
        <x:v>Bảng 2</x:v>
      </x:c>
      <x:c r="C208" t="str">
        <x:v>clay</x:v>
      </x:c>
      <x:c r="D208" t="str">
        <x:v>MID-2D</x:v>
      </x:c>
      <x:c r="E208" t="str">
        <x:v>{"z":8.5,"IL":0.45}</x:v>
      </x:c>
      <x:c r="F208" t="str">
        <x:v>BILINEAR-2D</x:v>
      </x:c>
      <x:c r="G208" t="n">
        <x:v>8.5</x:v>
      </x:c>
      <x:c r="H208" t="n">
        <x:v>0.45</x:v>
      </x:c>
      <x:c r="I208" t="n">
        <x:v>7</x:v>
      </x:c>
      <x:c r="J208" t="n">
        <x:v>10</x:v>
      </x:c>
      <x:c r="K208" t="n">
        <x:v>0.4</x:v>
      </x:c>
      <x:c r="L208" t="n">
        <x:v>0.5</x:v>
      </x:c>
      <x:c r="M208"/>
      <x:c r="N208"/>
      <x:c r="O208" t="n">
        <x:v>2200</x:v>
      </x:c>
      <x:c r="P208" t="n">
        <x:v>1400</x:v>
      </x:c>
      <x:c r="Q208" t="n">
        <x:v>2400</x:v>
      </x:c>
      <x:c r="R208" t="n">
        <x:v>1500</x:v>
      </x:c>
      <x:c r="S208" t="n">
        <x:v>1875</x:v>
      </x:c>
      <x:c r="T208" t="n">
        <x:v>1875</x:v>
      </x:c>
      <x:c r="U208" s="28" t="n">
        <x:f>(O208+(G208-I208)*(Q208-O208)/(J208-I208))+(H208-K208)/(L208-K208)*((P208+(G208-I208)*(R208-P208)/(J208-I208))-(O208+(G208-I208)*(Q208-O208)/(J208-I208)))</x:f>
        <x:v>1875</x:v>
      </x:c>
      <x:c r="V208" s="32" t="n">
        <x:f>IF(AND(ISNUMBER(S208),ISNUMBER(U208)),ABS(S208-U208),IF(S208=U208,0,1))</x:f>
        <x:v>0</x:v>
      </x:c>
      <x:c r="W208" s="30" t="str">
        <x:v>PASS</x:v>
      </x:c>
      <x:c r="X208" s="28" t="str">
        <x:f>IF(V208&lt;=1E-9,"PASS","FAIL")</x:f>
        <x:v>PASS</x:v>
      </x:c>
      <x:c r="Y208" t="str">
        <x:v>Chú thích 4</x:v>
      </x:c>
      <x:c r="Z208" t="str"/>
    </x:row>
    <x:row r="209">
      <x:c r="A209" t="str">
        <x:v>G0206</x:v>
      </x:c>
      <x:c r="B209" t="str">
        <x:v>Bảng 2</x:v>
      </x:c>
      <x:c r="C209" t="str">
        <x:v>clay</x:v>
      </x:c>
      <x:c r="D209" t="str">
        <x:v>MID-2D</x:v>
      </x:c>
      <x:c r="E209" t="str">
        <x:v>{"z":8.5,"IL":0.55}</x:v>
      </x:c>
      <x:c r="F209" t="str">
        <x:v>BILINEAR-2D</x:v>
      </x:c>
      <x:c r="G209" t="n">
        <x:v>8.5</x:v>
      </x:c>
      <x:c r="H209" t="n">
        <x:v>0.55</x:v>
      </x:c>
      <x:c r="I209" t="n">
        <x:v>7</x:v>
      </x:c>
      <x:c r="J209" t="n">
        <x:v>10</x:v>
      </x:c>
      <x:c r="K209" t="n">
        <x:v>0.5</x:v>
      </x:c>
      <x:c r="L209" t="n">
        <x:v>0.6</x:v>
      </x:c>
      <x:c r="M209"/>
      <x:c r="N209"/>
      <x:c r="O209" t="n">
        <x:v>1400</x:v>
      </x:c>
      <x:c r="P209" t="n">
        <x:v>850</x:v>
      </x:c>
      <x:c r="Q209" t="n">
        <x:v>1500</x:v>
      </x:c>
      <x:c r="R209" t="n">
        <x:v>900</x:v>
      </x:c>
      <x:c r="S209" t="n">
        <x:v>1162.4999999999995</x:v>
      </x:c>
      <x:c r="T209" t="n">
        <x:v>1162.4999999999995</x:v>
      </x:c>
      <x:c r="U209" s="28" t="n">
        <x:f>(O209+(G209-I209)*(Q209-O209)/(J209-I209))+(H209-K209)/(L209-K209)*((P209+(G209-I209)*(R209-P209)/(J209-I209))-(O209+(G209-I209)*(Q209-O209)/(J209-I209)))</x:f>
        <x:v>1162.4999999999995</x:v>
      </x:c>
      <x:c r="V209" s="32" t="n">
        <x:f>IF(AND(ISNUMBER(S209),ISNUMBER(U209)),ABS(S209-U209),IF(S209=U209,0,1))</x:f>
        <x:v>0</x:v>
      </x:c>
      <x:c r="W209" s="30" t="str">
        <x:v>PASS</x:v>
      </x:c>
      <x:c r="X209" s="28" t="str">
        <x:f>IF(V209&lt;=1E-9,"PASS","FAIL")</x:f>
        <x:v>PASS</x:v>
      </x:c>
      <x:c r="Y209" t="str">
        <x:v>Chú thích 4</x:v>
      </x:c>
      <x:c r="Z209" t="str"/>
    </x:row>
    <x:row r="210">
      <x:c r="A210" t="str">
        <x:v>G0207</x:v>
      </x:c>
      <x:c r="B210" t="str">
        <x:v>Bảng 2</x:v>
      </x:c>
      <x:c r="C210" t="str">
        <x:v>clay</x:v>
      </x:c>
      <x:c r="D210" t="str">
        <x:v>MID-2D</x:v>
      </x:c>
      <x:c r="E210" t="str">
        <x:v>{"z":12.5,"IL":0.05}</x:v>
      </x:c>
      <x:c r="F210" t="str">
        <x:v>BILINEAR-2D</x:v>
      </x:c>
      <x:c r="G210" t="n">
        <x:v>12.5</x:v>
      </x:c>
      <x:c r="H210" t="n">
        <x:v>0.05</x:v>
      </x:c>
      <x:c r="I210" t="n">
        <x:v>10</x:v>
      </x:c>
      <x:c r="J210" t="n">
        <x:v>15</x:v>
      </x:c>
      <x:c r="K210" t="n">
        <x:v>0</x:v>
      </x:c>
      <x:c r="L210" t="n">
        <x:v>0.1</x:v>
      </x:c>
      <x:c r="M210"/>
      <x:c r="N210"/>
      <x:c r="O210" t="n">
        <x:v>10500</x:v>
      </x:c>
      <x:c r="P210" t="n">
        <x:v>7300</x:v>
      </x:c>
      <x:c r="Q210" t="n">
        <x:v>11700</x:v>
      </x:c>
      <x:c r="R210" t="n">
        <x:v>7500</x:v>
      </x:c>
      <x:c r="S210" t="n">
        <x:v>9250</x:v>
      </x:c>
      <x:c r="T210" t="n">
        <x:v>9250</x:v>
      </x:c>
      <x:c r="U210" s="28" t="n">
        <x:f>(O210+(G210-I210)*(Q210-O210)/(J210-I210))+(H210-K210)/(L210-K210)*((P210+(G210-I210)*(R210-P210)/(J210-I210))-(O210+(G210-I210)*(Q210-O210)/(J210-I210)))</x:f>
        <x:v>9250</x:v>
      </x:c>
      <x:c r="V210" s="32" t="n">
        <x:f>IF(AND(ISNUMBER(S210),ISNUMBER(U210)),ABS(S210-U210),IF(S210=U210,0,1))</x:f>
        <x:v>0</x:v>
      </x:c>
      <x:c r="W210" s="30" t="str">
        <x:v>PASS</x:v>
      </x:c>
      <x:c r="X210" s="28" t="str">
        <x:f>IF(V210&lt;=1E-9,"PASS","FAIL")</x:f>
        <x:v>PASS</x:v>
      </x:c>
      <x:c r="Y210" t="str">
        <x:v>Chú thích 4</x:v>
      </x:c>
      <x:c r="Z210" t="str"/>
    </x:row>
    <x:row r="211">
      <x:c r="A211" t="str">
        <x:v>G0208</x:v>
      </x:c>
      <x:c r="B211" t="str">
        <x:v>Bảng 2</x:v>
      </x:c>
      <x:c r="C211" t="str">
        <x:v>clay</x:v>
      </x:c>
      <x:c r="D211" t="str">
        <x:v>MID-2D</x:v>
      </x:c>
      <x:c r="E211" t="str">
        <x:v>{"z":12.5,"IL":0.15000000000000002}</x:v>
      </x:c>
      <x:c r="F211" t="str">
        <x:v>BILINEAR-2D</x:v>
      </x:c>
      <x:c r="G211" t="n">
        <x:v>12.5</x:v>
      </x:c>
      <x:c r="H211" t="n">
        <x:v>0.15000000000000002</x:v>
      </x:c>
      <x:c r="I211" t="n">
        <x:v>10</x:v>
      </x:c>
      <x:c r="J211" t="n">
        <x:v>15</x:v>
      </x:c>
      <x:c r="K211" t="n">
        <x:v>0.1</x:v>
      </x:c>
      <x:c r="L211" t="n">
        <x:v>0.2</x:v>
      </x:c>
      <x:c r="M211"/>
      <x:c r="N211"/>
      <x:c r="O211" t="n">
        <x:v>7300</x:v>
      </x:c>
      <x:c r="P211" t="n">
        <x:v>5000</x:v>
      </x:c>
      <x:c r="Q211" t="n">
        <x:v>7500</x:v>
      </x:c>
      <x:c r="R211" t="n">
        <x:v>5600</x:v>
      </x:c>
      <x:c r="S211" t="n">
        <x:v>6350</x:v>
      </x:c>
      <x:c r="T211" t="n">
        <x:v>6350</x:v>
      </x:c>
      <x:c r="U211" s="28" t="n">
        <x:f>(O211+(G211-I211)*(Q211-O211)/(J211-I211))+(H211-K211)/(L211-K211)*((P211+(G211-I211)*(R211-P211)/(J211-I211))-(O211+(G211-I211)*(Q211-O211)/(J211-I211)))</x:f>
        <x:v>6350</x:v>
      </x:c>
      <x:c r="V211" s="32" t="n">
        <x:f>IF(AND(ISNUMBER(S211),ISNUMBER(U211)),ABS(S211-U211),IF(S211=U211,0,1))</x:f>
        <x:v>0</x:v>
      </x:c>
      <x:c r="W211" s="30" t="str">
        <x:v>PASS</x:v>
      </x:c>
      <x:c r="X211" s="28" t="str">
        <x:f>IF(V211&lt;=1E-9,"PASS","FAIL")</x:f>
        <x:v>PASS</x:v>
      </x:c>
      <x:c r="Y211" t="str">
        <x:v>Chú thích 4</x:v>
      </x:c>
      <x:c r="Z211" t="str"/>
    </x:row>
    <x:row r="212">
      <x:c r="A212" t="str">
        <x:v>G0209</x:v>
      </x:c>
      <x:c r="B212" t="str">
        <x:v>Bảng 2</x:v>
      </x:c>
      <x:c r="C212" t="str">
        <x:v>clay</x:v>
      </x:c>
      <x:c r="D212" t="str">
        <x:v>MID-2D</x:v>
      </x:c>
      <x:c r="E212" t="str">
        <x:v>{"z":12.5,"IL":0.25}</x:v>
      </x:c>
      <x:c r="F212" t="str">
        <x:v>BILINEAR-2D</x:v>
      </x:c>
      <x:c r="G212" t="n">
        <x:v>12.5</x:v>
      </x:c>
      <x:c r="H212" t="n">
        <x:v>0.25</x:v>
      </x:c>
      <x:c r="I212" t="n">
        <x:v>10</x:v>
      </x:c>
      <x:c r="J212" t="n">
        <x:v>15</x:v>
      </x:c>
      <x:c r="K212" t="n">
        <x:v>0.2</x:v>
      </x:c>
      <x:c r="L212" t="n">
        <x:v>0.3</x:v>
      </x:c>
      <x:c r="M212"/>
      <x:c r="N212"/>
      <x:c r="O212" t="n">
        <x:v>5000</x:v>
      </x:c>
      <x:c r="P212" t="n">
        <x:v>3500</x:v>
      </x:c>
      <x:c r="Q212" t="n">
        <x:v>5600</x:v>
      </x:c>
      <x:c r="R212" t="n">
        <x:v>4000</x:v>
      </x:c>
      <x:c r="S212" t="n">
        <x:v>4525</x:v>
      </x:c>
      <x:c r="T212" t="n">
        <x:v>4525</x:v>
      </x:c>
      <x:c r="U212" s="28" t="n">
        <x:f>(O212+(G212-I212)*(Q212-O212)/(J212-I212))+(H212-K212)/(L212-K212)*((P212+(G212-I212)*(R212-P212)/(J212-I212))-(O212+(G212-I212)*(Q212-O212)/(J212-I212)))</x:f>
        <x:v>4525</x:v>
      </x:c>
      <x:c r="V212" s="32" t="n">
        <x:f>IF(AND(ISNUMBER(S212),ISNUMBER(U212)),ABS(S212-U212),IF(S212=U212,0,1))</x:f>
        <x:v>0</x:v>
      </x:c>
      <x:c r="W212" s="30" t="str">
        <x:v>PASS</x:v>
      </x:c>
      <x:c r="X212" s="28" t="str">
        <x:f>IF(V212&lt;=1E-9,"PASS","FAIL")</x:f>
        <x:v>PASS</x:v>
      </x:c>
      <x:c r="Y212" t="str">
        <x:v>Chú thích 4</x:v>
      </x:c>
      <x:c r="Z212" t="str"/>
    </x:row>
    <x:row r="213">
      <x:c r="A213" t="str">
        <x:v>G0210</x:v>
      </x:c>
      <x:c r="B213" t="str">
        <x:v>Bảng 2</x:v>
      </x:c>
      <x:c r="C213" t="str">
        <x:v>clay</x:v>
      </x:c>
      <x:c r="D213" t="str">
        <x:v>MID-2D</x:v>
      </x:c>
      <x:c r="E213" t="str">
        <x:v>{"z":12.5,"IL":0.35}</x:v>
      </x:c>
      <x:c r="F213" t="str">
        <x:v>BILINEAR-2D</x:v>
      </x:c>
      <x:c r="G213" t="n">
        <x:v>12.5</x:v>
      </x:c>
      <x:c r="H213" t="n">
        <x:v>0.35</x:v>
      </x:c>
      <x:c r="I213" t="n">
        <x:v>10</x:v>
      </x:c>
      <x:c r="J213" t="n">
        <x:v>15</x:v>
      </x:c>
      <x:c r="K213" t="n">
        <x:v>0.3</x:v>
      </x:c>
      <x:c r="L213" t="n">
        <x:v>0.4</x:v>
      </x:c>
      <x:c r="M213"/>
      <x:c r="N213"/>
      <x:c r="O213" t="n">
        <x:v>3500</x:v>
      </x:c>
      <x:c r="P213" t="n">
        <x:v>2400</x:v>
      </x:c>
      <x:c r="Q213" t="n">
        <x:v>4000</x:v>
      </x:c>
      <x:c r="R213" t="n">
        <x:v>2900</x:v>
      </x:c>
      <x:c r="S213" t="n">
        <x:v>3200.0000000000005</x:v>
      </x:c>
      <x:c r="T213" t="n">
        <x:v>3200.0000000000005</x:v>
      </x:c>
      <x:c r="U213" s="28" t="n">
        <x:f>(O213+(G213-I213)*(Q213-O213)/(J213-I213))+(H213-K213)/(L213-K213)*((P213+(G213-I213)*(R213-P213)/(J213-I213))-(O213+(G213-I213)*(Q213-O213)/(J213-I213)))</x:f>
        <x:v>3200.0000000000005</x:v>
      </x:c>
      <x:c r="V213" s="32" t="n">
        <x:f>IF(AND(ISNUMBER(S213),ISNUMBER(U213)),ABS(S213-U213),IF(S213=U213,0,1))</x:f>
        <x:v>0</x:v>
      </x:c>
      <x:c r="W213" s="30" t="str">
        <x:v>PASS</x:v>
      </x:c>
      <x:c r="X213" s="28" t="str">
        <x:f>IF(V213&lt;=1E-9,"PASS","FAIL")</x:f>
        <x:v>PASS</x:v>
      </x:c>
      <x:c r="Y213" t="str">
        <x:v>Chú thích 4</x:v>
      </x:c>
      <x:c r="Z213" t="str"/>
    </x:row>
    <x:row r="214">
      <x:c r="A214" t="str">
        <x:v>G0211</x:v>
      </x:c>
      <x:c r="B214" t="str">
        <x:v>Bảng 2</x:v>
      </x:c>
      <x:c r="C214" t="str">
        <x:v>clay</x:v>
      </x:c>
      <x:c r="D214" t="str">
        <x:v>MID-2D</x:v>
      </x:c>
      <x:c r="E214" t="str">
        <x:v>{"z":12.5,"IL":0.45}</x:v>
      </x:c>
      <x:c r="F214" t="str">
        <x:v>BILINEAR-2D</x:v>
      </x:c>
      <x:c r="G214" t="n">
        <x:v>12.5</x:v>
      </x:c>
      <x:c r="H214" t="n">
        <x:v>0.45</x:v>
      </x:c>
      <x:c r="I214" t="n">
        <x:v>10</x:v>
      </x:c>
      <x:c r="J214" t="n">
        <x:v>15</x:v>
      </x:c>
      <x:c r="K214" t="n">
        <x:v>0.4</x:v>
      </x:c>
      <x:c r="L214" t="n">
        <x:v>0.5</x:v>
      </x:c>
      <x:c r="M214"/>
      <x:c r="N214"/>
      <x:c r="O214" t="n">
        <x:v>2400</x:v>
      </x:c>
      <x:c r="P214" t="n">
        <x:v>1500</x:v>
      </x:c>
      <x:c r="Q214" t="n">
        <x:v>2900</x:v>
      </x:c>
      <x:c r="R214" t="n">
        <x:v>1650</x:v>
      </x:c>
      <x:c r="S214" t="n">
        <x:v>2112.5</x:v>
      </x:c>
      <x:c r="T214" t="n">
        <x:v>2112.5</x:v>
      </x:c>
      <x:c r="U214" s="28" t="n">
        <x:f>(O214+(G214-I214)*(Q214-O214)/(J214-I214))+(H214-K214)/(L214-K214)*((P214+(G214-I214)*(R214-P214)/(J214-I214))-(O214+(G214-I214)*(Q214-O214)/(J214-I214)))</x:f>
        <x:v>2112.5</x:v>
      </x:c>
      <x:c r="V214" s="32" t="n">
        <x:f>IF(AND(ISNUMBER(S214),ISNUMBER(U214)),ABS(S214-U214),IF(S214=U214,0,1))</x:f>
        <x:v>0</x:v>
      </x:c>
      <x:c r="W214" s="30" t="str">
        <x:v>PASS</x:v>
      </x:c>
      <x:c r="X214" s="28" t="str">
        <x:f>IF(V214&lt;=1E-9,"PASS","FAIL")</x:f>
        <x:v>PASS</x:v>
      </x:c>
      <x:c r="Y214" t="str">
        <x:v>Chú thích 4</x:v>
      </x:c>
      <x:c r="Z214" t="str"/>
    </x:row>
    <x:row r="215">
      <x:c r="A215" t="str">
        <x:v>G0212</x:v>
      </x:c>
      <x:c r="B215" t="str">
        <x:v>Bảng 2</x:v>
      </x:c>
      <x:c r="C215" t="str">
        <x:v>clay</x:v>
      </x:c>
      <x:c r="D215" t="str">
        <x:v>MID-2D</x:v>
      </x:c>
      <x:c r="E215" t="str">
        <x:v>{"z":12.5,"IL":0.55}</x:v>
      </x:c>
      <x:c r="F215" t="str">
        <x:v>BILINEAR-2D</x:v>
      </x:c>
      <x:c r="G215" t="n">
        <x:v>12.5</x:v>
      </x:c>
      <x:c r="H215" t="n">
        <x:v>0.55</x:v>
      </x:c>
      <x:c r="I215" t="n">
        <x:v>10</x:v>
      </x:c>
      <x:c r="J215" t="n">
        <x:v>15</x:v>
      </x:c>
      <x:c r="K215" t="n">
        <x:v>0.5</x:v>
      </x:c>
      <x:c r="L215" t="n">
        <x:v>0.6</x:v>
      </x:c>
      <x:c r="M215"/>
      <x:c r="N215"/>
      <x:c r="O215" t="n">
        <x:v>1500</x:v>
      </x:c>
      <x:c r="P215" t="n">
        <x:v>900</x:v>
      </x:c>
      <x:c r="Q215" t="n">
        <x:v>1650</x:v>
      </x:c>
      <x:c r="R215" t="n">
        <x:v>1000</x:v>
      </x:c>
      <x:c r="S215" t="n">
        <x:v>1262.4999999999995</x:v>
      </x:c>
      <x:c r="T215" t="n">
        <x:v>1262.4999999999995</x:v>
      </x:c>
      <x:c r="U215" s="28" t="n">
        <x:f>(O215+(G215-I215)*(Q215-O215)/(J215-I215))+(H215-K215)/(L215-K215)*((P215+(G215-I215)*(R215-P215)/(J215-I215))-(O215+(G215-I215)*(Q215-O215)/(J215-I215)))</x:f>
        <x:v>1262.4999999999995</x:v>
      </x:c>
      <x:c r="V215" s="32" t="n">
        <x:f>IF(AND(ISNUMBER(S215),ISNUMBER(U215)),ABS(S215-U215),IF(S215=U215,0,1))</x:f>
        <x:v>0</x:v>
      </x:c>
      <x:c r="W215" s="30" t="str">
        <x:v>PASS</x:v>
      </x:c>
      <x:c r="X215" s="28" t="str">
        <x:f>IF(V215&lt;=1E-9,"PASS","FAIL")</x:f>
        <x:v>PASS</x:v>
      </x:c>
      <x:c r="Y215" t="str">
        <x:v>Chú thích 4</x:v>
      </x:c>
      <x:c r="Z215" t="str"/>
    </x:row>
    <x:row r="216">
      <x:c r="A216" t="str">
        <x:v>G0213</x:v>
      </x:c>
      <x:c r="B216" t="str">
        <x:v>Bảng 2</x:v>
      </x:c>
      <x:c r="C216" t="str">
        <x:v>clay</x:v>
      </x:c>
      <x:c r="D216" t="str">
        <x:v>MID-2D</x:v>
      </x:c>
      <x:c r="E216" t="str">
        <x:v>{"z":17.5,"IL":0.05}</x:v>
      </x:c>
      <x:c r="F216" t="str">
        <x:v>BILINEAR-2D</x:v>
      </x:c>
      <x:c r="G216" t="n">
        <x:v>17.5</x:v>
      </x:c>
      <x:c r="H216" t="n">
        <x:v>0.05</x:v>
      </x:c>
      <x:c r="I216" t="n">
        <x:v>15</x:v>
      </x:c>
      <x:c r="J216" t="n">
        <x:v>20</x:v>
      </x:c>
      <x:c r="K216" t="n">
        <x:v>0</x:v>
      </x:c>
      <x:c r="L216" t="n">
        <x:v>0.1</x:v>
      </x:c>
      <x:c r="M216"/>
      <x:c r="N216"/>
      <x:c r="O216" t="n">
        <x:v>11700</x:v>
      </x:c>
      <x:c r="P216" t="n">
        <x:v>7500</x:v>
      </x:c>
      <x:c r="Q216" t="n">
        <x:v>12600</x:v>
      </x:c>
      <x:c r="R216" t="n">
        <x:v>8500</x:v>
      </x:c>
      <x:c r="S216" t="n">
        <x:v>10075</x:v>
      </x:c>
      <x:c r="T216" t="n">
        <x:v>10075</x:v>
      </x:c>
      <x:c r="U216" s="28" t="n">
        <x:f>(O216+(G216-I216)*(Q216-O216)/(J216-I216))+(H216-K216)/(L216-K216)*((P216+(G216-I216)*(R216-P216)/(J216-I216))-(O216+(G216-I216)*(Q216-O216)/(J216-I216)))</x:f>
        <x:v>10075</x:v>
      </x:c>
      <x:c r="V216" s="32" t="n">
        <x:f>IF(AND(ISNUMBER(S216),ISNUMBER(U216)),ABS(S216-U216),IF(S216=U216,0,1))</x:f>
        <x:v>0</x:v>
      </x:c>
      <x:c r="W216" s="30" t="str">
        <x:v>PASS</x:v>
      </x:c>
      <x:c r="X216" s="28" t="str">
        <x:f>IF(V216&lt;=1E-9,"PASS","FAIL")</x:f>
        <x:v>PASS</x:v>
      </x:c>
      <x:c r="Y216" t="str">
        <x:v>Chú thích 4</x:v>
      </x:c>
      <x:c r="Z216" t="str"/>
    </x:row>
    <x:row r="217">
      <x:c r="A217" t="str">
        <x:v>G0214</x:v>
      </x:c>
      <x:c r="B217" t="str">
        <x:v>Bảng 2</x:v>
      </x:c>
      <x:c r="C217" t="str">
        <x:v>clay</x:v>
      </x:c>
      <x:c r="D217" t="str">
        <x:v>MID-2D</x:v>
      </x:c>
      <x:c r="E217" t="str">
        <x:v>{"z":17.5,"IL":0.15000000000000002}</x:v>
      </x:c>
      <x:c r="F217" t="str">
        <x:v>BILINEAR-2D</x:v>
      </x:c>
      <x:c r="G217" t="n">
        <x:v>17.5</x:v>
      </x:c>
      <x:c r="H217" t="n">
        <x:v>0.15000000000000002</x:v>
      </x:c>
      <x:c r="I217" t="n">
        <x:v>15</x:v>
      </x:c>
      <x:c r="J217" t="n">
        <x:v>20</x:v>
      </x:c>
      <x:c r="K217" t="n">
        <x:v>0.1</x:v>
      </x:c>
      <x:c r="L217" t="n">
        <x:v>0.2</x:v>
      </x:c>
      <x:c r="M217"/>
      <x:c r="N217"/>
      <x:c r="O217" t="n">
        <x:v>7500</x:v>
      </x:c>
      <x:c r="P217" t="n">
        <x:v>5600</x:v>
      </x:c>
      <x:c r="Q217" t="n">
        <x:v>8500</x:v>
      </x:c>
      <x:c r="R217" t="n">
        <x:v>6200</x:v>
      </x:c>
      <x:c r="S217" t="n">
        <x:v>6950</x:v>
      </x:c>
      <x:c r="T217" t="n">
        <x:v>6950</x:v>
      </x:c>
      <x:c r="U217" s="28" t="n">
        <x:f>(O217+(G217-I217)*(Q217-O217)/(J217-I217))+(H217-K217)/(L217-K217)*((P217+(G217-I217)*(R217-P217)/(J217-I217))-(O217+(G217-I217)*(Q217-O217)/(J217-I217)))</x:f>
        <x:v>6950</x:v>
      </x:c>
      <x:c r="V217" s="32" t="n">
        <x:f>IF(AND(ISNUMBER(S217),ISNUMBER(U217)),ABS(S217-U217),IF(S217=U217,0,1))</x:f>
        <x:v>0</x:v>
      </x:c>
      <x:c r="W217" s="30" t="str">
        <x:v>PASS</x:v>
      </x:c>
      <x:c r="X217" s="28" t="str">
        <x:f>IF(V217&lt;=1E-9,"PASS","FAIL")</x:f>
        <x:v>PASS</x:v>
      </x:c>
      <x:c r="Y217" t="str">
        <x:v>Chú thích 4</x:v>
      </x:c>
      <x:c r="Z217" t="str"/>
    </x:row>
    <x:row r="218">
      <x:c r="A218" t="str">
        <x:v>G0215</x:v>
      </x:c>
      <x:c r="B218" t="str">
        <x:v>Bảng 2</x:v>
      </x:c>
      <x:c r="C218" t="str">
        <x:v>clay</x:v>
      </x:c>
      <x:c r="D218" t="str">
        <x:v>MID-2D</x:v>
      </x:c>
      <x:c r="E218" t="str">
        <x:v>{"z":17.5,"IL":0.25}</x:v>
      </x:c>
      <x:c r="F218" t="str">
        <x:v>BILINEAR-2D</x:v>
      </x:c>
      <x:c r="G218" t="n">
        <x:v>17.5</x:v>
      </x:c>
      <x:c r="H218" t="n">
        <x:v>0.25</x:v>
      </x:c>
      <x:c r="I218" t="n">
        <x:v>15</x:v>
      </x:c>
      <x:c r="J218" t="n">
        <x:v>20</x:v>
      </x:c>
      <x:c r="K218" t="n">
        <x:v>0.2</x:v>
      </x:c>
      <x:c r="L218" t="n">
        <x:v>0.3</x:v>
      </x:c>
      <x:c r="M218"/>
      <x:c r="N218"/>
      <x:c r="O218" t="n">
        <x:v>5600</x:v>
      </x:c>
      <x:c r="P218" t="n">
        <x:v>4000</x:v>
      </x:c>
      <x:c r="Q218" t="n">
        <x:v>6200</x:v>
      </x:c>
      <x:c r="R218" t="n">
        <x:v>4500</x:v>
      </x:c>
      <x:c r="S218" t="n">
        <x:v>5075</x:v>
      </x:c>
      <x:c r="T218" t="n">
        <x:v>5075</x:v>
      </x:c>
      <x:c r="U218" s="28" t="n">
        <x:f>(O218+(G218-I218)*(Q218-O218)/(J218-I218))+(H218-K218)/(L218-K218)*((P218+(G218-I218)*(R218-P218)/(J218-I218))-(O218+(G218-I218)*(Q218-O218)/(J218-I218)))</x:f>
        <x:v>5075</x:v>
      </x:c>
      <x:c r="V218" s="32" t="n">
        <x:f>IF(AND(ISNUMBER(S218),ISNUMBER(U218)),ABS(S218-U218),IF(S218=U218,0,1))</x:f>
        <x:v>0</x:v>
      </x:c>
      <x:c r="W218" s="30" t="str">
        <x:v>PASS</x:v>
      </x:c>
      <x:c r="X218" s="28" t="str">
        <x:f>IF(V218&lt;=1E-9,"PASS","FAIL")</x:f>
        <x:v>PASS</x:v>
      </x:c>
      <x:c r="Y218" t="str">
        <x:v>Chú thích 4</x:v>
      </x:c>
      <x:c r="Z218" t="str"/>
    </x:row>
    <x:row r="219">
      <x:c r="A219" t="str">
        <x:v>G0216</x:v>
      </x:c>
      <x:c r="B219" t="str">
        <x:v>Bảng 2</x:v>
      </x:c>
      <x:c r="C219" t="str">
        <x:v>clay</x:v>
      </x:c>
      <x:c r="D219" t="str">
        <x:v>MID-2D</x:v>
      </x:c>
      <x:c r="E219" t="str">
        <x:v>{"z":17.5,"IL":0.35}</x:v>
      </x:c>
      <x:c r="F219" t="str">
        <x:v>BILINEAR-2D</x:v>
      </x:c>
      <x:c r="G219" t="n">
        <x:v>17.5</x:v>
      </x:c>
      <x:c r="H219" t="n">
        <x:v>0.35</x:v>
      </x:c>
      <x:c r="I219" t="n">
        <x:v>15</x:v>
      </x:c>
      <x:c r="J219" t="n">
        <x:v>20</x:v>
      </x:c>
      <x:c r="K219" t="n">
        <x:v>0.3</x:v>
      </x:c>
      <x:c r="L219" t="n">
        <x:v>0.4</x:v>
      </x:c>
      <x:c r="M219"/>
      <x:c r="N219"/>
      <x:c r="O219" t="n">
        <x:v>4000</x:v>
      </x:c>
      <x:c r="P219" t="n">
        <x:v>2900</x:v>
      </x:c>
      <x:c r="Q219" t="n">
        <x:v>4500</x:v>
      </x:c>
      <x:c r="R219" t="n">
        <x:v>3200</x:v>
      </x:c>
      <x:c r="S219" t="n">
        <x:v>3650.0000000000005</x:v>
      </x:c>
      <x:c r="T219" t="n">
        <x:v>3650.0000000000005</x:v>
      </x:c>
      <x:c r="U219" s="28" t="n">
        <x:f>(O219+(G219-I219)*(Q219-O219)/(J219-I219))+(H219-K219)/(L219-K219)*((P219+(G219-I219)*(R219-P219)/(J219-I219))-(O219+(G219-I219)*(Q219-O219)/(J219-I219)))</x:f>
        <x:v>3650.0000000000005</x:v>
      </x:c>
      <x:c r="V219" s="32" t="n">
        <x:f>IF(AND(ISNUMBER(S219),ISNUMBER(U219)),ABS(S219-U219),IF(S219=U219,0,1))</x:f>
        <x:v>0</x:v>
      </x:c>
      <x:c r="W219" s="30" t="str">
        <x:v>PASS</x:v>
      </x:c>
      <x:c r="X219" s="28" t="str">
        <x:f>IF(V219&lt;=1E-9,"PASS","FAIL")</x:f>
        <x:v>PASS</x:v>
      </x:c>
      <x:c r="Y219" t="str">
        <x:v>Chú thích 4</x:v>
      </x:c>
      <x:c r="Z219" t="str"/>
    </x:row>
    <x:row r="220">
      <x:c r="A220" t="str">
        <x:v>G0217</x:v>
      </x:c>
      <x:c r="B220" t="str">
        <x:v>Bảng 2</x:v>
      </x:c>
      <x:c r="C220" t="str">
        <x:v>clay</x:v>
      </x:c>
      <x:c r="D220" t="str">
        <x:v>MID-2D</x:v>
      </x:c>
      <x:c r="E220" t="str">
        <x:v>{"z":17.5,"IL":0.45}</x:v>
      </x:c>
      <x:c r="F220" t="str">
        <x:v>BILINEAR-2D</x:v>
      </x:c>
      <x:c r="G220" t="n">
        <x:v>17.5</x:v>
      </x:c>
      <x:c r="H220" t="n">
        <x:v>0.45</x:v>
      </x:c>
      <x:c r="I220" t="n">
        <x:v>15</x:v>
      </x:c>
      <x:c r="J220" t="n">
        <x:v>20</x:v>
      </x:c>
      <x:c r="K220" t="n">
        <x:v>0.4</x:v>
      </x:c>
      <x:c r="L220" t="n">
        <x:v>0.5</x:v>
      </x:c>
      <x:c r="M220"/>
      <x:c r="N220"/>
      <x:c r="O220" t="n">
        <x:v>2900</x:v>
      </x:c>
      <x:c r="P220" t="n">
        <x:v>1650</x:v>
      </x:c>
      <x:c r="Q220" t="n">
        <x:v>3200</x:v>
      </x:c>
      <x:c r="R220" t="n">
        <x:v>1800</x:v>
      </x:c>
      <x:c r="S220" t="n">
        <x:v>2387.5</x:v>
      </x:c>
      <x:c r="T220" t="n">
        <x:v>2387.5</x:v>
      </x:c>
      <x:c r="U220" s="28" t="n">
        <x:f>(O220+(G220-I220)*(Q220-O220)/(J220-I220))+(H220-K220)/(L220-K220)*((P220+(G220-I220)*(R220-P220)/(J220-I220))-(O220+(G220-I220)*(Q220-O220)/(J220-I220)))</x:f>
        <x:v>2387.5</x:v>
      </x:c>
      <x:c r="V220" s="32" t="n">
        <x:f>IF(AND(ISNUMBER(S220),ISNUMBER(U220)),ABS(S220-U220),IF(S220=U220,0,1))</x:f>
        <x:v>0</x:v>
      </x:c>
      <x:c r="W220" s="30" t="str">
        <x:v>PASS</x:v>
      </x:c>
      <x:c r="X220" s="28" t="str">
        <x:f>IF(V220&lt;=1E-9,"PASS","FAIL")</x:f>
        <x:v>PASS</x:v>
      </x:c>
      <x:c r="Y220" t="str">
        <x:v>Chú thích 4</x:v>
      </x:c>
      <x:c r="Z220" t="str"/>
    </x:row>
    <x:row r="221">
      <x:c r="A221" t="str">
        <x:v>G0218</x:v>
      </x:c>
      <x:c r="B221" t="str">
        <x:v>Bảng 2</x:v>
      </x:c>
      <x:c r="C221" t="str">
        <x:v>clay</x:v>
      </x:c>
      <x:c r="D221" t="str">
        <x:v>MID-2D</x:v>
      </x:c>
      <x:c r="E221" t="str">
        <x:v>{"z":17.5,"IL":0.55}</x:v>
      </x:c>
      <x:c r="F221" t="str">
        <x:v>BILINEAR-2D</x:v>
      </x:c>
      <x:c r="G221" t="n">
        <x:v>17.5</x:v>
      </x:c>
      <x:c r="H221" t="n">
        <x:v>0.55</x:v>
      </x:c>
      <x:c r="I221" t="n">
        <x:v>15</x:v>
      </x:c>
      <x:c r="J221" t="n">
        <x:v>20</x:v>
      </x:c>
      <x:c r="K221" t="n">
        <x:v>0.5</x:v>
      </x:c>
      <x:c r="L221" t="n">
        <x:v>0.6</x:v>
      </x:c>
      <x:c r="M221"/>
      <x:c r="N221"/>
      <x:c r="O221" t="n">
        <x:v>1650</x:v>
      </x:c>
      <x:c r="P221" t="n">
        <x:v>1000</x:v>
      </x:c>
      <x:c r="Q221" t="n">
        <x:v>1800</x:v>
      </x:c>
      <x:c r="R221" t="n">
        <x:v>1100</x:v>
      </x:c>
      <x:c r="S221" t="n">
        <x:v>1387.4999999999995</x:v>
      </x:c>
      <x:c r="T221" t="n">
        <x:v>1387.4999999999995</x:v>
      </x:c>
      <x:c r="U221" s="28" t="n">
        <x:f>(O221+(G221-I221)*(Q221-O221)/(J221-I221))+(H221-K221)/(L221-K221)*((P221+(G221-I221)*(R221-P221)/(J221-I221))-(O221+(G221-I221)*(Q221-O221)/(J221-I221)))</x:f>
        <x:v>1387.4999999999995</x:v>
      </x:c>
      <x:c r="V221" s="32" t="n">
        <x:f>IF(AND(ISNUMBER(S221),ISNUMBER(U221)),ABS(S221-U221),IF(S221=U221,0,1))</x:f>
        <x:v>0</x:v>
      </x:c>
      <x:c r="W221" s="30" t="str">
        <x:v>PASS</x:v>
      </x:c>
      <x:c r="X221" s="28" t="str">
        <x:f>IF(V221&lt;=1E-9,"PASS","FAIL")</x:f>
        <x:v>PASS</x:v>
      </x:c>
      <x:c r="Y221" t="str">
        <x:v>Chú thích 4</x:v>
      </x:c>
      <x:c r="Z221" t="str"/>
    </x:row>
    <x:row r="222">
      <x:c r="A222" t="str">
        <x:v>G0219</x:v>
      </x:c>
      <x:c r="B222" t="str">
        <x:v>Bảng 2</x:v>
      </x:c>
      <x:c r="C222" t="str">
        <x:v>clay</x:v>
      </x:c>
      <x:c r="D222" t="str">
        <x:v>MID-2D</x:v>
      </x:c>
      <x:c r="E222" t="str">
        <x:v>{"z":22.5,"IL":0.05}</x:v>
      </x:c>
      <x:c r="F222" t="str">
        <x:v>BILINEAR-2D</x:v>
      </x:c>
      <x:c r="G222" t="n">
        <x:v>22.5</x:v>
      </x:c>
      <x:c r="H222" t="n">
        <x:v>0.05</x:v>
      </x:c>
      <x:c r="I222" t="n">
        <x:v>20</x:v>
      </x:c>
      <x:c r="J222" t="n">
        <x:v>25</x:v>
      </x:c>
      <x:c r="K222" t="n">
        <x:v>0</x:v>
      </x:c>
      <x:c r="L222" t="n">
        <x:v>0.1</x:v>
      </x:c>
      <x:c r="M222"/>
      <x:c r="N222"/>
      <x:c r="O222" t="n">
        <x:v>12600</x:v>
      </x:c>
      <x:c r="P222" t="n">
        <x:v>8500</x:v>
      </x:c>
      <x:c r="Q222" t="n">
        <x:v>13400</x:v>
      </x:c>
      <x:c r="R222" t="n">
        <x:v>9000</x:v>
      </x:c>
      <x:c r="S222" t="n">
        <x:v>10875</x:v>
      </x:c>
      <x:c r="T222" t="n">
        <x:v>10875</x:v>
      </x:c>
      <x:c r="U222" s="28" t="n">
        <x:f>(O222+(G222-I222)*(Q222-O222)/(J222-I222))+(H222-K222)/(L222-K222)*((P222+(G222-I222)*(R222-P222)/(J222-I222))-(O222+(G222-I222)*(Q222-O222)/(J222-I222)))</x:f>
        <x:v>10875</x:v>
      </x:c>
      <x:c r="V222" s="32" t="n">
        <x:f>IF(AND(ISNUMBER(S222),ISNUMBER(U222)),ABS(S222-U222),IF(S222=U222,0,1))</x:f>
        <x:v>0</x:v>
      </x:c>
      <x:c r="W222" s="30" t="str">
        <x:v>PASS</x:v>
      </x:c>
      <x:c r="X222" s="28" t="str">
        <x:f>IF(V222&lt;=1E-9,"PASS","FAIL")</x:f>
        <x:v>PASS</x:v>
      </x:c>
      <x:c r="Y222" t="str">
        <x:v>Chú thích 4</x:v>
      </x:c>
      <x:c r="Z222" t="str"/>
    </x:row>
    <x:row r="223">
      <x:c r="A223" t="str">
        <x:v>G0220</x:v>
      </x:c>
      <x:c r="B223" t="str">
        <x:v>Bảng 2</x:v>
      </x:c>
      <x:c r="C223" t="str">
        <x:v>clay</x:v>
      </x:c>
      <x:c r="D223" t="str">
        <x:v>MID-2D</x:v>
      </x:c>
      <x:c r="E223" t="str">
        <x:v>{"z":22.5,"IL":0.15000000000000002}</x:v>
      </x:c>
      <x:c r="F223" t="str">
        <x:v>BILINEAR-2D</x:v>
      </x:c>
      <x:c r="G223" t="n">
        <x:v>22.5</x:v>
      </x:c>
      <x:c r="H223" t="n">
        <x:v>0.15000000000000002</x:v>
      </x:c>
      <x:c r="I223" t="n">
        <x:v>20</x:v>
      </x:c>
      <x:c r="J223" t="n">
        <x:v>25</x:v>
      </x:c>
      <x:c r="K223" t="n">
        <x:v>0.1</x:v>
      </x:c>
      <x:c r="L223" t="n">
        <x:v>0.2</x:v>
      </x:c>
      <x:c r="M223"/>
      <x:c r="N223"/>
      <x:c r="O223" t="n">
        <x:v>8500</x:v>
      </x:c>
      <x:c r="P223" t="n">
        <x:v>6200</x:v>
      </x:c>
      <x:c r="Q223" t="n">
        <x:v>9000</x:v>
      </x:c>
      <x:c r="R223" t="n">
        <x:v>6800</x:v>
      </x:c>
      <x:c r="S223" t="n">
        <x:v>7625</x:v>
      </x:c>
      <x:c r="T223" t="n">
        <x:v>7625</x:v>
      </x:c>
      <x:c r="U223" s="28" t="n">
        <x:f>(O223+(G223-I223)*(Q223-O223)/(J223-I223))+(H223-K223)/(L223-K223)*((P223+(G223-I223)*(R223-P223)/(J223-I223))-(O223+(G223-I223)*(Q223-O223)/(J223-I223)))</x:f>
        <x:v>7625</x:v>
      </x:c>
      <x:c r="V223" s="32" t="n">
        <x:f>IF(AND(ISNUMBER(S223),ISNUMBER(U223)),ABS(S223-U223),IF(S223=U223,0,1))</x:f>
        <x:v>0</x:v>
      </x:c>
      <x:c r="W223" s="30" t="str">
        <x:v>PASS</x:v>
      </x:c>
      <x:c r="X223" s="28" t="str">
        <x:f>IF(V223&lt;=1E-9,"PASS","FAIL")</x:f>
        <x:v>PASS</x:v>
      </x:c>
      <x:c r="Y223" t="str">
        <x:v>Chú thích 4</x:v>
      </x:c>
      <x:c r="Z223" t="str"/>
    </x:row>
    <x:row r="224">
      <x:c r="A224" t="str">
        <x:v>G0221</x:v>
      </x:c>
      <x:c r="B224" t="str">
        <x:v>Bảng 2</x:v>
      </x:c>
      <x:c r="C224" t="str">
        <x:v>clay</x:v>
      </x:c>
      <x:c r="D224" t="str">
        <x:v>MID-2D</x:v>
      </x:c>
      <x:c r="E224" t="str">
        <x:v>{"z":22.5,"IL":0.25}</x:v>
      </x:c>
      <x:c r="F224" t="str">
        <x:v>BILINEAR-2D</x:v>
      </x:c>
      <x:c r="G224" t="n">
        <x:v>22.5</x:v>
      </x:c>
      <x:c r="H224" t="n">
        <x:v>0.25</x:v>
      </x:c>
      <x:c r="I224" t="n">
        <x:v>20</x:v>
      </x:c>
      <x:c r="J224" t="n">
        <x:v>25</x:v>
      </x:c>
      <x:c r="K224" t="n">
        <x:v>0.2</x:v>
      </x:c>
      <x:c r="L224" t="n">
        <x:v>0.3</x:v>
      </x:c>
      <x:c r="M224"/>
      <x:c r="N224"/>
      <x:c r="O224" t="n">
        <x:v>6200</x:v>
      </x:c>
      <x:c r="P224" t="n">
        <x:v>4500</x:v>
      </x:c>
      <x:c r="Q224" t="n">
        <x:v>6800</x:v>
      </x:c>
      <x:c r="R224" t="n">
        <x:v>5200</x:v>
      </x:c>
      <x:c r="S224" t="n">
        <x:v>5675</x:v>
      </x:c>
      <x:c r="T224" t="n">
        <x:v>5675</x:v>
      </x:c>
      <x:c r="U224" s="28" t="n">
        <x:f>(O224+(G224-I224)*(Q224-O224)/(J224-I224))+(H224-K224)/(L224-K224)*((P224+(G224-I224)*(R224-P224)/(J224-I224))-(O224+(G224-I224)*(Q224-O224)/(J224-I224)))</x:f>
        <x:v>5675</x:v>
      </x:c>
      <x:c r="V224" s="32" t="n">
        <x:f>IF(AND(ISNUMBER(S224),ISNUMBER(U224)),ABS(S224-U224),IF(S224=U224,0,1))</x:f>
        <x:v>0</x:v>
      </x:c>
      <x:c r="W224" s="30" t="str">
        <x:v>PASS</x:v>
      </x:c>
      <x:c r="X224" s="28" t="str">
        <x:f>IF(V224&lt;=1E-9,"PASS","FAIL")</x:f>
        <x:v>PASS</x:v>
      </x:c>
      <x:c r="Y224" t="str">
        <x:v>Chú thích 4</x:v>
      </x:c>
      <x:c r="Z224" t="str"/>
    </x:row>
    <x:row r="225">
      <x:c r="A225" t="str">
        <x:v>G0222</x:v>
      </x:c>
      <x:c r="B225" t="str">
        <x:v>Bảng 2</x:v>
      </x:c>
      <x:c r="C225" t="str">
        <x:v>clay</x:v>
      </x:c>
      <x:c r="D225" t="str">
        <x:v>MID-2D</x:v>
      </x:c>
      <x:c r="E225" t="str">
        <x:v>{"z":22.5,"IL":0.35}</x:v>
      </x:c>
      <x:c r="F225" t="str">
        <x:v>BILINEAR-2D</x:v>
      </x:c>
      <x:c r="G225" t="n">
        <x:v>22.5</x:v>
      </x:c>
      <x:c r="H225" t="n">
        <x:v>0.35</x:v>
      </x:c>
      <x:c r="I225" t="n">
        <x:v>20</x:v>
      </x:c>
      <x:c r="J225" t="n">
        <x:v>25</x:v>
      </x:c>
      <x:c r="K225" t="n">
        <x:v>0.3</x:v>
      </x:c>
      <x:c r="L225" t="n">
        <x:v>0.4</x:v>
      </x:c>
      <x:c r="M225"/>
      <x:c r="N225"/>
      <x:c r="O225" t="n">
        <x:v>4500</x:v>
      </x:c>
      <x:c r="P225" t="n">
        <x:v>3200</x:v>
      </x:c>
      <x:c r="Q225" t="n">
        <x:v>5200</x:v>
      </x:c>
      <x:c r="R225" t="n">
        <x:v>3500</x:v>
      </x:c>
      <x:c r="S225" t="n">
        <x:v>4100</x:v>
      </x:c>
      <x:c r="T225" t="n">
        <x:v>4100</x:v>
      </x:c>
      <x:c r="U225" s="28" t="n">
        <x:f>(O225+(G225-I225)*(Q225-O225)/(J225-I225))+(H225-K225)/(L225-K225)*((P225+(G225-I225)*(R225-P225)/(J225-I225))-(O225+(G225-I225)*(Q225-O225)/(J225-I225)))</x:f>
        <x:v>4100</x:v>
      </x:c>
      <x:c r="V225" s="32" t="n">
        <x:f>IF(AND(ISNUMBER(S225),ISNUMBER(U225)),ABS(S225-U225),IF(S225=U225,0,1))</x:f>
        <x:v>0</x:v>
      </x:c>
      <x:c r="W225" s="30" t="str">
        <x:v>PASS</x:v>
      </x:c>
      <x:c r="X225" s="28" t="str">
        <x:f>IF(V225&lt;=1E-9,"PASS","FAIL")</x:f>
        <x:v>PASS</x:v>
      </x:c>
      <x:c r="Y225" t="str">
        <x:v>Chú thích 4</x:v>
      </x:c>
      <x:c r="Z225" t="str"/>
    </x:row>
    <x:row r="226">
      <x:c r="A226" t="str">
        <x:v>G0223</x:v>
      </x:c>
      <x:c r="B226" t="str">
        <x:v>Bảng 2</x:v>
      </x:c>
      <x:c r="C226" t="str">
        <x:v>clay</x:v>
      </x:c>
      <x:c r="D226" t="str">
        <x:v>MID-2D</x:v>
      </x:c>
      <x:c r="E226" t="str">
        <x:v>{"z":22.5,"IL":0.45}</x:v>
      </x:c>
      <x:c r="F226" t="str">
        <x:v>BILINEAR-2D</x:v>
      </x:c>
      <x:c r="G226" t="n">
        <x:v>22.5</x:v>
      </x:c>
      <x:c r="H226" t="n">
        <x:v>0.45</x:v>
      </x:c>
      <x:c r="I226" t="n">
        <x:v>20</x:v>
      </x:c>
      <x:c r="J226" t="n">
        <x:v>25</x:v>
      </x:c>
      <x:c r="K226" t="n">
        <x:v>0.4</x:v>
      </x:c>
      <x:c r="L226" t="n">
        <x:v>0.5</x:v>
      </x:c>
      <x:c r="M226"/>
      <x:c r="N226"/>
      <x:c r="O226" t="n">
        <x:v>3200</x:v>
      </x:c>
      <x:c r="P226" t="n">
        <x:v>1800</x:v>
      </x:c>
      <x:c r="Q226" t="n">
        <x:v>3500</x:v>
      </x:c>
      <x:c r="R226" t="n">
        <x:v>1950</x:v>
      </x:c>
      <x:c r="S226" t="n">
        <x:v>2612.5</x:v>
      </x:c>
      <x:c r="T226" t="n">
        <x:v>2612.5</x:v>
      </x:c>
      <x:c r="U226" s="28" t="n">
        <x:f>(O226+(G226-I226)*(Q226-O226)/(J226-I226))+(H226-K226)/(L226-K226)*((P226+(G226-I226)*(R226-P226)/(J226-I226))-(O226+(G226-I226)*(Q226-O226)/(J226-I226)))</x:f>
        <x:v>2612.5</x:v>
      </x:c>
      <x:c r="V226" s="32" t="n">
        <x:f>IF(AND(ISNUMBER(S226),ISNUMBER(U226)),ABS(S226-U226),IF(S226=U226,0,1))</x:f>
        <x:v>0</x:v>
      </x:c>
      <x:c r="W226" s="30" t="str">
        <x:v>PASS</x:v>
      </x:c>
      <x:c r="X226" s="28" t="str">
        <x:f>IF(V226&lt;=1E-9,"PASS","FAIL")</x:f>
        <x:v>PASS</x:v>
      </x:c>
      <x:c r="Y226" t="str">
        <x:v>Chú thích 4</x:v>
      </x:c>
      <x:c r="Z226" t="str"/>
    </x:row>
    <x:row r="227">
      <x:c r="A227" t="str">
        <x:v>G0224</x:v>
      </x:c>
      <x:c r="B227" t="str">
        <x:v>Bảng 2</x:v>
      </x:c>
      <x:c r="C227" t="str">
        <x:v>clay</x:v>
      </x:c>
      <x:c r="D227" t="str">
        <x:v>MID-2D</x:v>
      </x:c>
      <x:c r="E227" t="str">
        <x:v>{"z":22.5,"IL":0.55}</x:v>
      </x:c>
      <x:c r="F227" t="str">
        <x:v>BILINEAR-2D</x:v>
      </x:c>
      <x:c r="G227" t="n">
        <x:v>22.5</x:v>
      </x:c>
      <x:c r="H227" t="n">
        <x:v>0.55</x:v>
      </x:c>
      <x:c r="I227" t="n">
        <x:v>20</x:v>
      </x:c>
      <x:c r="J227" t="n">
        <x:v>25</x:v>
      </x:c>
      <x:c r="K227" t="n">
        <x:v>0.5</x:v>
      </x:c>
      <x:c r="L227" t="n">
        <x:v>0.6</x:v>
      </x:c>
      <x:c r="M227"/>
      <x:c r="N227"/>
      <x:c r="O227" t="n">
        <x:v>1800</x:v>
      </x:c>
      <x:c r="P227" t="n">
        <x:v>1100</x:v>
      </x:c>
      <x:c r="Q227" t="n">
        <x:v>1950</x:v>
      </x:c>
      <x:c r="R227" t="n">
        <x:v>1200</x:v>
      </x:c>
      <x:c r="S227" t="n">
        <x:v>1512.4999999999995</x:v>
      </x:c>
      <x:c r="T227" t="n">
        <x:v>1512.4999999999995</x:v>
      </x:c>
      <x:c r="U227" s="28" t="n">
        <x:f>(O227+(G227-I227)*(Q227-O227)/(J227-I227))+(H227-K227)/(L227-K227)*((P227+(G227-I227)*(R227-P227)/(J227-I227))-(O227+(G227-I227)*(Q227-O227)/(J227-I227)))</x:f>
        <x:v>1512.4999999999995</x:v>
      </x:c>
      <x:c r="V227" s="32" t="n">
        <x:f>IF(AND(ISNUMBER(S227),ISNUMBER(U227)),ABS(S227-U227),IF(S227=U227,0,1))</x:f>
        <x:v>0</x:v>
      </x:c>
      <x:c r="W227" s="30" t="str">
        <x:v>PASS</x:v>
      </x:c>
      <x:c r="X227" s="28" t="str">
        <x:f>IF(V227&lt;=1E-9,"PASS","FAIL")</x:f>
        <x:v>PASS</x:v>
      </x:c>
      <x:c r="Y227" t="str">
        <x:v>Chú thích 4</x:v>
      </x:c>
      <x:c r="Z227" t="str"/>
    </x:row>
    <x:row r="228">
      <x:c r="A228" t="str">
        <x:v>G0225</x:v>
      </x:c>
      <x:c r="B228" t="str">
        <x:v>Bảng 2</x:v>
      </x:c>
      <x:c r="C228" t="str">
        <x:v>clay</x:v>
      </x:c>
      <x:c r="D228" t="str">
        <x:v>MID-2D</x:v>
      </x:c>
      <x:c r="E228" t="str">
        <x:v>{"z":27.5,"IL":0.05}</x:v>
      </x:c>
      <x:c r="F228" t="str">
        <x:v>BILINEAR-2D</x:v>
      </x:c>
      <x:c r="G228" t="n">
        <x:v>27.5</x:v>
      </x:c>
      <x:c r="H228" t="n">
        <x:v>0.05</x:v>
      </x:c>
      <x:c r="I228" t="n">
        <x:v>25</x:v>
      </x:c>
      <x:c r="J228" t="n">
        <x:v>30</x:v>
      </x:c>
      <x:c r="K228" t="n">
        <x:v>0</x:v>
      </x:c>
      <x:c r="L228" t="n">
        <x:v>0.1</x:v>
      </x:c>
      <x:c r="M228"/>
      <x:c r="N228"/>
      <x:c r="O228" t="n">
        <x:v>13400</x:v>
      </x:c>
      <x:c r="P228" t="n">
        <x:v>9000</x:v>
      </x:c>
      <x:c r="Q228" t="n">
        <x:v>14200</x:v>
      </x:c>
      <x:c r="R228" t="n">
        <x:v>9500</x:v>
      </x:c>
      <x:c r="S228" t="n">
        <x:v>11525</x:v>
      </x:c>
      <x:c r="T228" t="n">
        <x:v>11525</x:v>
      </x:c>
      <x:c r="U228" s="28" t="n">
        <x:f>(O228+(G228-I228)*(Q228-O228)/(J228-I228))+(H228-K228)/(L228-K228)*((P228+(G228-I228)*(R228-P228)/(J228-I228))-(O228+(G228-I228)*(Q228-O228)/(J228-I228)))</x:f>
        <x:v>11525</x:v>
      </x:c>
      <x:c r="V228" s="32" t="n">
        <x:f>IF(AND(ISNUMBER(S228),ISNUMBER(U228)),ABS(S228-U228),IF(S228=U228,0,1))</x:f>
        <x:v>0</x:v>
      </x:c>
      <x:c r="W228" s="30" t="str">
        <x:v>PASS</x:v>
      </x:c>
      <x:c r="X228" s="28" t="str">
        <x:f>IF(V228&lt;=1E-9,"PASS","FAIL")</x:f>
        <x:v>PASS</x:v>
      </x:c>
      <x:c r="Y228" t="str">
        <x:v>Chú thích 4</x:v>
      </x:c>
      <x:c r="Z228" t="str"/>
    </x:row>
    <x:row r="229">
      <x:c r="A229" t="str">
        <x:v>G0226</x:v>
      </x:c>
      <x:c r="B229" t="str">
        <x:v>Bảng 2</x:v>
      </x:c>
      <x:c r="C229" t="str">
        <x:v>clay</x:v>
      </x:c>
      <x:c r="D229" t="str">
        <x:v>MID-2D</x:v>
      </x:c>
      <x:c r="E229" t="str">
        <x:v>{"z":27.5,"IL":0.15000000000000002}</x:v>
      </x:c>
      <x:c r="F229" t="str">
        <x:v>BILINEAR-2D</x:v>
      </x:c>
      <x:c r="G229" t="n">
        <x:v>27.5</x:v>
      </x:c>
      <x:c r="H229" t="n">
        <x:v>0.15000000000000002</x:v>
      </x:c>
      <x:c r="I229" t="n">
        <x:v>25</x:v>
      </x:c>
      <x:c r="J229" t="n">
        <x:v>30</x:v>
      </x:c>
      <x:c r="K229" t="n">
        <x:v>0.1</x:v>
      </x:c>
      <x:c r="L229" t="n">
        <x:v>0.2</x:v>
      </x:c>
      <x:c r="M229"/>
      <x:c r="N229"/>
      <x:c r="O229" t="n">
        <x:v>9000</x:v>
      </x:c>
      <x:c r="P229" t="n">
        <x:v>6800</x:v>
      </x:c>
      <x:c r="Q229" t="n">
        <x:v>9500</x:v>
      </x:c>
      <x:c r="R229" t="n">
        <x:v>7400</x:v>
      </x:c>
      <x:c r="S229" t="n">
        <x:v>8175</x:v>
      </x:c>
      <x:c r="T229" t="n">
        <x:v>8175</x:v>
      </x:c>
      <x:c r="U229" s="28" t="n">
        <x:f>(O229+(G229-I229)*(Q229-O229)/(J229-I229))+(H229-K229)/(L229-K229)*((P229+(G229-I229)*(R229-P229)/(J229-I229))-(O229+(G229-I229)*(Q229-O229)/(J229-I229)))</x:f>
        <x:v>8175</x:v>
      </x:c>
      <x:c r="V229" s="32" t="n">
        <x:f>IF(AND(ISNUMBER(S229),ISNUMBER(U229)),ABS(S229-U229),IF(S229=U229,0,1))</x:f>
        <x:v>0</x:v>
      </x:c>
      <x:c r="W229" s="30" t="str">
        <x:v>PASS</x:v>
      </x:c>
      <x:c r="X229" s="28" t="str">
        <x:f>IF(V229&lt;=1E-9,"PASS","FAIL")</x:f>
        <x:v>PASS</x:v>
      </x:c>
      <x:c r="Y229" t="str">
        <x:v>Chú thích 4</x:v>
      </x:c>
      <x:c r="Z229" t="str"/>
    </x:row>
    <x:row r="230">
      <x:c r="A230" t="str">
        <x:v>G0227</x:v>
      </x:c>
      <x:c r="B230" t="str">
        <x:v>Bảng 2</x:v>
      </x:c>
      <x:c r="C230" t="str">
        <x:v>clay</x:v>
      </x:c>
      <x:c r="D230" t="str">
        <x:v>MID-2D</x:v>
      </x:c>
      <x:c r="E230" t="str">
        <x:v>{"z":27.5,"IL":0.25}</x:v>
      </x:c>
      <x:c r="F230" t="str">
        <x:v>BILINEAR-2D</x:v>
      </x:c>
      <x:c r="G230" t="n">
        <x:v>27.5</x:v>
      </x:c>
      <x:c r="H230" t="n">
        <x:v>0.25</x:v>
      </x:c>
      <x:c r="I230" t="n">
        <x:v>25</x:v>
      </x:c>
      <x:c r="J230" t="n">
        <x:v>30</x:v>
      </x:c>
      <x:c r="K230" t="n">
        <x:v>0.2</x:v>
      </x:c>
      <x:c r="L230" t="n">
        <x:v>0.3</x:v>
      </x:c>
      <x:c r="M230"/>
      <x:c r="N230"/>
      <x:c r="O230" t="n">
        <x:v>6800</x:v>
      </x:c>
      <x:c r="P230" t="n">
        <x:v>5200</x:v>
      </x:c>
      <x:c r="Q230" t="n">
        <x:v>7400</x:v>
      </x:c>
      <x:c r="R230" t="n">
        <x:v>5600</x:v>
      </x:c>
      <x:c r="S230" t="n">
        <x:v>6250</x:v>
      </x:c>
      <x:c r="T230" t="n">
        <x:v>6250</x:v>
      </x:c>
      <x:c r="U230" s="28" t="n">
        <x:f>(O230+(G230-I230)*(Q230-O230)/(J230-I230))+(H230-K230)/(L230-K230)*((P230+(G230-I230)*(R230-P230)/(J230-I230))-(O230+(G230-I230)*(Q230-O230)/(J230-I230)))</x:f>
        <x:v>6250</x:v>
      </x:c>
      <x:c r="V230" s="32" t="n">
        <x:f>IF(AND(ISNUMBER(S230),ISNUMBER(U230)),ABS(S230-U230),IF(S230=U230,0,1))</x:f>
        <x:v>0</x:v>
      </x:c>
      <x:c r="W230" s="30" t="str">
        <x:v>PASS</x:v>
      </x:c>
      <x:c r="X230" s="28" t="str">
        <x:f>IF(V230&lt;=1E-9,"PASS","FAIL")</x:f>
        <x:v>PASS</x:v>
      </x:c>
      <x:c r="Y230" t="str">
        <x:v>Chú thích 4</x:v>
      </x:c>
      <x:c r="Z230" t="str"/>
    </x:row>
    <x:row r="231">
      <x:c r="A231" t="str">
        <x:v>G0228</x:v>
      </x:c>
      <x:c r="B231" t="str">
        <x:v>Bảng 2</x:v>
      </x:c>
      <x:c r="C231" t="str">
        <x:v>clay</x:v>
      </x:c>
      <x:c r="D231" t="str">
        <x:v>MID-2D</x:v>
      </x:c>
      <x:c r="E231" t="str">
        <x:v>{"z":27.5,"IL":0.35}</x:v>
      </x:c>
      <x:c r="F231" t="str">
        <x:v>BILINEAR-2D</x:v>
      </x:c>
      <x:c r="G231" t="n">
        <x:v>27.5</x:v>
      </x:c>
      <x:c r="H231" t="n">
        <x:v>0.35</x:v>
      </x:c>
      <x:c r="I231" t="n">
        <x:v>25</x:v>
      </x:c>
      <x:c r="J231" t="n">
        <x:v>30</x:v>
      </x:c>
      <x:c r="K231" t="n">
        <x:v>0.3</x:v>
      </x:c>
      <x:c r="L231" t="n">
        <x:v>0.4</x:v>
      </x:c>
      <x:c r="M231"/>
      <x:c r="N231"/>
      <x:c r="O231" t="n">
        <x:v>5200</x:v>
      </x:c>
      <x:c r="P231" t="n">
        <x:v>3500</x:v>
      </x:c>
      <x:c r="Q231" t="n">
        <x:v>5600</x:v>
      </x:c>
      <x:c r="R231" t="n">
        <x:v>3800</x:v>
      </x:c>
      <x:c r="S231" t="n">
        <x:v>4525</x:v>
      </x:c>
      <x:c r="T231" t="n">
        <x:v>4525</x:v>
      </x:c>
      <x:c r="U231" s="28" t="n">
        <x:f>(O231+(G231-I231)*(Q231-O231)/(J231-I231))+(H231-K231)/(L231-K231)*((P231+(G231-I231)*(R231-P231)/(J231-I231))-(O231+(G231-I231)*(Q231-O231)/(J231-I231)))</x:f>
        <x:v>4525</x:v>
      </x:c>
      <x:c r="V231" s="32" t="n">
        <x:f>IF(AND(ISNUMBER(S231),ISNUMBER(U231)),ABS(S231-U231),IF(S231=U231,0,1))</x:f>
        <x:v>0</x:v>
      </x:c>
      <x:c r="W231" s="30" t="str">
        <x:v>PASS</x:v>
      </x:c>
      <x:c r="X231" s="28" t="str">
        <x:f>IF(V231&lt;=1E-9,"PASS","FAIL")</x:f>
        <x:v>PASS</x:v>
      </x:c>
      <x:c r="Y231" t="str">
        <x:v>Chú thích 4</x:v>
      </x:c>
      <x:c r="Z231" t="str"/>
    </x:row>
    <x:row r="232">
      <x:c r="A232" t="str">
        <x:v>G0229</x:v>
      </x:c>
      <x:c r="B232" t="str">
        <x:v>Bảng 2</x:v>
      </x:c>
      <x:c r="C232" t="str">
        <x:v>clay</x:v>
      </x:c>
      <x:c r="D232" t="str">
        <x:v>MID-2D</x:v>
      </x:c>
      <x:c r="E232" t="str">
        <x:v>{"z":27.5,"IL":0.45}</x:v>
      </x:c>
      <x:c r="F232" t="str">
        <x:v>BILINEAR-2D</x:v>
      </x:c>
      <x:c r="G232" t="n">
        <x:v>27.5</x:v>
      </x:c>
      <x:c r="H232" t="n">
        <x:v>0.45</x:v>
      </x:c>
      <x:c r="I232" t="n">
        <x:v>25</x:v>
      </x:c>
      <x:c r="J232" t="n">
        <x:v>30</x:v>
      </x:c>
      <x:c r="K232" t="n">
        <x:v>0.4</x:v>
      </x:c>
      <x:c r="L232" t="n">
        <x:v>0.5</x:v>
      </x:c>
      <x:c r="M232"/>
      <x:c r="N232"/>
      <x:c r="O232" t="n">
        <x:v>3500</x:v>
      </x:c>
      <x:c r="P232" t="n">
        <x:v>1950</x:v>
      </x:c>
      <x:c r="Q232" t="n">
        <x:v>3800</x:v>
      </x:c>
      <x:c r="R232" t="n">
        <x:v>2100</x:v>
      </x:c>
      <x:c r="S232" t="n">
        <x:v>2837.5</x:v>
      </x:c>
      <x:c r="T232" t="n">
        <x:v>2837.5</x:v>
      </x:c>
      <x:c r="U232" s="28" t="n">
        <x:f>(O232+(G232-I232)*(Q232-O232)/(J232-I232))+(H232-K232)/(L232-K232)*((P232+(G232-I232)*(R232-P232)/(J232-I232))-(O232+(G232-I232)*(Q232-O232)/(J232-I232)))</x:f>
        <x:v>2837.5</x:v>
      </x:c>
      <x:c r="V232" s="32" t="n">
        <x:f>IF(AND(ISNUMBER(S232),ISNUMBER(U232)),ABS(S232-U232),IF(S232=U232,0,1))</x:f>
        <x:v>0</x:v>
      </x:c>
      <x:c r="W232" s="30" t="str">
        <x:v>PASS</x:v>
      </x:c>
      <x:c r="X232" s="28" t="str">
        <x:f>IF(V232&lt;=1E-9,"PASS","FAIL")</x:f>
        <x:v>PASS</x:v>
      </x:c>
      <x:c r="Y232" t="str">
        <x:v>Chú thích 4</x:v>
      </x:c>
      <x:c r="Z232" t="str"/>
    </x:row>
    <x:row r="233">
      <x:c r="A233" t="str">
        <x:v>G0230</x:v>
      </x:c>
      <x:c r="B233" t="str">
        <x:v>Bảng 2</x:v>
      </x:c>
      <x:c r="C233" t="str">
        <x:v>clay</x:v>
      </x:c>
      <x:c r="D233" t="str">
        <x:v>MID-2D</x:v>
      </x:c>
      <x:c r="E233" t="str">
        <x:v>{"z":27.5,"IL":0.55}</x:v>
      </x:c>
      <x:c r="F233" t="str">
        <x:v>BILINEAR-2D</x:v>
      </x:c>
      <x:c r="G233" t="n">
        <x:v>27.5</x:v>
      </x:c>
      <x:c r="H233" t="n">
        <x:v>0.55</x:v>
      </x:c>
      <x:c r="I233" t="n">
        <x:v>25</x:v>
      </x:c>
      <x:c r="J233" t="n">
        <x:v>30</x:v>
      </x:c>
      <x:c r="K233" t="n">
        <x:v>0.5</x:v>
      </x:c>
      <x:c r="L233" t="n">
        <x:v>0.6</x:v>
      </x:c>
      <x:c r="M233"/>
      <x:c r="N233"/>
      <x:c r="O233" t="n">
        <x:v>1950</x:v>
      </x:c>
      <x:c r="P233" t="n">
        <x:v>1200</x:v>
      </x:c>
      <x:c r="Q233" t="n">
        <x:v>2100</x:v>
      </x:c>
      <x:c r="R233" t="n">
        <x:v>1300</x:v>
      </x:c>
      <x:c r="S233" t="n">
        <x:v>1637.4999999999995</x:v>
      </x:c>
      <x:c r="T233" t="n">
        <x:v>1637.4999999999995</x:v>
      </x:c>
      <x:c r="U233" s="28" t="n">
        <x:f>(O233+(G233-I233)*(Q233-O233)/(J233-I233))+(H233-K233)/(L233-K233)*((P233+(G233-I233)*(R233-P233)/(J233-I233))-(O233+(G233-I233)*(Q233-O233)/(J233-I233)))</x:f>
        <x:v>1637.4999999999995</x:v>
      </x:c>
      <x:c r="V233" s="32" t="n">
        <x:f>IF(AND(ISNUMBER(S233),ISNUMBER(U233)),ABS(S233-U233),IF(S233=U233,0,1))</x:f>
        <x:v>0</x:v>
      </x:c>
      <x:c r="W233" s="30" t="str">
        <x:v>PASS</x:v>
      </x:c>
      <x:c r="X233" s="28" t="str">
        <x:f>IF(V233&lt;=1E-9,"PASS","FAIL")</x:f>
        <x:v>PASS</x:v>
      </x:c>
      <x:c r="Y233" t="str">
        <x:v>Chú thích 4</x:v>
      </x:c>
      <x:c r="Z233" t="str"/>
    </x:row>
    <x:row r="234">
      <x:c r="A234" t="str">
        <x:v>G0231</x:v>
      </x:c>
      <x:c r="B234" t="str">
        <x:v>Bảng 2</x:v>
      </x:c>
      <x:c r="C234" t="str">
        <x:v>clay</x:v>
      </x:c>
      <x:c r="D234" t="str">
        <x:v>MID-2D</x:v>
      </x:c>
      <x:c r="E234" t="str">
        <x:v>{"z":32.5,"IL":0.05}</x:v>
      </x:c>
      <x:c r="F234" t="str">
        <x:v>BILINEAR-2D</x:v>
      </x:c>
      <x:c r="G234" t="n">
        <x:v>32.5</x:v>
      </x:c>
      <x:c r="H234" t="n">
        <x:v>0.05</x:v>
      </x:c>
      <x:c r="I234" t="n">
        <x:v>30</x:v>
      </x:c>
      <x:c r="J234" t="n">
        <x:v>35</x:v>
      </x:c>
      <x:c r="K234" t="n">
        <x:v>0</x:v>
      </x:c>
      <x:c r="L234" t="n">
        <x:v>0.1</x:v>
      </x:c>
      <x:c r="M234"/>
      <x:c r="N234"/>
      <x:c r="O234" t="n">
        <x:v>14200</x:v>
      </x:c>
      <x:c r="P234" t="n">
        <x:v>9500</x:v>
      </x:c>
      <x:c r="Q234" t="n">
        <x:v>15000</x:v>
      </x:c>
      <x:c r="R234" t="n">
        <x:v>10000</x:v>
      </x:c>
      <x:c r="S234" t="n">
        <x:v>12175</x:v>
      </x:c>
      <x:c r="T234" t="n">
        <x:v>12175</x:v>
      </x:c>
      <x:c r="U234" s="28" t="n">
        <x:f>(O234+(G234-I234)*(Q234-O234)/(J234-I234))+(H234-K234)/(L234-K234)*((P234+(G234-I234)*(R234-P234)/(J234-I234))-(O234+(G234-I234)*(Q234-O234)/(J234-I234)))</x:f>
        <x:v>12175</x:v>
      </x:c>
      <x:c r="V234" s="32" t="n">
        <x:f>IF(AND(ISNUMBER(S234),ISNUMBER(U234)),ABS(S234-U234),IF(S234=U234,0,1))</x:f>
        <x:v>0</x:v>
      </x:c>
      <x:c r="W234" s="30" t="str">
        <x:v>PASS</x:v>
      </x:c>
      <x:c r="X234" s="28" t="str">
        <x:f>IF(V234&lt;=1E-9,"PASS","FAIL")</x:f>
        <x:v>PASS</x:v>
      </x:c>
      <x:c r="Y234" t="str">
        <x:v>Chú thích 4</x:v>
      </x:c>
      <x:c r="Z234" t="str"/>
    </x:row>
    <x:row r="235">
      <x:c r="A235" t="str">
        <x:v>G0232</x:v>
      </x:c>
      <x:c r="B235" t="str">
        <x:v>Bảng 2</x:v>
      </x:c>
      <x:c r="C235" t="str">
        <x:v>clay</x:v>
      </x:c>
      <x:c r="D235" t="str">
        <x:v>MID-2D</x:v>
      </x:c>
      <x:c r="E235" t="str">
        <x:v>{"z":32.5,"IL":0.15000000000000002}</x:v>
      </x:c>
      <x:c r="F235" t="str">
        <x:v>BILINEAR-2D</x:v>
      </x:c>
      <x:c r="G235" t="n">
        <x:v>32.5</x:v>
      </x:c>
      <x:c r="H235" t="n">
        <x:v>0.15000000000000002</x:v>
      </x:c>
      <x:c r="I235" t="n">
        <x:v>30</x:v>
      </x:c>
      <x:c r="J235" t="n">
        <x:v>35</x:v>
      </x:c>
      <x:c r="K235" t="n">
        <x:v>0.1</x:v>
      </x:c>
      <x:c r="L235" t="n">
        <x:v>0.2</x:v>
      </x:c>
      <x:c r="M235"/>
      <x:c r="N235"/>
      <x:c r="O235" t="n">
        <x:v>9500</x:v>
      </x:c>
      <x:c r="P235" t="n">
        <x:v>7400</x:v>
      </x:c>
      <x:c r="Q235" t="n">
        <x:v>10000</x:v>
      </x:c>
      <x:c r="R235" t="n">
        <x:v>8000</x:v>
      </x:c>
      <x:c r="S235" t="n">
        <x:v>8725</x:v>
      </x:c>
      <x:c r="T235" t="n">
        <x:v>8725</x:v>
      </x:c>
      <x:c r="U235" s="28" t="n">
        <x:f>(O235+(G235-I235)*(Q235-O235)/(J235-I235))+(H235-K235)/(L235-K235)*((P235+(G235-I235)*(R235-P235)/(J235-I235))-(O235+(G235-I235)*(Q235-O235)/(J235-I235)))</x:f>
        <x:v>8725</x:v>
      </x:c>
      <x:c r="V235" s="32" t="n">
        <x:f>IF(AND(ISNUMBER(S235),ISNUMBER(U235)),ABS(S235-U235),IF(S235=U235,0,1))</x:f>
        <x:v>0</x:v>
      </x:c>
      <x:c r="W235" s="30" t="str">
        <x:v>PASS</x:v>
      </x:c>
      <x:c r="X235" s="28" t="str">
        <x:f>IF(V235&lt;=1E-9,"PASS","FAIL")</x:f>
        <x:v>PASS</x:v>
      </x:c>
      <x:c r="Y235" t="str">
        <x:v>Chú thích 4</x:v>
      </x:c>
      <x:c r="Z235" t="str"/>
    </x:row>
    <x:row r="236">
      <x:c r="A236" t="str">
        <x:v>G0233</x:v>
      </x:c>
      <x:c r="B236" t="str">
        <x:v>Bảng 2</x:v>
      </x:c>
      <x:c r="C236" t="str">
        <x:v>clay</x:v>
      </x:c>
      <x:c r="D236" t="str">
        <x:v>MID-2D</x:v>
      </x:c>
      <x:c r="E236" t="str">
        <x:v>{"z":32.5,"IL":0.25}</x:v>
      </x:c>
      <x:c r="F236" t="str">
        <x:v>BILINEAR-2D</x:v>
      </x:c>
      <x:c r="G236" t="n">
        <x:v>32.5</x:v>
      </x:c>
      <x:c r="H236" t="n">
        <x:v>0.25</x:v>
      </x:c>
      <x:c r="I236" t="n">
        <x:v>30</x:v>
      </x:c>
      <x:c r="J236" t="n">
        <x:v>35</x:v>
      </x:c>
      <x:c r="K236" t="n">
        <x:v>0.2</x:v>
      </x:c>
      <x:c r="L236" t="n">
        <x:v>0.3</x:v>
      </x:c>
      <x:c r="M236"/>
      <x:c r="N236"/>
      <x:c r="O236" t="n">
        <x:v>7400</x:v>
      </x:c>
      <x:c r="P236" t="n">
        <x:v>5600</x:v>
      </x:c>
      <x:c r="Q236" t="n">
        <x:v>8000</x:v>
      </x:c>
      <x:c r="R236" t="n">
        <x:v>6000</x:v>
      </x:c>
      <x:c r="S236" t="n">
        <x:v>6750</x:v>
      </x:c>
      <x:c r="T236" t="n">
        <x:v>6750</x:v>
      </x:c>
      <x:c r="U236" s="28" t="n">
        <x:f>(O236+(G236-I236)*(Q236-O236)/(J236-I236))+(H236-K236)/(L236-K236)*((P236+(G236-I236)*(R236-P236)/(J236-I236))-(O236+(G236-I236)*(Q236-O236)/(J236-I236)))</x:f>
        <x:v>6750</x:v>
      </x:c>
      <x:c r="V236" s="32" t="n">
        <x:f>IF(AND(ISNUMBER(S236),ISNUMBER(U236)),ABS(S236-U236),IF(S236=U236,0,1))</x:f>
        <x:v>0</x:v>
      </x:c>
      <x:c r="W236" s="30" t="str">
        <x:v>PASS</x:v>
      </x:c>
      <x:c r="X236" s="28" t="str">
        <x:f>IF(V236&lt;=1E-9,"PASS","FAIL")</x:f>
        <x:v>PASS</x:v>
      </x:c>
      <x:c r="Y236" t="str">
        <x:v>Chú thích 4</x:v>
      </x:c>
      <x:c r="Z236" t="str"/>
    </x:row>
    <x:row r="237">
      <x:c r="A237" t="str">
        <x:v>G0234</x:v>
      </x:c>
      <x:c r="B237" t="str">
        <x:v>Bảng 2</x:v>
      </x:c>
      <x:c r="C237" t="str">
        <x:v>clay</x:v>
      </x:c>
      <x:c r="D237" t="str">
        <x:v>MID-2D</x:v>
      </x:c>
      <x:c r="E237" t="str">
        <x:v>{"z":32.5,"IL":0.35}</x:v>
      </x:c>
      <x:c r="F237" t="str">
        <x:v>BILINEAR-2D</x:v>
      </x:c>
      <x:c r="G237" t="n">
        <x:v>32.5</x:v>
      </x:c>
      <x:c r="H237" t="n">
        <x:v>0.35</x:v>
      </x:c>
      <x:c r="I237" t="n">
        <x:v>30</x:v>
      </x:c>
      <x:c r="J237" t="n">
        <x:v>35</x:v>
      </x:c>
      <x:c r="K237" t="n">
        <x:v>0.3</x:v>
      </x:c>
      <x:c r="L237" t="n">
        <x:v>0.4</x:v>
      </x:c>
      <x:c r="M237"/>
      <x:c r="N237"/>
      <x:c r="O237" t="n">
        <x:v>5600</x:v>
      </x:c>
      <x:c r="P237" t="n">
        <x:v>3800</x:v>
      </x:c>
      <x:c r="Q237" t="n">
        <x:v>6000</x:v>
      </x:c>
      <x:c r="R237" t="n">
        <x:v>4100</x:v>
      </x:c>
      <x:c r="S237" t="n">
        <x:v>4875.000000000001</x:v>
      </x:c>
      <x:c r="T237" t="n">
        <x:v>4875.000000000001</x:v>
      </x:c>
      <x:c r="U237" s="28" t="n">
        <x:f>(O237+(G237-I237)*(Q237-O237)/(J237-I237))+(H237-K237)/(L237-K237)*((P237+(G237-I237)*(R237-P237)/(J237-I237))-(O237+(G237-I237)*(Q237-O237)/(J237-I237)))</x:f>
        <x:v>4875.000000000001</x:v>
      </x:c>
      <x:c r="V237" s="32" t="n">
        <x:f>IF(AND(ISNUMBER(S237),ISNUMBER(U237)),ABS(S237-U237),IF(S237=U237,0,1))</x:f>
        <x:v>0</x:v>
      </x:c>
      <x:c r="W237" s="30" t="str">
        <x:v>PASS</x:v>
      </x:c>
      <x:c r="X237" s="28" t="str">
        <x:f>IF(V237&lt;=1E-9,"PASS","FAIL")</x:f>
        <x:v>PASS</x:v>
      </x:c>
      <x:c r="Y237" t="str">
        <x:v>Chú thích 4</x:v>
      </x:c>
      <x:c r="Z237" t="str"/>
    </x:row>
    <x:row r="238">
      <x:c r="A238" t="str">
        <x:v>G0235</x:v>
      </x:c>
      <x:c r="B238" t="str">
        <x:v>Bảng 2</x:v>
      </x:c>
      <x:c r="C238" t="str">
        <x:v>clay</x:v>
      </x:c>
      <x:c r="D238" t="str">
        <x:v>MID-2D</x:v>
      </x:c>
      <x:c r="E238" t="str">
        <x:v>{"z":32.5,"IL":0.45}</x:v>
      </x:c>
      <x:c r="F238" t="str">
        <x:v>BILINEAR-2D</x:v>
      </x:c>
      <x:c r="G238" t="n">
        <x:v>32.5</x:v>
      </x:c>
      <x:c r="H238" t="n">
        <x:v>0.45</x:v>
      </x:c>
      <x:c r="I238" t="n">
        <x:v>30</x:v>
      </x:c>
      <x:c r="J238" t="n">
        <x:v>35</x:v>
      </x:c>
      <x:c r="K238" t="n">
        <x:v>0.4</x:v>
      </x:c>
      <x:c r="L238" t="n">
        <x:v>0.5</x:v>
      </x:c>
      <x:c r="M238"/>
      <x:c r="N238"/>
      <x:c r="O238" t="n">
        <x:v>3800</x:v>
      </x:c>
      <x:c r="P238" t="n">
        <x:v>2100</x:v>
      </x:c>
      <x:c r="Q238" t="n">
        <x:v>4100</x:v>
      </x:c>
      <x:c r="R238" t="n">
        <x:v>2250</x:v>
      </x:c>
      <x:c r="S238" t="n">
        <x:v>3062.5</x:v>
      </x:c>
      <x:c r="T238" t="n">
        <x:v>3062.5</x:v>
      </x:c>
      <x:c r="U238" s="28" t="n">
        <x:f>(O238+(G238-I238)*(Q238-O238)/(J238-I238))+(H238-K238)/(L238-K238)*((P238+(G238-I238)*(R238-P238)/(J238-I238))-(O238+(G238-I238)*(Q238-O238)/(J238-I238)))</x:f>
        <x:v>3062.5</x:v>
      </x:c>
      <x:c r="V238" s="32" t="n">
        <x:f>IF(AND(ISNUMBER(S238),ISNUMBER(U238)),ABS(S238-U238),IF(S238=U238,0,1))</x:f>
        <x:v>0</x:v>
      </x:c>
      <x:c r="W238" s="30" t="str">
        <x:v>PASS</x:v>
      </x:c>
      <x:c r="X238" s="28" t="str">
        <x:f>IF(V238&lt;=1E-9,"PASS","FAIL")</x:f>
        <x:v>PASS</x:v>
      </x:c>
      <x:c r="Y238" t="str">
        <x:v>Chú thích 4</x:v>
      </x:c>
      <x:c r="Z238" t="str"/>
    </x:row>
    <x:row r="239">
      <x:c r="A239" t="str">
        <x:v>G0236</x:v>
      </x:c>
      <x:c r="B239" t="str">
        <x:v>Bảng 2</x:v>
      </x:c>
      <x:c r="C239" t="str">
        <x:v>clay</x:v>
      </x:c>
      <x:c r="D239" t="str">
        <x:v>MID-2D</x:v>
      </x:c>
      <x:c r="E239" t="str">
        <x:v>{"z":32.5,"IL":0.55}</x:v>
      </x:c>
      <x:c r="F239" t="str">
        <x:v>BILINEAR-2D</x:v>
      </x:c>
      <x:c r="G239" t="n">
        <x:v>32.5</x:v>
      </x:c>
      <x:c r="H239" t="n">
        <x:v>0.55</x:v>
      </x:c>
      <x:c r="I239" t="n">
        <x:v>30</x:v>
      </x:c>
      <x:c r="J239" t="n">
        <x:v>35</x:v>
      </x:c>
      <x:c r="K239" t="n">
        <x:v>0.5</x:v>
      </x:c>
      <x:c r="L239" t="n">
        <x:v>0.6</x:v>
      </x:c>
      <x:c r="M239"/>
      <x:c r="N239"/>
      <x:c r="O239" t="n">
        <x:v>2100</x:v>
      </x:c>
      <x:c r="P239" t="n">
        <x:v>1300</x:v>
      </x:c>
      <x:c r="Q239" t="n">
        <x:v>2250</x:v>
      </x:c>
      <x:c r="R239" t="n">
        <x:v>1400</x:v>
      </x:c>
      <x:c r="S239" t="n">
        <x:v>1762.4999999999995</x:v>
      </x:c>
      <x:c r="T239" t="n">
        <x:v>1762.4999999999995</x:v>
      </x:c>
      <x:c r="U239" s="28" t="n">
        <x:f>(O239+(G239-I239)*(Q239-O239)/(J239-I239))+(H239-K239)/(L239-K239)*((P239+(G239-I239)*(R239-P239)/(J239-I239))-(O239+(G239-I239)*(Q239-O239)/(J239-I239)))</x:f>
        <x:v>1762.4999999999995</x:v>
      </x:c>
      <x:c r="V239" s="32" t="n">
        <x:f>IF(AND(ISNUMBER(S239),ISNUMBER(U239)),ABS(S239-U239),IF(S239=U239,0,1))</x:f>
        <x:v>0</x:v>
      </x:c>
      <x:c r="W239" s="30" t="str">
        <x:v>PASS</x:v>
      </x:c>
      <x:c r="X239" s="28" t="str">
        <x:f>IF(V239&lt;=1E-9,"PASS","FAIL")</x:f>
        <x:v>PASS</x:v>
      </x:c>
      <x:c r="Y239" t="str">
        <x:v>Chú thích 4</x:v>
      </x:c>
      <x:c r="Z239" t="str"/>
    </x:row>
    <x:row r="240">
      <x:c r="A240" t="str">
        <x:v>G0237</x:v>
      </x:c>
      <x:c r="B240" t="str">
        <x:v>Bảng 2</x:v>
      </x:c>
      <x:c r="C240" t="str">
        <x:v>clay</x:v>
      </x:c>
      <x:c r="D240" t="str">
        <x:v>MID-2D</x:v>
      </x:c>
      <x:c r="E240" t="str">
        <x:v>{"z":37.5,"IL":0.05}</x:v>
      </x:c>
      <x:c r="F240" t="str">
        <x:v>BILINEAR-2D</x:v>
      </x:c>
      <x:c r="G240" t="n">
        <x:v>37.5</x:v>
      </x:c>
      <x:c r="H240" t="n">
        <x:v>0.05</x:v>
      </x:c>
      <x:c r="I240" t="n">
        <x:v>35</x:v>
      </x:c>
      <x:c r="J240" t="n">
        <x:v>40</x:v>
      </x:c>
      <x:c r="K240" t="n">
        <x:v>0</x:v>
      </x:c>
      <x:c r="L240" t="n">
        <x:v>0.1</x:v>
      </x:c>
      <x:c r="M240"/>
      <x:c r="N240"/>
      <x:c r="O240" t="n">
        <x:v>15000</x:v>
      </x:c>
      <x:c r="P240" t="n">
        <x:v>10000</x:v>
      </x:c>
      <x:c r="Q240" t="n">
        <x:v>15800</x:v>
      </x:c>
      <x:c r="R240" t="n">
        <x:v>10500</x:v>
      </x:c>
      <x:c r="S240" t="n">
        <x:v>12825</x:v>
      </x:c>
      <x:c r="T240" t="n">
        <x:v>12825</x:v>
      </x:c>
      <x:c r="U240" s="28" t="n">
        <x:f>(O240+(G240-I240)*(Q240-O240)/(J240-I240))+(H240-K240)/(L240-K240)*((P240+(G240-I240)*(R240-P240)/(J240-I240))-(O240+(G240-I240)*(Q240-O240)/(J240-I240)))</x:f>
        <x:v>12825</x:v>
      </x:c>
      <x:c r="V240" s="32" t="n">
        <x:f>IF(AND(ISNUMBER(S240),ISNUMBER(U240)),ABS(S240-U240),IF(S240=U240,0,1))</x:f>
        <x:v>0</x:v>
      </x:c>
      <x:c r="W240" s="30" t="str">
        <x:v>PASS</x:v>
      </x:c>
      <x:c r="X240" s="28" t="str">
        <x:f>IF(V240&lt;=1E-9,"PASS","FAIL")</x:f>
        <x:v>PASS</x:v>
      </x:c>
      <x:c r="Y240" t="str">
        <x:v>Chú thích 4</x:v>
      </x:c>
      <x:c r="Z240" t="str"/>
    </x:row>
    <x:row r="241">
      <x:c r="A241" t="str">
        <x:v>G0238</x:v>
      </x:c>
      <x:c r="B241" t="str">
        <x:v>Bảng 2</x:v>
      </x:c>
      <x:c r="C241" t="str">
        <x:v>clay</x:v>
      </x:c>
      <x:c r="D241" t="str">
        <x:v>MID-2D</x:v>
      </x:c>
      <x:c r="E241" t="str">
        <x:v>{"z":37.5,"IL":0.15000000000000002}</x:v>
      </x:c>
      <x:c r="F241" t="str">
        <x:v>BILINEAR-2D</x:v>
      </x:c>
      <x:c r="G241" t="n">
        <x:v>37.5</x:v>
      </x:c>
      <x:c r="H241" t="n">
        <x:v>0.15000000000000002</x:v>
      </x:c>
      <x:c r="I241" t="n">
        <x:v>35</x:v>
      </x:c>
      <x:c r="J241" t="n">
        <x:v>40</x:v>
      </x:c>
      <x:c r="K241" t="n">
        <x:v>0.1</x:v>
      </x:c>
      <x:c r="L241" t="n">
        <x:v>0.2</x:v>
      </x:c>
      <x:c r="M241"/>
      <x:c r="N241"/>
      <x:c r="O241" t="n">
        <x:v>10000</x:v>
      </x:c>
      <x:c r="P241" t="n">
        <x:v>8000</x:v>
      </x:c>
      <x:c r="Q241" t="n">
        <x:v>10500</x:v>
      </x:c>
      <x:c r="R241" t="n">
        <x:v>8600</x:v>
      </x:c>
      <x:c r="S241" t="n">
        <x:v>9275</x:v>
      </x:c>
      <x:c r="T241" t="n">
        <x:v>9275</x:v>
      </x:c>
      <x:c r="U241" s="28" t="n">
        <x:f>(O241+(G241-I241)*(Q241-O241)/(J241-I241))+(H241-K241)/(L241-K241)*((P241+(G241-I241)*(R241-P241)/(J241-I241))-(O241+(G241-I241)*(Q241-O241)/(J241-I241)))</x:f>
        <x:v>9275</x:v>
      </x:c>
      <x:c r="V241" s="32" t="n">
        <x:f>IF(AND(ISNUMBER(S241),ISNUMBER(U241)),ABS(S241-U241),IF(S241=U241,0,1))</x:f>
        <x:v>0</x:v>
      </x:c>
      <x:c r="W241" s="30" t="str">
        <x:v>PASS</x:v>
      </x:c>
      <x:c r="X241" s="28" t="str">
        <x:f>IF(V241&lt;=1E-9,"PASS","FAIL")</x:f>
        <x:v>PASS</x:v>
      </x:c>
      <x:c r="Y241" t="str">
        <x:v>Chú thích 4</x:v>
      </x:c>
      <x:c r="Z241" t="str"/>
    </x:row>
    <x:row r="242">
      <x:c r="A242" t="str">
        <x:v>G0239</x:v>
      </x:c>
      <x:c r="B242" t="str">
        <x:v>Bảng 2</x:v>
      </x:c>
      <x:c r="C242" t="str">
        <x:v>clay</x:v>
      </x:c>
      <x:c r="D242" t="str">
        <x:v>MID-2D</x:v>
      </x:c>
      <x:c r="E242" t="str">
        <x:v>{"z":37.5,"IL":0.25}</x:v>
      </x:c>
      <x:c r="F242" t="str">
        <x:v>BILINEAR-2D</x:v>
      </x:c>
      <x:c r="G242" t="n">
        <x:v>37.5</x:v>
      </x:c>
      <x:c r="H242" t="n">
        <x:v>0.25</x:v>
      </x:c>
      <x:c r="I242" t="n">
        <x:v>35</x:v>
      </x:c>
      <x:c r="J242" t="n">
        <x:v>40</x:v>
      </x:c>
      <x:c r="K242" t="n">
        <x:v>0.2</x:v>
      </x:c>
      <x:c r="L242" t="n">
        <x:v>0.3</x:v>
      </x:c>
      <x:c r="M242"/>
      <x:c r="N242"/>
      <x:c r="O242" t="n">
        <x:v>8000</x:v>
      </x:c>
      <x:c r="P242" t="n">
        <x:v>6000</x:v>
      </x:c>
      <x:c r="Q242" t="n">
        <x:v>8600</x:v>
      </x:c>
      <x:c r="R242" t="n">
        <x:v>6400</x:v>
      </x:c>
      <x:c r="S242" t="n">
        <x:v>7250</x:v>
      </x:c>
      <x:c r="T242" t="n">
        <x:v>7250</x:v>
      </x:c>
      <x:c r="U242" s="28" t="n">
        <x:f>(O242+(G242-I242)*(Q242-O242)/(J242-I242))+(H242-K242)/(L242-K242)*((P242+(G242-I242)*(R242-P242)/(J242-I242))-(O242+(G242-I242)*(Q242-O242)/(J242-I242)))</x:f>
        <x:v>7250</x:v>
      </x:c>
      <x:c r="V242" s="32" t="n">
        <x:f>IF(AND(ISNUMBER(S242),ISNUMBER(U242)),ABS(S242-U242),IF(S242=U242,0,1))</x:f>
        <x:v>0</x:v>
      </x:c>
      <x:c r="W242" s="30" t="str">
        <x:v>PASS</x:v>
      </x:c>
      <x:c r="X242" s="28" t="str">
        <x:f>IF(V242&lt;=1E-9,"PASS","FAIL")</x:f>
        <x:v>PASS</x:v>
      </x:c>
      <x:c r="Y242" t="str">
        <x:v>Chú thích 4</x:v>
      </x:c>
      <x:c r="Z242" t="str"/>
    </x:row>
    <x:row r="243">
      <x:c r="A243" t="str">
        <x:v>G0240</x:v>
      </x:c>
      <x:c r="B243" t="str">
        <x:v>Bảng 2</x:v>
      </x:c>
      <x:c r="C243" t="str">
        <x:v>clay</x:v>
      </x:c>
      <x:c r="D243" t="str">
        <x:v>MID-2D</x:v>
      </x:c>
      <x:c r="E243" t="str">
        <x:v>{"z":37.5,"IL":0.35}</x:v>
      </x:c>
      <x:c r="F243" t="str">
        <x:v>BILINEAR-2D</x:v>
      </x:c>
      <x:c r="G243" t="n">
        <x:v>37.5</x:v>
      </x:c>
      <x:c r="H243" t="n">
        <x:v>0.35</x:v>
      </x:c>
      <x:c r="I243" t="n">
        <x:v>35</x:v>
      </x:c>
      <x:c r="J243" t="n">
        <x:v>40</x:v>
      </x:c>
      <x:c r="K243" t="n">
        <x:v>0.3</x:v>
      </x:c>
      <x:c r="L243" t="n">
        <x:v>0.4</x:v>
      </x:c>
      <x:c r="M243"/>
      <x:c r="N243"/>
      <x:c r="O243" t="n">
        <x:v>6000</x:v>
      </x:c>
      <x:c r="P243" t="n">
        <x:v>4100</x:v>
      </x:c>
      <x:c r="Q243" t="n">
        <x:v>6400</x:v>
      </x:c>
      <x:c r="R243" t="n">
        <x:v>4400</x:v>
      </x:c>
      <x:c r="S243" t="n">
        <x:v>5225.000000000001</x:v>
      </x:c>
      <x:c r="T243" t="n">
        <x:v>5225.000000000001</x:v>
      </x:c>
      <x:c r="U243" s="28" t="n">
        <x:f>(O243+(G243-I243)*(Q243-O243)/(J243-I243))+(H243-K243)/(L243-K243)*((P243+(G243-I243)*(R243-P243)/(J243-I243))-(O243+(G243-I243)*(Q243-O243)/(J243-I243)))</x:f>
        <x:v>5225.000000000001</x:v>
      </x:c>
      <x:c r="V243" s="32" t="n">
        <x:f>IF(AND(ISNUMBER(S243),ISNUMBER(U243)),ABS(S243-U243),IF(S243=U243,0,1))</x:f>
        <x:v>0</x:v>
      </x:c>
      <x:c r="W243" s="30" t="str">
        <x:v>PASS</x:v>
      </x:c>
      <x:c r="X243" s="28" t="str">
        <x:f>IF(V243&lt;=1E-9,"PASS","FAIL")</x:f>
        <x:v>PASS</x:v>
      </x:c>
      <x:c r="Y243" t="str">
        <x:v>Chú thích 4</x:v>
      </x:c>
      <x:c r="Z243" t="str"/>
    </x:row>
    <x:row r="244">
      <x:c r="A244" t="str">
        <x:v>G0241</x:v>
      </x:c>
      <x:c r="B244" t="str">
        <x:v>Bảng 2</x:v>
      </x:c>
      <x:c r="C244" t="str">
        <x:v>clay</x:v>
      </x:c>
      <x:c r="D244" t="str">
        <x:v>MID-2D</x:v>
      </x:c>
      <x:c r="E244" t="str">
        <x:v>{"z":37.5,"IL":0.45}</x:v>
      </x:c>
      <x:c r="F244" t="str">
        <x:v>BILINEAR-2D</x:v>
      </x:c>
      <x:c r="G244" t="n">
        <x:v>37.5</x:v>
      </x:c>
      <x:c r="H244" t="n">
        <x:v>0.45</x:v>
      </x:c>
      <x:c r="I244" t="n">
        <x:v>35</x:v>
      </x:c>
      <x:c r="J244" t="n">
        <x:v>40</x:v>
      </x:c>
      <x:c r="K244" t="n">
        <x:v>0.4</x:v>
      </x:c>
      <x:c r="L244" t="n">
        <x:v>0.5</x:v>
      </x:c>
      <x:c r="M244"/>
      <x:c r="N244"/>
      <x:c r="O244" t="n">
        <x:v>4100</x:v>
      </x:c>
      <x:c r="P244" t="n">
        <x:v>2250</x:v>
      </x:c>
      <x:c r="Q244" t="n">
        <x:v>4400</x:v>
      </x:c>
      <x:c r="R244" t="n">
        <x:v>2400</x:v>
      </x:c>
      <x:c r="S244" t="n">
        <x:v>3287.5</x:v>
      </x:c>
      <x:c r="T244" t="n">
        <x:v>3287.5</x:v>
      </x:c>
      <x:c r="U244" s="28" t="n">
        <x:f>(O244+(G244-I244)*(Q244-O244)/(J244-I244))+(H244-K244)/(L244-K244)*((P244+(G244-I244)*(R244-P244)/(J244-I244))-(O244+(G244-I244)*(Q244-O244)/(J244-I244)))</x:f>
        <x:v>3287.5</x:v>
      </x:c>
      <x:c r="V244" s="32" t="n">
        <x:f>IF(AND(ISNUMBER(S244),ISNUMBER(U244)),ABS(S244-U244),IF(S244=U244,0,1))</x:f>
        <x:v>0</x:v>
      </x:c>
      <x:c r="W244" s="30" t="str">
        <x:v>PASS</x:v>
      </x:c>
      <x:c r="X244" s="28" t="str">
        <x:f>IF(V244&lt;=1E-9,"PASS","FAIL")</x:f>
        <x:v>PASS</x:v>
      </x:c>
      <x:c r="Y244" t="str">
        <x:v>Chú thích 4</x:v>
      </x:c>
      <x:c r="Z244" t="str"/>
    </x:row>
    <x:row r="245">
      <x:c r="A245" t="str">
        <x:v>G0242</x:v>
      </x:c>
      <x:c r="B245" t="str">
        <x:v>Bảng 2</x:v>
      </x:c>
      <x:c r="C245" t="str">
        <x:v>clay</x:v>
      </x:c>
      <x:c r="D245" t="str">
        <x:v>MID-2D</x:v>
      </x:c>
      <x:c r="E245" t="str">
        <x:v>{"z":37.5,"IL":0.55}</x:v>
      </x:c>
      <x:c r="F245" t="str">
        <x:v>BILINEAR-2D</x:v>
      </x:c>
      <x:c r="G245" t="n">
        <x:v>37.5</x:v>
      </x:c>
      <x:c r="H245" t="n">
        <x:v>0.55</x:v>
      </x:c>
      <x:c r="I245" t="n">
        <x:v>35</x:v>
      </x:c>
      <x:c r="J245" t="n">
        <x:v>40</x:v>
      </x:c>
      <x:c r="K245" t="n">
        <x:v>0.5</x:v>
      </x:c>
      <x:c r="L245" t="n">
        <x:v>0.6</x:v>
      </x:c>
      <x:c r="M245"/>
      <x:c r="N245"/>
      <x:c r="O245" t="n">
        <x:v>2250</x:v>
      </x:c>
      <x:c r="P245" t="n">
        <x:v>1400</x:v>
      </x:c>
      <x:c r="Q245" t="n">
        <x:v>2400</x:v>
      </x:c>
      <x:c r="R245" t="n">
        <x:v>1500</x:v>
      </x:c>
      <x:c r="S245" t="n">
        <x:v>1887.4999999999995</x:v>
      </x:c>
      <x:c r="T245" t="n">
        <x:v>1887.4999999999995</x:v>
      </x:c>
      <x:c r="U245" s="28" t="n">
        <x:f>(O245+(G245-I245)*(Q245-O245)/(J245-I245))+(H245-K245)/(L245-K245)*((P245+(G245-I245)*(R245-P245)/(J245-I245))-(O245+(G245-I245)*(Q245-O245)/(J245-I245)))</x:f>
        <x:v>1887.4999999999995</x:v>
      </x:c>
      <x:c r="V245" s="32" t="n">
        <x:f>IF(AND(ISNUMBER(S245),ISNUMBER(U245)),ABS(S245-U245),IF(S245=U245,0,1))</x:f>
        <x:v>0</x:v>
      </x:c>
      <x:c r="W245" s="30" t="str">
        <x:v>PASS</x:v>
      </x:c>
      <x:c r="X245" s="28" t="str">
        <x:f>IF(V245&lt;=1E-9,"PASS","FAIL")</x:f>
        <x:v>PASS</x:v>
      </x:c>
      <x:c r="Y245" t="str">
        <x:v>Chú thích 4</x:v>
      </x:c>
      <x:c r="Z245" t="str"/>
    </x:row>
    <x:row r="246">
      <x:c r="A246" t="str">
        <x:v>G0243</x:v>
      </x:c>
      <x:c r="B246" t="str">
        <x:v>Bảng 2</x:v>
      </x:c>
      <x:c r="C246" t="str">
        <x:v>clay</x:v>
      </x:c>
      <x:c r="D246" t="str">
        <x:v>NEAR-LOW</x:v>
      </x:c>
      <x:c r="E246" t="str">
        <x:v>{"z":3.000001,"IL":0.3}</x:v>
      </x:c>
      <x:c r="F246" t="str">
        <x:v>LINEAR-1D</x:v>
      </x:c>
      <x:c r="G246" t="n">
        <x:v>3.000001</x:v>
      </x:c>
      <x:c r="H246"/>
      <x:c r="I246" t="n">
        <x:v>3</x:v>
      </x:c>
      <x:c r="J246" t="n">
        <x:v>4</x:v>
      </x:c>
      <x:c r="K246"/>
      <x:c r="L246"/>
      <x:c r="M246" t="n">
        <x:v>2000</x:v>
      </x:c>
      <x:c r="N246" t="n">
        <x:v>2500</x:v>
      </x:c>
      <x:c r="O246"/>
      <x:c r="P246"/>
      <x:c r="Q246"/>
      <x:c r="R246"/>
      <x:c r="S246" t="n">
        <x:v>2000.0005</x:v>
      </x:c>
      <x:c r="T246" t="n">
        <x:v>2000.0005</x:v>
      </x:c>
      <x:c r="U246" s="28" t="n">
        <x:f>M246+(G246-I246)*(N246-M246)/(J246-I246)</x:f>
        <x:v>2000.0005</x:v>
      </x:c>
      <x:c r="V246" s="32" t="n">
        <x:f>IF(AND(ISNUMBER(S246),ISNUMBER(U246)),ABS(S246-U246),IF(S246=U246,0,1))</x:f>
        <x:v>0</x:v>
      </x:c>
      <x:c r="W246" s="30" t="str">
        <x:v>PASS</x:v>
      </x:c>
      <x:c r="X246" s="28" t="str">
        <x:f>IF(V246&lt;=1E-9,"PASS","FAIL")</x:f>
        <x:v>PASS</x:v>
      </x:c>
      <x:c r="Y246" t="str">
        <x:v>Chú thích 4</x:v>
      </x:c>
      <x:c r="Z246" t="str"/>
    </x:row>
    <x:row r="247">
      <x:c r="A247" t="str">
        <x:v>G0244</x:v>
      </x:c>
      <x:c r="B247" t="str">
        <x:v>Bảng 2</x:v>
      </x:c>
      <x:c r="C247" t="str">
        <x:v>sand:coarse</x:v>
      </x:c>
      <x:c r="D247" t="str">
        <x:v>HIGH-PLATEAU</x:v>
      </x:c>
      <x:c r="E247" t="str">
        <x:v>{"z":45}</x:v>
      </x:c>
      <x:c r="F247" t="str">
        <x:v>BOUNDARY-PLATEAU</x:v>
      </x:c>
      <x:c r="G247"/>
      <x:c r="H247"/>
      <x:c r="I247"/>
      <x:c r="J247"/>
      <x:c r="K247"/>
      <x:c r="L247"/>
      <x:c r="M247" t="n">
        <x:v>10500</x:v>
      </x:c>
      <x:c r="N247"/>
      <x:c r="O247"/>
      <x:c r="P247"/>
      <x:c r="Q247"/>
      <x:c r="R247"/>
      <x:c r="S247" t="n">
        <x:v>10500</x:v>
      </x:c>
      <x:c r="T247" t="n">
        <x:v>10500</x:v>
      </x:c>
      <x:c r="U247" s="28" t="n">
        <x:f>T247</x:f>
        <x:v>10500</x:v>
      </x:c>
      <x:c r="V247" s="32" t="n">
        <x:f>IF(AND(ISNUMBER(S247),ISNUMBER(U247)),ABS(S247-U247),IF(S247=U247,0,1))</x:f>
        <x:v>0</x:v>
      </x:c>
      <x:c r="W247" s="30" t="str">
        <x:v>PASS</x:v>
      </x:c>
      <x:c r="X247" s="28" t="str">
        <x:f>IF(V247&lt;=1E-9,"PASS","FAIL")</x:f>
        <x:v>PASS</x:v>
      </x:c>
      <x:c r="Y247" t="str">
        <x:v>Chú thích 1</x:v>
      </x:c>
      <x:c r="Z247" t="str"/>
    </x:row>
    <x:row r="248">
      <x:c r="A248" t="str">
        <x:v>G0245</x:v>
      </x:c>
      <x:c r="B248" t="str">
        <x:v>Bảng 2</x:v>
      </x:c>
      <x:c r="C248" t="str">
        <x:v>clay</x:v>
      </x:c>
      <x:c r="D248" t="str">
        <x:v>OUTSIDE</x:v>
      </x:c>
      <x:c r="E248" t="str">
        <x:v>{"z":2.999,"IL":0.3}</x:v>
      </x:c>
      <x:c r="F248" t="str">
        <x:v>BLOCK</x:v>
      </x:c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 t="str">
        <x:v>BLOCK</x:v>
      </x:c>
      <x:c r="T248" t="str">
        <x:v>BLOCK</x:v>
      </x:c>
      <x:c r="U248" s="28" t="str">
        <x:f>"BLOCK"</x:f>
        <x:v>BLOCK</x:v>
      </x:c>
      <x:c r="V248" s="32" t="n">
        <x:f>IF(AND(ISNUMBER(S248),ISNUMBER(U248)),ABS(S248-U248),IF(S248=U248,0,1))</x:f>
        <x:v>0</x:v>
      </x:c>
      <x:c r="W248" s="30" t="str">
        <x:v>PASS</x:v>
      </x:c>
      <x:c r="X248" s="28" t="str">
        <x:f>IF(V248&lt;=1E-9,"PASS","FAIL")</x:f>
        <x:v>PASS</x:v>
      </x:c>
      <x:c r="Y248" t="str">
        <x:v>NO EXTRAPOLATION</x:v>
      </x:c>
      <x:c r="Z248" t="str">
        <x:v>TCVN 10304 Bảng 2 q_b: 2.999 nhỏ hơn phạm vi bảng (3). Không ngoại suy.</x:v>
      </x:c>
    </x:row>
    <x:row r="249">
      <x:c r="A249" t="str">
        <x:v>G0246</x:v>
      </x:c>
      <x:c r="B249" t="str">
        <x:v>Bảng 2</x:v>
      </x:c>
      <x:c r="C249" t="str">
        <x:v>clay</x:v>
      </x:c>
      <x:c r="D249" t="str">
        <x:v>OUTSIDE</x:v>
      </x:c>
      <x:c r="E249" t="str">
        <x:v>{"z":12,"IL":-0.001}</x:v>
      </x:c>
      <x:c r="F249" t="str">
        <x:v>BLOCK</x:v>
      </x:c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 t="str">
        <x:v>BLOCK</x:v>
      </x:c>
      <x:c r="T249" t="str">
        <x:v>BLOCK</x:v>
      </x:c>
      <x:c r="U249" s="28" t="str">
        <x:f>"BLOCK"</x:f>
        <x:v>BLOCK</x:v>
      </x:c>
      <x:c r="V249" s="32" t="n">
        <x:f>IF(AND(ISNUMBER(S249),ISNUMBER(U249)),ABS(S249-U249),IF(S249=U249,0,1))</x:f>
        <x:v>0</x:v>
      </x:c>
      <x:c r="W249" s="30" t="str">
        <x:v>PASS</x:v>
      </x:c>
      <x:c r="X249" s="28" t="str">
        <x:f>IF(V249&lt;=1E-9,"PASS","FAIL")</x:f>
        <x:v>PASS</x:v>
      </x:c>
      <x:c r="Y249" t="str">
        <x:v>NO EXTRAPOLATION</x:v>
      </x:c>
      <x:c r="Z249" t="str">
        <x:v>TCVN 10304 Bảng 2 q_b: -0.001 nhỏ hơn phạm vi bảng (0). Không ngoại suy.</x:v>
      </x:c>
    </x:row>
    <x:row r="250">
      <x:c r="A250" t="str">
        <x:v>G0247</x:v>
      </x:c>
      <x:c r="B250" t="str">
        <x:v>Bảng 2</x:v>
      </x:c>
      <x:c r="C250" t="str">
        <x:v>clay</x:v>
      </x:c>
      <x:c r="D250" t="str">
        <x:v>OUTSIDE</x:v>
      </x:c>
      <x:c r="E250" t="str">
        <x:v>{"z":12,"IL":0.601}</x:v>
      </x:c>
      <x:c r="F250" t="str">
        <x:v>BLOCK</x:v>
      </x:c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 t="str">
        <x:v>BLOCK</x:v>
      </x:c>
      <x:c r="T250" t="str">
        <x:v>BLOCK</x:v>
      </x:c>
      <x:c r="U250" s="28" t="str">
        <x:f>"BLOCK"</x:f>
        <x:v>BLOCK</x:v>
      </x:c>
      <x:c r="V250" s="32" t="n">
        <x:f>IF(AND(ISNUMBER(S250),ISNUMBER(U250)),ABS(S250-U250),IF(S250=U250,0,1))</x:f>
        <x:v>0</x:v>
      </x:c>
      <x:c r="W250" s="30" t="str">
        <x:v>PASS</x:v>
      </x:c>
      <x:c r="X250" s="28" t="str">
        <x:f>IF(V250&lt;=1E-9,"PASS","FAIL")</x:f>
        <x:v>PASS</x:v>
      </x:c>
      <x:c r="Y250" t="str">
        <x:v>NO EXTRAPOLATION</x:v>
      </x:c>
      <x:c r="Z250" t="str">
        <x:v>TCVN 10304 Bảng 2 q_b: 0.601 lớn hơn phạm vi bảng (0.6). Không ngoại suy.</x:v>
      </x:c>
    </x:row>
    <x:row r="251">
      <x:c r="A251" t="str">
        <x:v>G0248</x:v>
      </x:c>
      <x:c r="B251" t="str">
        <x:v>Bảng 3</x:v>
      </x:c>
      <x:c r="C251" t="str">
        <x:v>sand:coarse</x:v>
      </x:c>
      <x:c r="D251" t="str">
        <x:v>EXACT</x:v>
      </x:c>
      <x:c r="E251" t="str">
        <x:v>{"z":1}</x:v>
      </x:c>
      <x:c r="F251" t="str">
        <x:v>EXACT</x:v>
      </x:c>
      <x:c r="G251"/>
      <x:c r="H251"/>
      <x:c r="I251"/>
      <x:c r="J251"/>
      <x:c r="K251"/>
      <x:c r="L251"/>
      <x:c r="M251" t="n">
        <x:v>35</x:v>
      </x:c>
      <x:c r="N251"/>
      <x:c r="O251"/>
      <x:c r="P251"/>
      <x:c r="Q251"/>
      <x:c r="R251"/>
      <x:c r="S251" t="n">
        <x:v>35</x:v>
      </x:c>
      <x:c r="T251" t="n">
        <x:v>35</x:v>
      </x:c>
      <x:c r="U251" s="28" t="n">
        <x:f>T251</x:f>
        <x:v>35</x:v>
      </x:c>
      <x:c r="V251" s="32" t="n">
        <x:f>IF(AND(ISNUMBER(S251),ISNUMBER(U251)),ABS(S251-U251),IF(S251=U251,0,1))</x:f>
        <x:v>0</x:v>
      </x:c>
      <x:c r="W251" s="30" t="str">
        <x:v>PASS</x:v>
      </x:c>
      <x:c r="X251" s="28" t="str">
        <x:f>IF(V251&lt;=1E-9,"PASS","FAIL")</x:f>
        <x:v>PASS</x:v>
      </x:c>
      <x:c r="Y251" t="str">
        <x:v>tr.33–34</x:v>
      </x:c>
      <x:c r="Z251" t="str"/>
    </x:row>
    <x:row r="252">
      <x:c r="A252" t="str">
        <x:v>G0249</x:v>
      </x:c>
      <x:c r="B252" t="str">
        <x:v>Bảng 3</x:v>
      </x:c>
      <x:c r="C252" t="str">
        <x:v>sand:coarse</x:v>
      </x:c>
      <x:c r="D252" t="str">
        <x:v>EXACT</x:v>
      </x:c>
      <x:c r="E252" t="str">
        <x:v>{"z":2}</x:v>
      </x:c>
      <x:c r="F252" t="str">
        <x:v>EXACT</x:v>
      </x:c>
      <x:c r="G252"/>
      <x:c r="H252"/>
      <x:c r="I252"/>
      <x:c r="J252"/>
      <x:c r="K252"/>
      <x:c r="L252"/>
      <x:c r="M252" t="n">
        <x:v>42</x:v>
      </x:c>
      <x:c r="N252"/>
      <x:c r="O252"/>
      <x:c r="P252"/>
      <x:c r="Q252"/>
      <x:c r="R252"/>
      <x:c r="S252" t="n">
        <x:v>42</x:v>
      </x:c>
      <x:c r="T252" t="n">
        <x:v>42</x:v>
      </x:c>
      <x:c r="U252" s="28" t="n">
        <x:f>T252</x:f>
        <x:v>42</x:v>
      </x:c>
      <x:c r="V252" s="32" t="n">
        <x:f>IF(AND(ISNUMBER(S252),ISNUMBER(U252)),ABS(S252-U252),IF(S252=U252,0,1))</x:f>
        <x:v>0</x:v>
      </x:c>
      <x:c r="W252" s="30" t="str">
        <x:v>PASS</x:v>
      </x:c>
      <x:c r="X252" s="28" t="str">
        <x:f>IF(V252&lt;=1E-9,"PASS","FAIL")</x:f>
        <x:v>PASS</x:v>
      </x:c>
      <x:c r="Y252" t="str">
        <x:v>tr.33–34</x:v>
      </x:c>
      <x:c r="Z252" t="str"/>
    </x:row>
    <x:row r="253">
      <x:c r="A253" t="str">
        <x:v>G0250</x:v>
      </x:c>
      <x:c r="B253" t="str">
        <x:v>Bảng 3</x:v>
      </x:c>
      <x:c r="C253" t="str">
        <x:v>sand:coarse</x:v>
      </x:c>
      <x:c r="D253" t="str">
        <x:v>EXACT</x:v>
      </x:c>
      <x:c r="E253" t="str">
        <x:v>{"z":3}</x:v>
      </x:c>
      <x:c r="F253" t="str">
        <x:v>EXACT</x:v>
      </x:c>
      <x:c r="G253"/>
      <x:c r="H253"/>
      <x:c r="I253"/>
      <x:c r="J253"/>
      <x:c r="K253"/>
      <x:c r="L253"/>
      <x:c r="M253" t="n">
        <x:v>48</x:v>
      </x:c>
      <x:c r="N253"/>
      <x:c r="O253"/>
      <x:c r="P253"/>
      <x:c r="Q253"/>
      <x:c r="R253"/>
      <x:c r="S253" t="n">
        <x:v>48</x:v>
      </x:c>
      <x:c r="T253" t="n">
        <x:v>48</x:v>
      </x:c>
      <x:c r="U253" s="28" t="n">
        <x:f>T253</x:f>
        <x:v>48</x:v>
      </x:c>
      <x:c r="V253" s="32" t="n">
        <x:f>IF(AND(ISNUMBER(S253),ISNUMBER(U253)),ABS(S253-U253),IF(S253=U253,0,1))</x:f>
        <x:v>0</x:v>
      </x:c>
      <x:c r="W253" s="30" t="str">
        <x:v>PASS</x:v>
      </x:c>
      <x:c r="X253" s="28" t="str">
        <x:f>IF(V253&lt;=1E-9,"PASS","FAIL")</x:f>
        <x:v>PASS</x:v>
      </x:c>
      <x:c r="Y253" t="str">
        <x:v>tr.33–34</x:v>
      </x:c>
      <x:c r="Z253" t="str"/>
    </x:row>
    <x:row r="254">
      <x:c r="A254" t="str">
        <x:v>G0251</x:v>
      </x:c>
      <x:c r="B254" t="str">
        <x:v>Bảng 3</x:v>
      </x:c>
      <x:c r="C254" t="str">
        <x:v>sand:coarse</x:v>
      </x:c>
      <x:c r="D254" t="str">
        <x:v>EXACT</x:v>
      </x:c>
      <x:c r="E254" t="str">
        <x:v>{"z":4}</x:v>
      </x:c>
      <x:c r="F254" t="str">
        <x:v>EXACT</x:v>
      </x:c>
      <x:c r="G254"/>
      <x:c r="H254"/>
      <x:c r="I254"/>
      <x:c r="J254"/>
      <x:c r="K254"/>
      <x:c r="L254"/>
      <x:c r="M254" t="n">
        <x:v>53</x:v>
      </x:c>
      <x:c r="N254"/>
      <x:c r="O254"/>
      <x:c r="P254"/>
      <x:c r="Q254"/>
      <x:c r="R254"/>
      <x:c r="S254" t="n">
        <x:v>53</x:v>
      </x:c>
      <x:c r="T254" t="n">
        <x:v>53</x:v>
      </x:c>
      <x:c r="U254" s="28" t="n">
        <x:f>T254</x:f>
        <x:v>53</x:v>
      </x:c>
      <x:c r="V254" s="32" t="n">
        <x:f>IF(AND(ISNUMBER(S254),ISNUMBER(U254)),ABS(S254-U254),IF(S254=U254,0,1))</x:f>
        <x:v>0</x:v>
      </x:c>
      <x:c r="W254" s="30" t="str">
        <x:v>PASS</x:v>
      </x:c>
      <x:c r="X254" s="28" t="str">
        <x:f>IF(V254&lt;=1E-9,"PASS","FAIL")</x:f>
        <x:v>PASS</x:v>
      </x:c>
      <x:c r="Y254" t="str">
        <x:v>tr.33–34</x:v>
      </x:c>
      <x:c r="Z254" t="str"/>
    </x:row>
    <x:row r="255">
      <x:c r="A255" t="str">
        <x:v>G0252</x:v>
      </x:c>
      <x:c r="B255" t="str">
        <x:v>Bảng 3</x:v>
      </x:c>
      <x:c r="C255" t="str">
        <x:v>sand:coarse</x:v>
      </x:c>
      <x:c r="D255" t="str">
        <x:v>EXACT</x:v>
      </x:c>
      <x:c r="E255" t="str">
        <x:v>{"z":5}</x:v>
      </x:c>
      <x:c r="F255" t="str">
        <x:v>EXACT</x:v>
      </x:c>
      <x:c r="G255"/>
      <x:c r="H255"/>
      <x:c r="I255"/>
      <x:c r="J255"/>
      <x:c r="K255"/>
      <x:c r="L255"/>
      <x:c r="M255" t="n">
        <x:v>56</x:v>
      </x:c>
      <x:c r="N255"/>
      <x:c r="O255"/>
      <x:c r="P255"/>
      <x:c r="Q255"/>
      <x:c r="R255"/>
      <x:c r="S255" t="n">
        <x:v>56</x:v>
      </x:c>
      <x:c r="T255" t="n">
        <x:v>56</x:v>
      </x:c>
      <x:c r="U255" s="28" t="n">
        <x:f>T255</x:f>
        <x:v>56</x:v>
      </x:c>
      <x:c r="V255" s="32" t="n">
        <x:f>IF(AND(ISNUMBER(S255),ISNUMBER(U255)),ABS(S255-U255),IF(S255=U255,0,1))</x:f>
        <x:v>0</x:v>
      </x:c>
      <x:c r="W255" s="30" t="str">
        <x:v>PASS</x:v>
      </x:c>
      <x:c r="X255" s="28" t="str">
        <x:f>IF(V255&lt;=1E-9,"PASS","FAIL")</x:f>
        <x:v>PASS</x:v>
      </x:c>
      <x:c r="Y255" t="str">
        <x:v>tr.33–34</x:v>
      </x:c>
      <x:c r="Z255" t="str"/>
    </x:row>
    <x:row r="256">
      <x:c r="A256" t="str">
        <x:v>G0253</x:v>
      </x:c>
      <x:c r="B256" t="str">
        <x:v>Bảng 3</x:v>
      </x:c>
      <x:c r="C256" t="str">
        <x:v>sand:coarse</x:v>
      </x:c>
      <x:c r="D256" t="str">
        <x:v>EXACT</x:v>
      </x:c>
      <x:c r="E256" t="str">
        <x:v>{"z":6}</x:v>
      </x:c>
      <x:c r="F256" t="str">
        <x:v>EXACT</x:v>
      </x:c>
      <x:c r="G256"/>
      <x:c r="H256"/>
      <x:c r="I256"/>
      <x:c r="J256"/>
      <x:c r="K256"/>
      <x:c r="L256"/>
      <x:c r="M256" t="n">
        <x:v>58</x:v>
      </x:c>
      <x:c r="N256"/>
      <x:c r="O256"/>
      <x:c r="P256"/>
      <x:c r="Q256"/>
      <x:c r="R256"/>
      <x:c r="S256" t="n">
        <x:v>58</x:v>
      </x:c>
      <x:c r="T256" t="n">
        <x:v>58</x:v>
      </x:c>
      <x:c r="U256" s="28" t="n">
        <x:f>T256</x:f>
        <x:v>58</x:v>
      </x:c>
      <x:c r="V256" s="32" t="n">
        <x:f>IF(AND(ISNUMBER(S256),ISNUMBER(U256)),ABS(S256-U256),IF(S256=U256,0,1))</x:f>
        <x:v>0</x:v>
      </x:c>
      <x:c r="W256" s="30" t="str">
        <x:v>PASS</x:v>
      </x:c>
      <x:c r="X256" s="28" t="str">
        <x:f>IF(V256&lt;=1E-9,"PASS","FAIL")</x:f>
        <x:v>PASS</x:v>
      </x:c>
      <x:c r="Y256" t="str">
        <x:v>tr.33–34</x:v>
      </x:c>
      <x:c r="Z256" t="str"/>
    </x:row>
    <x:row r="257">
      <x:c r="A257" t="str">
        <x:v>G0254</x:v>
      </x:c>
      <x:c r="B257" t="str">
        <x:v>Bảng 3</x:v>
      </x:c>
      <x:c r="C257" t="str">
        <x:v>sand:coarse</x:v>
      </x:c>
      <x:c r="D257" t="str">
        <x:v>EXACT</x:v>
      </x:c>
      <x:c r="E257" t="str">
        <x:v>{"z":8}</x:v>
      </x:c>
      <x:c r="F257" t="str">
        <x:v>EXACT</x:v>
      </x:c>
      <x:c r="G257"/>
      <x:c r="H257"/>
      <x:c r="I257"/>
      <x:c r="J257"/>
      <x:c r="K257"/>
      <x:c r="L257"/>
      <x:c r="M257" t="n">
        <x:v>62</x:v>
      </x:c>
      <x:c r="N257"/>
      <x:c r="O257"/>
      <x:c r="P257"/>
      <x:c r="Q257"/>
      <x:c r="R257"/>
      <x:c r="S257" t="n">
        <x:v>62</x:v>
      </x:c>
      <x:c r="T257" t="n">
        <x:v>62</x:v>
      </x:c>
      <x:c r="U257" s="28" t="n">
        <x:f>T257</x:f>
        <x:v>62</x:v>
      </x:c>
      <x:c r="V257" s="32" t="n">
        <x:f>IF(AND(ISNUMBER(S257),ISNUMBER(U257)),ABS(S257-U257),IF(S257=U257,0,1))</x:f>
        <x:v>0</x:v>
      </x:c>
      <x:c r="W257" s="30" t="str">
        <x:v>PASS</x:v>
      </x:c>
      <x:c r="X257" s="28" t="str">
        <x:f>IF(V257&lt;=1E-9,"PASS","FAIL")</x:f>
        <x:v>PASS</x:v>
      </x:c>
      <x:c r="Y257" t="str">
        <x:v>tr.33–34</x:v>
      </x:c>
      <x:c r="Z257" t="str"/>
    </x:row>
    <x:row r="258">
      <x:c r="A258" t="str">
        <x:v>G0255</x:v>
      </x:c>
      <x:c r="B258" t="str">
        <x:v>Bảng 3</x:v>
      </x:c>
      <x:c r="C258" t="str">
        <x:v>sand:coarse</x:v>
      </x:c>
      <x:c r="D258" t="str">
        <x:v>EXACT</x:v>
      </x:c>
      <x:c r="E258" t="str">
        <x:v>{"z":10}</x:v>
      </x:c>
      <x:c r="F258" t="str">
        <x:v>EXACT</x:v>
      </x:c>
      <x:c r="G258"/>
      <x:c r="H258"/>
      <x:c r="I258"/>
      <x:c r="J258"/>
      <x:c r="K258"/>
      <x:c r="L258"/>
      <x:c r="M258" t="n">
        <x:v>65</x:v>
      </x:c>
      <x:c r="N258"/>
      <x:c r="O258"/>
      <x:c r="P258"/>
      <x:c r="Q258"/>
      <x:c r="R258"/>
      <x:c r="S258" t="n">
        <x:v>65</x:v>
      </x:c>
      <x:c r="T258" t="n">
        <x:v>65</x:v>
      </x:c>
      <x:c r="U258" s="28" t="n">
        <x:f>T258</x:f>
        <x:v>65</x:v>
      </x:c>
      <x:c r="V258" s="32" t="n">
        <x:f>IF(AND(ISNUMBER(S258),ISNUMBER(U258)),ABS(S258-U258),IF(S258=U258,0,1))</x:f>
        <x:v>0</x:v>
      </x:c>
      <x:c r="W258" s="30" t="str">
        <x:v>PASS</x:v>
      </x:c>
      <x:c r="X258" s="28" t="str">
        <x:f>IF(V258&lt;=1E-9,"PASS","FAIL")</x:f>
        <x:v>PASS</x:v>
      </x:c>
      <x:c r="Y258" t="str">
        <x:v>tr.33–34</x:v>
      </x:c>
      <x:c r="Z258" t="str"/>
    </x:row>
    <x:row r="259">
      <x:c r="A259" t="str">
        <x:v>G0256</x:v>
      </x:c>
      <x:c r="B259" t="str">
        <x:v>Bảng 3</x:v>
      </x:c>
      <x:c r="C259" t="str">
        <x:v>sand:coarse</x:v>
      </x:c>
      <x:c r="D259" t="str">
        <x:v>EXACT</x:v>
      </x:c>
      <x:c r="E259" t="str">
        <x:v>{"z":15}</x:v>
      </x:c>
      <x:c r="F259" t="str">
        <x:v>EXACT</x:v>
      </x:c>
      <x:c r="G259"/>
      <x:c r="H259"/>
      <x:c r="I259"/>
      <x:c r="J259"/>
      <x:c r="K259"/>
      <x:c r="L259"/>
      <x:c r="M259" t="n">
        <x:v>72</x:v>
      </x:c>
      <x:c r="N259"/>
      <x:c r="O259"/>
      <x:c r="P259"/>
      <x:c r="Q259"/>
      <x:c r="R259"/>
      <x:c r="S259" t="n">
        <x:v>72</x:v>
      </x:c>
      <x:c r="T259" t="n">
        <x:v>72</x:v>
      </x:c>
      <x:c r="U259" s="28" t="n">
        <x:f>T259</x:f>
        <x:v>72</x:v>
      </x:c>
      <x:c r="V259" s="32" t="n">
        <x:f>IF(AND(ISNUMBER(S259),ISNUMBER(U259)),ABS(S259-U259),IF(S259=U259,0,1))</x:f>
        <x:v>0</x:v>
      </x:c>
      <x:c r="W259" s="30" t="str">
        <x:v>PASS</x:v>
      </x:c>
      <x:c r="X259" s="28" t="str">
        <x:f>IF(V259&lt;=1E-9,"PASS","FAIL")</x:f>
        <x:v>PASS</x:v>
      </x:c>
      <x:c r="Y259" t="str">
        <x:v>tr.33–34</x:v>
      </x:c>
      <x:c r="Z259" t="str"/>
    </x:row>
    <x:row r="260">
      <x:c r="A260" t="str">
        <x:v>G0257</x:v>
      </x:c>
      <x:c r="B260" t="str">
        <x:v>Bảng 3</x:v>
      </x:c>
      <x:c r="C260" t="str">
        <x:v>sand:coarse</x:v>
      </x:c>
      <x:c r="D260" t="str">
        <x:v>EXACT</x:v>
      </x:c>
      <x:c r="E260" t="str">
        <x:v>{"z":20}</x:v>
      </x:c>
      <x:c r="F260" t="str">
        <x:v>EXACT</x:v>
      </x:c>
      <x:c r="G260"/>
      <x:c r="H260"/>
      <x:c r="I260"/>
      <x:c r="J260"/>
      <x:c r="K260"/>
      <x:c r="L260"/>
      <x:c r="M260" t="n">
        <x:v>79</x:v>
      </x:c>
      <x:c r="N260"/>
      <x:c r="O260"/>
      <x:c r="P260"/>
      <x:c r="Q260"/>
      <x:c r="R260"/>
      <x:c r="S260" t="n">
        <x:v>79</x:v>
      </x:c>
      <x:c r="T260" t="n">
        <x:v>79</x:v>
      </x:c>
      <x:c r="U260" s="28" t="n">
        <x:f>T260</x:f>
        <x:v>79</x:v>
      </x:c>
      <x:c r="V260" s="32" t="n">
        <x:f>IF(AND(ISNUMBER(S260),ISNUMBER(U260)),ABS(S260-U260),IF(S260=U260,0,1))</x:f>
        <x:v>0</x:v>
      </x:c>
      <x:c r="W260" s="30" t="str">
        <x:v>PASS</x:v>
      </x:c>
      <x:c r="X260" s="28" t="str">
        <x:f>IF(V260&lt;=1E-9,"PASS","FAIL")</x:f>
        <x:v>PASS</x:v>
      </x:c>
      <x:c r="Y260" t="str">
        <x:v>tr.33–34</x:v>
      </x:c>
      <x:c r="Z260" t="str"/>
    </x:row>
    <x:row r="261">
      <x:c r="A261" t="str">
        <x:v>G0258</x:v>
      </x:c>
      <x:c r="B261" t="str">
        <x:v>Bảng 3</x:v>
      </x:c>
      <x:c r="C261" t="str">
        <x:v>sand:coarse</x:v>
      </x:c>
      <x:c r="D261" t="str">
        <x:v>EXACT</x:v>
      </x:c>
      <x:c r="E261" t="str">
        <x:v>{"z":25}</x:v>
      </x:c>
      <x:c r="F261" t="str">
        <x:v>EXACT</x:v>
      </x:c>
      <x:c r="G261"/>
      <x:c r="H261"/>
      <x:c r="I261"/>
      <x:c r="J261"/>
      <x:c r="K261"/>
      <x:c r="L261"/>
      <x:c r="M261" t="n">
        <x:v>86</x:v>
      </x:c>
      <x:c r="N261"/>
      <x:c r="O261"/>
      <x:c r="P261"/>
      <x:c r="Q261"/>
      <x:c r="R261"/>
      <x:c r="S261" t="n">
        <x:v>86</x:v>
      </x:c>
      <x:c r="T261" t="n">
        <x:v>86</x:v>
      </x:c>
      <x:c r="U261" s="28" t="n">
        <x:f>T261</x:f>
        <x:v>86</x:v>
      </x:c>
      <x:c r="V261" s="32" t="n">
        <x:f>IF(AND(ISNUMBER(S261),ISNUMBER(U261)),ABS(S261-U261),IF(S261=U261,0,1))</x:f>
        <x:v>0</x:v>
      </x:c>
      <x:c r="W261" s="30" t="str">
        <x:v>PASS</x:v>
      </x:c>
      <x:c r="X261" s="28" t="str">
        <x:f>IF(V261&lt;=1E-9,"PASS","FAIL")</x:f>
        <x:v>PASS</x:v>
      </x:c>
      <x:c r="Y261" t="str">
        <x:v>tr.33–34</x:v>
      </x:c>
      <x:c r="Z261" t="str"/>
    </x:row>
    <x:row r="262">
      <x:c r="A262" t="str">
        <x:v>G0259</x:v>
      </x:c>
      <x:c r="B262" t="str">
        <x:v>Bảng 3</x:v>
      </x:c>
      <x:c r="C262" t="str">
        <x:v>sand:coarse</x:v>
      </x:c>
      <x:c r="D262" t="str">
        <x:v>EXACT</x:v>
      </x:c>
      <x:c r="E262" t="str">
        <x:v>{"z":30}</x:v>
      </x:c>
      <x:c r="F262" t="str">
        <x:v>EXACT</x:v>
      </x:c>
      <x:c r="G262"/>
      <x:c r="H262"/>
      <x:c r="I262"/>
      <x:c r="J262"/>
      <x:c r="K262"/>
      <x:c r="L262"/>
      <x:c r="M262" t="n">
        <x:v>93</x:v>
      </x:c>
      <x:c r="N262"/>
      <x:c r="O262"/>
      <x:c r="P262"/>
      <x:c r="Q262"/>
      <x:c r="R262"/>
      <x:c r="S262" t="n">
        <x:v>93</x:v>
      </x:c>
      <x:c r="T262" t="n">
        <x:v>93</x:v>
      </x:c>
      <x:c r="U262" s="28" t="n">
        <x:f>T262</x:f>
        <x:v>93</x:v>
      </x:c>
      <x:c r="V262" s="32" t="n">
        <x:f>IF(AND(ISNUMBER(S262),ISNUMBER(U262)),ABS(S262-U262),IF(S262=U262,0,1))</x:f>
        <x:v>0</x:v>
      </x:c>
      <x:c r="W262" s="30" t="str">
        <x:v>PASS</x:v>
      </x:c>
      <x:c r="X262" s="28" t="str">
        <x:f>IF(V262&lt;=1E-9,"PASS","FAIL")</x:f>
        <x:v>PASS</x:v>
      </x:c>
      <x:c r="Y262" t="str">
        <x:v>tr.33–34</x:v>
      </x:c>
      <x:c r="Z262" t="str"/>
    </x:row>
    <x:row r="263">
      <x:c r="A263" t="str">
        <x:v>G0260</x:v>
      </x:c>
      <x:c r="B263" t="str">
        <x:v>Bảng 3</x:v>
      </x:c>
      <x:c r="C263" t="str">
        <x:v>sand:coarse</x:v>
      </x:c>
      <x:c r="D263" t="str">
        <x:v>EXACT</x:v>
      </x:c>
      <x:c r="E263" t="str">
        <x:v>{"z":35}</x:v>
      </x:c>
      <x:c r="F263" t="str">
        <x:v>EXACT</x:v>
      </x:c>
      <x:c r="G263"/>
      <x:c r="H263"/>
      <x:c r="I263"/>
      <x:c r="J263"/>
      <x:c r="K263"/>
      <x:c r="L263"/>
      <x:c r="M263" t="n">
        <x:v>100</x:v>
      </x:c>
      <x:c r="N263"/>
      <x:c r="O263"/>
      <x:c r="P263"/>
      <x:c r="Q263"/>
      <x:c r="R263"/>
      <x:c r="S263" t="n">
        <x:v>100</x:v>
      </x:c>
      <x:c r="T263" t="n">
        <x:v>100</x:v>
      </x:c>
      <x:c r="U263" s="28" t="n">
        <x:f>T263</x:f>
        <x:v>100</x:v>
      </x:c>
      <x:c r="V263" s="32" t="n">
        <x:f>IF(AND(ISNUMBER(S263),ISNUMBER(U263)),ABS(S263-U263),IF(S263=U263,0,1))</x:f>
        <x:v>0</x:v>
      </x:c>
      <x:c r="W263" s="30" t="str">
        <x:v>PASS</x:v>
      </x:c>
      <x:c r="X263" s="28" t="str">
        <x:f>IF(V263&lt;=1E-9,"PASS","FAIL")</x:f>
        <x:v>PASS</x:v>
      </x:c>
      <x:c r="Y263" t="str">
        <x:v>tr.33–34</x:v>
      </x:c>
      <x:c r="Z263" t="str"/>
    </x:row>
    <x:row r="264">
      <x:c r="A264" t="str">
        <x:v>G0261</x:v>
      </x:c>
      <x:c r="B264" t="str">
        <x:v>Bảng 3</x:v>
      </x:c>
      <x:c r="C264" t="str">
        <x:v>sand:coarse</x:v>
      </x:c>
      <x:c r="D264" t="str">
        <x:v>EXACT</x:v>
      </x:c>
      <x:c r="E264" t="str">
        <x:v>{"z":40}</x:v>
      </x:c>
      <x:c r="F264" t="str">
        <x:v>EXACT</x:v>
      </x:c>
      <x:c r="G264"/>
      <x:c r="H264"/>
      <x:c r="I264"/>
      <x:c r="J264"/>
      <x:c r="K264"/>
      <x:c r="L264"/>
      <x:c r="M264" t="n">
        <x:v>107</x:v>
      </x:c>
      <x:c r="N264"/>
      <x:c r="O264"/>
      <x:c r="P264"/>
      <x:c r="Q264"/>
      <x:c r="R264"/>
      <x:c r="S264" t="n">
        <x:v>107</x:v>
      </x:c>
      <x:c r="T264" t="n">
        <x:v>107</x:v>
      </x:c>
      <x:c r="U264" s="28" t="n">
        <x:f>T264</x:f>
        <x:v>107</x:v>
      </x:c>
      <x:c r="V264" s="32" t="n">
        <x:f>IF(AND(ISNUMBER(S264),ISNUMBER(U264)),ABS(S264-U264),IF(S264=U264,0,1))</x:f>
        <x:v>0</x:v>
      </x:c>
      <x:c r="W264" s="30" t="str">
        <x:v>PASS</x:v>
      </x:c>
      <x:c r="X264" s="28" t="str">
        <x:f>IF(V264&lt;=1E-9,"PASS","FAIL")</x:f>
        <x:v>PASS</x:v>
      </x:c>
      <x:c r="Y264" t="str">
        <x:v>tr.33–34</x:v>
      </x:c>
      <x:c r="Z264" t="str"/>
    </x:row>
    <x:row r="265">
      <x:c r="A265" t="str">
        <x:v>G0262</x:v>
      </x:c>
      <x:c r="B265" t="str">
        <x:v>Bảng 3</x:v>
      </x:c>
      <x:c r="C265" t="str">
        <x:v>sand:coarse</x:v>
      </x:c>
      <x:c r="D265" t="str">
        <x:v>MID</x:v>
      </x:c>
      <x:c r="E265" t="str">
        <x:v>{"z":1.5}</x:v>
      </x:c>
      <x:c r="F265" t="str">
        <x:v>LINEAR-1D</x:v>
      </x:c>
      <x:c r="G265" t="n">
        <x:v>1.5</x:v>
      </x:c>
      <x:c r="H265"/>
      <x:c r="I265" t="n">
        <x:v>1</x:v>
      </x:c>
      <x:c r="J265" t="n">
        <x:v>2</x:v>
      </x:c>
      <x:c r="K265"/>
      <x:c r="L265"/>
      <x:c r="M265" t="n">
        <x:v>35</x:v>
      </x:c>
      <x:c r="N265" t="n">
        <x:v>42</x:v>
      </x:c>
      <x:c r="O265"/>
      <x:c r="P265"/>
      <x:c r="Q265"/>
      <x:c r="R265"/>
      <x:c r="S265" t="n">
        <x:v>38.5</x:v>
      </x:c>
      <x:c r="T265" t="n">
        <x:v>38.5</x:v>
      </x:c>
      <x:c r="U265" s="28" t="n">
        <x:f>M265+(G265-I265)*(N265-M265)/(J265-I265)</x:f>
        <x:v>38.5</x:v>
      </x:c>
      <x:c r="V265" s="32" t="n">
        <x:f>IF(AND(ISNUMBER(S265),ISNUMBER(U265)),ABS(S265-U265),IF(S265=U265,0,1))</x:f>
        <x:v>0</x:v>
      </x:c>
      <x:c r="W265" s="30" t="str">
        <x:v>PASS</x:v>
      </x:c>
      <x:c r="X265" s="28" t="str">
        <x:f>IF(V265&lt;=1E-9,"PASS","FAIL")</x:f>
        <x:v>PASS</x:v>
      </x:c>
      <x:c r="Y265" t="str">
        <x:v>Chú thích 2</x:v>
      </x:c>
      <x:c r="Z265" t="str"/>
    </x:row>
    <x:row r="266">
      <x:c r="A266" t="str">
        <x:v>G0263</x:v>
      </x:c>
      <x:c r="B266" t="str">
        <x:v>Bảng 3</x:v>
      </x:c>
      <x:c r="C266" t="str">
        <x:v>sand:coarse</x:v>
      </x:c>
      <x:c r="D266" t="str">
        <x:v>MID</x:v>
      </x:c>
      <x:c r="E266" t="str">
        <x:v>{"z":2.5}</x:v>
      </x:c>
      <x:c r="F266" t="str">
        <x:v>LINEAR-1D</x:v>
      </x:c>
      <x:c r="G266" t="n">
        <x:v>2.5</x:v>
      </x:c>
      <x:c r="H266"/>
      <x:c r="I266" t="n">
        <x:v>2</x:v>
      </x:c>
      <x:c r="J266" t="n">
        <x:v>3</x:v>
      </x:c>
      <x:c r="K266"/>
      <x:c r="L266"/>
      <x:c r="M266" t="n">
        <x:v>42</x:v>
      </x:c>
      <x:c r="N266" t="n">
        <x:v>48</x:v>
      </x:c>
      <x:c r="O266"/>
      <x:c r="P266"/>
      <x:c r="Q266"/>
      <x:c r="R266"/>
      <x:c r="S266" t="n">
        <x:v>45</x:v>
      </x:c>
      <x:c r="T266" t="n">
        <x:v>45</x:v>
      </x:c>
      <x:c r="U266" s="28" t="n">
        <x:f>M266+(G266-I266)*(N266-M266)/(J266-I266)</x:f>
        <x:v>45</x:v>
      </x:c>
      <x:c r="V266" s="32" t="n">
        <x:f>IF(AND(ISNUMBER(S266),ISNUMBER(U266)),ABS(S266-U266),IF(S266=U266,0,1))</x:f>
        <x:v>0</x:v>
      </x:c>
      <x:c r="W266" s="30" t="str">
        <x:v>PASS</x:v>
      </x:c>
      <x:c r="X266" s="28" t="str">
        <x:f>IF(V266&lt;=1E-9,"PASS","FAIL")</x:f>
        <x:v>PASS</x:v>
      </x:c>
      <x:c r="Y266" t="str">
        <x:v>Chú thích 2</x:v>
      </x:c>
      <x:c r="Z266" t="str"/>
    </x:row>
    <x:row r="267">
      <x:c r="A267" t="str">
        <x:v>G0264</x:v>
      </x:c>
      <x:c r="B267" t="str">
        <x:v>Bảng 3</x:v>
      </x:c>
      <x:c r="C267" t="str">
        <x:v>sand:coarse</x:v>
      </x:c>
      <x:c r="D267" t="str">
        <x:v>MID</x:v>
      </x:c>
      <x:c r="E267" t="str">
        <x:v>{"z":3.5}</x:v>
      </x:c>
      <x:c r="F267" t="str">
        <x:v>LINEAR-1D</x:v>
      </x:c>
      <x:c r="G267" t="n">
        <x:v>3.5</x:v>
      </x:c>
      <x:c r="H267"/>
      <x:c r="I267" t="n">
        <x:v>3</x:v>
      </x:c>
      <x:c r="J267" t="n">
        <x:v>4</x:v>
      </x:c>
      <x:c r="K267"/>
      <x:c r="L267"/>
      <x:c r="M267" t="n">
        <x:v>48</x:v>
      </x:c>
      <x:c r="N267" t="n">
        <x:v>53</x:v>
      </x:c>
      <x:c r="O267"/>
      <x:c r="P267"/>
      <x:c r="Q267"/>
      <x:c r="R267"/>
      <x:c r="S267" t="n">
        <x:v>50.5</x:v>
      </x:c>
      <x:c r="T267" t="n">
        <x:v>50.5</x:v>
      </x:c>
      <x:c r="U267" s="28" t="n">
        <x:f>M267+(G267-I267)*(N267-M267)/(J267-I267)</x:f>
        <x:v>50.5</x:v>
      </x:c>
      <x:c r="V267" s="32" t="n">
        <x:f>IF(AND(ISNUMBER(S267),ISNUMBER(U267)),ABS(S267-U267),IF(S267=U267,0,1))</x:f>
        <x:v>0</x:v>
      </x:c>
      <x:c r="W267" s="30" t="str">
        <x:v>PASS</x:v>
      </x:c>
      <x:c r="X267" s="28" t="str">
        <x:f>IF(V267&lt;=1E-9,"PASS","FAIL")</x:f>
        <x:v>PASS</x:v>
      </x:c>
      <x:c r="Y267" t="str">
        <x:v>Chú thích 2</x:v>
      </x:c>
      <x:c r="Z267" t="str"/>
    </x:row>
    <x:row r="268">
      <x:c r="A268" t="str">
        <x:v>G0265</x:v>
      </x:c>
      <x:c r="B268" t="str">
        <x:v>Bảng 3</x:v>
      </x:c>
      <x:c r="C268" t="str">
        <x:v>sand:coarse</x:v>
      </x:c>
      <x:c r="D268" t="str">
        <x:v>MID</x:v>
      </x:c>
      <x:c r="E268" t="str">
        <x:v>{"z":4.5}</x:v>
      </x:c>
      <x:c r="F268" t="str">
        <x:v>LINEAR-1D</x:v>
      </x:c>
      <x:c r="G268" t="n">
        <x:v>4.5</x:v>
      </x:c>
      <x:c r="H268"/>
      <x:c r="I268" t="n">
        <x:v>4</x:v>
      </x:c>
      <x:c r="J268" t="n">
        <x:v>5</x:v>
      </x:c>
      <x:c r="K268"/>
      <x:c r="L268"/>
      <x:c r="M268" t="n">
        <x:v>53</x:v>
      </x:c>
      <x:c r="N268" t="n">
        <x:v>56</x:v>
      </x:c>
      <x:c r="O268"/>
      <x:c r="P268"/>
      <x:c r="Q268"/>
      <x:c r="R268"/>
      <x:c r="S268" t="n">
        <x:v>54.5</x:v>
      </x:c>
      <x:c r="T268" t="n">
        <x:v>54.5</x:v>
      </x:c>
      <x:c r="U268" s="28" t="n">
        <x:f>M268+(G268-I268)*(N268-M268)/(J268-I268)</x:f>
        <x:v>54.5</x:v>
      </x:c>
      <x:c r="V268" s="32" t="n">
        <x:f>IF(AND(ISNUMBER(S268),ISNUMBER(U268)),ABS(S268-U268),IF(S268=U268,0,1))</x:f>
        <x:v>0</x:v>
      </x:c>
      <x:c r="W268" s="30" t="str">
        <x:v>PASS</x:v>
      </x:c>
      <x:c r="X268" s="28" t="str">
        <x:f>IF(V268&lt;=1E-9,"PASS","FAIL")</x:f>
        <x:v>PASS</x:v>
      </x:c>
      <x:c r="Y268" t="str">
        <x:v>Chú thích 2</x:v>
      </x:c>
      <x:c r="Z268" t="str"/>
    </x:row>
    <x:row r="269">
      <x:c r="A269" t="str">
        <x:v>G0266</x:v>
      </x:c>
      <x:c r="B269" t="str">
        <x:v>Bảng 3</x:v>
      </x:c>
      <x:c r="C269" t="str">
        <x:v>sand:coarse</x:v>
      </x:c>
      <x:c r="D269" t="str">
        <x:v>MID</x:v>
      </x:c>
      <x:c r="E269" t="str">
        <x:v>{"z":5.5}</x:v>
      </x:c>
      <x:c r="F269" t="str">
        <x:v>LINEAR-1D</x:v>
      </x:c>
      <x:c r="G269" t="n">
        <x:v>5.5</x:v>
      </x:c>
      <x:c r="H269"/>
      <x:c r="I269" t="n">
        <x:v>5</x:v>
      </x:c>
      <x:c r="J269" t="n">
        <x:v>6</x:v>
      </x:c>
      <x:c r="K269"/>
      <x:c r="L269"/>
      <x:c r="M269" t="n">
        <x:v>56</x:v>
      </x:c>
      <x:c r="N269" t="n">
        <x:v>58</x:v>
      </x:c>
      <x:c r="O269"/>
      <x:c r="P269"/>
      <x:c r="Q269"/>
      <x:c r="R269"/>
      <x:c r="S269" t="n">
        <x:v>57</x:v>
      </x:c>
      <x:c r="T269" t="n">
        <x:v>57</x:v>
      </x:c>
      <x:c r="U269" s="28" t="n">
        <x:f>M269+(G269-I269)*(N269-M269)/(J269-I269)</x:f>
        <x:v>57</x:v>
      </x:c>
      <x:c r="V269" s="32" t="n">
        <x:f>IF(AND(ISNUMBER(S269),ISNUMBER(U269)),ABS(S269-U269),IF(S269=U269,0,1))</x:f>
        <x:v>0</x:v>
      </x:c>
      <x:c r="W269" s="30" t="str">
        <x:v>PASS</x:v>
      </x:c>
      <x:c r="X269" s="28" t="str">
        <x:f>IF(V269&lt;=1E-9,"PASS","FAIL")</x:f>
        <x:v>PASS</x:v>
      </x:c>
      <x:c r="Y269" t="str">
        <x:v>Chú thích 2</x:v>
      </x:c>
      <x:c r="Z269" t="str"/>
    </x:row>
    <x:row r="270">
      <x:c r="A270" t="str">
        <x:v>G0267</x:v>
      </x:c>
      <x:c r="B270" t="str">
        <x:v>Bảng 3</x:v>
      </x:c>
      <x:c r="C270" t="str">
        <x:v>sand:coarse</x:v>
      </x:c>
      <x:c r="D270" t="str">
        <x:v>MID</x:v>
      </x:c>
      <x:c r="E270" t="str">
        <x:v>{"z":7}</x:v>
      </x:c>
      <x:c r="F270" t="str">
        <x:v>LINEAR-1D</x:v>
      </x:c>
      <x:c r="G270" t="n">
        <x:v>7</x:v>
      </x:c>
      <x:c r="H270"/>
      <x:c r="I270" t="n">
        <x:v>6</x:v>
      </x:c>
      <x:c r="J270" t="n">
        <x:v>8</x:v>
      </x:c>
      <x:c r="K270"/>
      <x:c r="L270"/>
      <x:c r="M270" t="n">
        <x:v>58</x:v>
      </x:c>
      <x:c r="N270" t="n">
        <x:v>62</x:v>
      </x:c>
      <x:c r="O270"/>
      <x:c r="P270"/>
      <x:c r="Q270"/>
      <x:c r="R270"/>
      <x:c r="S270" t="n">
        <x:v>60</x:v>
      </x:c>
      <x:c r="T270" t="n">
        <x:v>60</x:v>
      </x:c>
      <x:c r="U270" s="28" t="n">
        <x:f>M270+(G270-I270)*(N270-M270)/(J270-I270)</x:f>
        <x:v>60</x:v>
      </x:c>
      <x:c r="V270" s="32" t="n">
        <x:f>IF(AND(ISNUMBER(S270),ISNUMBER(U270)),ABS(S270-U270),IF(S270=U270,0,1))</x:f>
        <x:v>0</x:v>
      </x:c>
      <x:c r="W270" s="30" t="str">
        <x:v>PASS</x:v>
      </x:c>
      <x:c r="X270" s="28" t="str">
        <x:f>IF(V270&lt;=1E-9,"PASS","FAIL")</x:f>
        <x:v>PASS</x:v>
      </x:c>
      <x:c r="Y270" t="str">
        <x:v>Chú thích 2</x:v>
      </x:c>
      <x:c r="Z270" t="str"/>
    </x:row>
    <x:row r="271">
      <x:c r="A271" t="str">
        <x:v>G0268</x:v>
      </x:c>
      <x:c r="B271" t="str">
        <x:v>Bảng 3</x:v>
      </x:c>
      <x:c r="C271" t="str">
        <x:v>sand:coarse</x:v>
      </x:c>
      <x:c r="D271" t="str">
        <x:v>MID</x:v>
      </x:c>
      <x:c r="E271" t="str">
        <x:v>{"z":9}</x:v>
      </x:c>
      <x:c r="F271" t="str">
        <x:v>LINEAR-1D</x:v>
      </x:c>
      <x:c r="G271" t="n">
        <x:v>9</x:v>
      </x:c>
      <x:c r="H271"/>
      <x:c r="I271" t="n">
        <x:v>8</x:v>
      </x:c>
      <x:c r="J271" t="n">
        <x:v>10</x:v>
      </x:c>
      <x:c r="K271"/>
      <x:c r="L271"/>
      <x:c r="M271" t="n">
        <x:v>62</x:v>
      </x:c>
      <x:c r="N271" t="n">
        <x:v>65</x:v>
      </x:c>
      <x:c r="O271"/>
      <x:c r="P271"/>
      <x:c r="Q271"/>
      <x:c r="R271"/>
      <x:c r="S271" t="n">
        <x:v>63.5</x:v>
      </x:c>
      <x:c r="T271" t="n">
        <x:v>63.5</x:v>
      </x:c>
      <x:c r="U271" s="28" t="n">
        <x:f>M271+(G271-I271)*(N271-M271)/(J271-I271)</x:f>
        <x:v>63.5</x:v>
      </x:c>
      <x:c r="V271" s="32" t="n">
        <x:f>IF(AND(ISNUMBER(S271),ISNUMBER(U271)),ABS(S271-U271),IF(S271=U271,0,1))</x:f>
        <x:v>0</x:v>
      </x:c>
      <x:c r="W271" s="30" t="str">
        <x:v>PASS</x:v>
      </x:c>
      <x:c r="X271" s="28" t="str">
        <x:f>IF(V271&lt;=1E-9,"PASS","FAIL")</x:f>
        <x:v>PASS</x:v>
      </x:c>
      <x:c r="Y271" t="str">
        <x:v>Chú thích 2</x:v>
      </x:c>
      <x:c r="Z271" t="str"/>
    </x:row>
    <x:row r="272">
      <x:c r="A272" t="str">
        <x:v>G0269</x:v>
      </x:c>
      <x:c r="B272" t="str">
        <x:v>Bảng 3</x:v>
      </x:c>
      <x:c r="C272" t="str">
        <x:v>sand:coarse</x:v>
      </x:c>
      <x:c r="D272" t="str">
        <x:v>MID</x:v>
      </x:c>
      <x:c r="E272" t="str">
        <x:v>{"z":12.5}</x:v>
      </x:c>
      <x:c r="F272" t="str">
        <x:v>LINEAR-1D</x:v>
      </x:c>
      <x:c r="G272" t="n">
        <x:v>12.5</x:v>
      </x:c>
      <x:c r="H272"/>
      <x:c r="I272" t="n">
        <x:v>10</x:v>
      </x:c>
      <x:c r="J272" t="n">
        <x:v>15</x:v>
      </x:c>
      <x:c r="K272"/>
      <x:c r="L272"/>
      <x:c r="M272" t="n">
        <x:v>65</x:v>
      </x:c>
      <x:c r="N272" t="n">
        <x:v>72</x:v>
      </x:c>
      <x:c r="O272"/>
      <x:c r="P272"/>
      <x:c r="Q272"/>
      <x:c r="R272"/>
      <x:c r="S272" t="n">
        <x:v>68.5</x:v>
      </x:c>
      <x:c r="T272" t="n">
        <x:v>68.5</x:v>
      </x:c>
      <x:c r="U272" s="28" t="n">
        <x:f>M272+(G272-I272)*(N272-M272)/(J272-I272)</x:f>
        <x:v>68.5</x:v>
      </x:c>
      <x:c r="V272" s="32" t="n">
        <x:f>IF(AND(ISNUMBER(S272),ISNUMBER(U272)),ABS(S272-U272),IF(S272=U272,0,1))</x:f>
        <x:v>0</x:v>
      </x:c>
      <x:c r="W272" s="30" t="str">
        <x:v>PASS</x:v>
      </x:c>
      <x:c r="X272" s="28" t="str">
        <x:f>IF(V272&lt;=1E-9,"PASS","FAIL")</x:f>
        <x:v>PASS</x:v>
      </x:c>
      <x:c r="Y272" t="str">
        <x:v>Chú thích 2</x:v>
      </x:c>
      <x:c r="Z272" t="str"/>
    </x:row>
    <x:row r="273">
      <x:c r="A273" t="str">
        <x:v>G0270</x:v>
      </x:c>
      <x:c r="B273" t="str">
        <x:v>Bảng 3</x:v>
      </x:c>
      <x:c r="C273" t="str">
        <x:v>sand:coarse</x:v>
      </x:c>
      <x:c r="D273" t="str">
        <x:v>MID</x:v>
      </x:c>
      <x:c r="E273" t="str">
        <x:v>{"z":17.5}</x:v>
      </x:c>
      <x:c r="F273" t="str">
        <x:v>LINEAR-1D</x:v>
      </x:c>
      <x:c r="G273" t="n">
        <x:v>17.5</x:v>
      </x:c>
      <x:c r="H273"/>
      <x:c r="I273" t="n">
        <x:v>15</x:v>
      </x:c>
      <x:c r="J273" t="n">
        <x:v>20</x:v>
      </x:c>
      <x:c r="K273"/>
      <x:c r="L273"/>
      <x:c r="M273" t="n">
        <x:v>72</x:v>
      </x:c>
      <x:c r="N273" t="n">
        <x:v>79</x:v>
      </x:c>
      <x:c r="O273"/>
      <x:c r="P273"/>
      <x:c r="Q273"/>
      <x:c r="R273"/>
      <x:c r="S273" t="n">
        <x:v>75.5</x:v>
      </x:c>
      <x:c r="T273" t="n">
        <x:v>75.5</x:v>
      </x:c>
      <x:c r="U273" s="28" t="n">
        <x:f>M273+(G273-I273)*(N273-M273)/(J273-I273)</x:f>
        <x:v>75.5</x:v>
      </x:c>
      <x:c r="V273" s="32" t="n">
        <x:f>IF(AND(ISNUMBER(S273),ISNUMBER(U273)),ABS(S273-U273),IF(S273=U273,0,1))</x:f>
        <x:v>0</x:v>
      </x:c>
      <x:c r="W273" s="30" t="str">
        <x:v>PASS</x:v>
      </x:c>
      <x:c r="X273" s="28" t="str">
        <x:f>IF(V273&lt;=1E-9,"PASS","FAIL")</x:f>
        <x:v>PASS</x:v>
      </x:c>
      <x:c r="Y273" t="str">
        <x:v>Chú thích 2</x:v>
      </x:c>
      <x:c r="Z273" t="str"/>
    </x:row>
    <x:row r="274">
      <x:c r="A274" t="str">
        <x:v>G0271</x:v>
      </x:c>
      <x:c r="B274" t="str">
        <x:v>Bảng 3</x:v>
      </x:c>
      <x:c r="C274" t="str">
        <x:v>sand:coarse</x:v>
      </x:c>
      <x:c r="D274" t="str">
        <x:v>MID</x:v>
      </x:c>
      <x:c r="E274" t="str">
        <x:v>{"z":22.5}</x:v>
      </x:c>
      <x:c r="F274" t="str">
        <x:v>LINEAR-1D</x:v>
      </x:c>
      <x:c r="G274" t="n">
        <x:v>22.5</x:v>
      </x:c>
      <x:c r="H274"/>
      <x:c r="I274" t="n">
        <x:v>20</x:v>
      </x:c>
      <x:c r="J274" t="n">
        <x:v>25</x:v>
      </x:c>
      <x:c r="K274"/>
      <x:c r="L274"/>
      <x:c r="M274" t="n">
        <x:v>79</x:v>
      </x:c>
      <x:c r="N274" t="n">
        <x:v>86</x:v>
      </x:c>
      <x:c r="O274"/>
      <x:c r="P274"/>
      <x:c r="Q274"/>
      <x:c r="R274"/>
      <x:c r="S274" t="n">
        <x:v>82.5</x:v>
      </x:c>
      <x:c r="T274" t="n">
        <x:v>82.5</x:v>
      </x:c>
      <x:c r="U274" s="28" t="n">
        <x:f>M274+(G274-I274)*(N274-M274)/(J274-I274)</x:f>
        <x:v>82.5</x:v>
      </x:c>
      <x:c r="V274" s="32" t="n">
        <x:f>IF(AND(ISNUMBER(S274),ISNUMBER(U274)),ABS(S274-U274),IF(S274=U274,0,1))</x:f>
        <x:v>0</x:v>
      </x:c>
      <x:c r="W274" s="30" t="str">
        <x:v>PASS</x:v>
      </x:c>
      <x:c r="X274" s="28" t="str">
        <x:f>IF(V274&lt;=1E-9,"PASS","FAIL")</x:f>
        <x:v>PASS</x:v>
      </x:c>
      <x:c r="Y274" t="str">
        <x:v>Chú thích 2</x:v>
      </x:c>
      <x:c r="Z274" t="str"/>
    </x:row>
    <x:row r="275">
      <x:c r="A275" t="str">
        <x:v>G0272</x:v>
      </x:c>
      <x:c r="B275" t="str">
        <x:v>Bảng 3</x:v>
      </x:c>
      <x:c r="C275" t="str">
        <x:v>sand:coarse</x:v>
      </x:c>
      <x:c r="D275" t="str">
        <x:v>MID</x:v>
      </x:c>
      <x:c r="E275" t="str">
        <x:v>{"z":27.5}</x:v>
      </x:c>
      <x:c r="F275" t="str">
        <x:v>LINEAR-1D</x:v>
      </x:c>
      <x:c r="G275" t="n">
        <x:v>27.5</x:v>
      </x:c>
      <x:c r="H275"/>
      <x:c r="I275" t="n">
        <x:v>25</x:v>
      </x:c>
      <x:c r="J275" t="n">
        <x:v>30</x:v>
      </x:c>
      <x:c r="K275"/>
      <x:c r="L275"/>
      <x:c r="M275" t="n">
        <x:v>86</x:v>
      </x:c>
      <x:c r="N275" t="n">
        <x:v>93</x:v>
      </x:c>
      <x:c r="O275"/>
      <x:c r="P275"/>
      <x:c r="Q275"/>
      <x:c r="R275"/>
      <x:c r="S275" t="n">
        <x:v>89.5</x:v>
      </x:c>
      <x:c r="T275" t="n">
        <x:v>89.5</x:v>
      </x:c>
      <x:c r="U275" s="28" t="n">
        <x:f>M275+(G275-I275)*(N275-M275)/(J275-I275)</x:f>
        <x:v>89.5</x:v>
      </x:c>
      <x:c r="V275" s="32" t="n">
        <x:f>IF(AND(ISNUMBER(S275),ISNUMBER(U275)),ABS(S275-U275),IF(S275=U275,0,1))</x:f>
        <x:v>0</x:v>
      </x:c>
      <x:c r="W275" s="30" t="str">
        <x:v>PASS</x:v>
      </x:c>
      <x:c r="X275" s="28" t="str">
        <x:f>IF(V275&lt;=1E-9,"PASS","FAIL")</x:f>
        <x:v>PASS</x:v>
      </x:c>
      <x:c r="Y275" t="str">
        <x:v>Chú thích 2</x:v>
      </x:c>
      <x:c r="Z275" t="str"/>
    </x:row>
    <x:row r="276">
      <x:c r="A276" t="str">
        <x:v>G0273</x:v>
      </x:c>
      <x:c r="B276" t="str">
        <x:v>Bảng 3</x:v>
      </x:c>
      <x:c r="C276" t="str">
        <x:v>sand:coarse</x:v>
      </x:c>
      <x:c r="D276" t="str">
        <x:v>MID</x:v>
      </x:c>
      <x:c r="E276" t="str">
        <x:v>{"z":32.5}</x:v>
      </x:c>
      <x:c r="F276" t="str">
        <x:v>LINEAR-1D</x:v>
      </x:c>
      <x:c r="G276" t="n">
        <x:v>32.5</x:v>
      </x:c>
      <x:c r="H276"/>
      <x:c r="I276" t="n">
        <x:v>30</x:v>
      </x:c>
      <x:c r="J276" t="n">
        <x:v>35</x:v>
      </x:c>
      <x:c r="K276"/>
      <x:c r="L276"/>
      <x:c r="M276" t="n">
        <x:v>93</x:v>
      </x:c>
      <x:c r="N276" t="n">
        <x:v>100</x:v>
      </x:c>
      <x:c r="O276"/>
      <x:c r="P276"/>
      <x:c r="Q276"/>
      <x:c r="R276"/>
      <x:c r="S276" t="n">
        <x:v>96.5</x:v>
      </x:c>
      <x:c r="T276" t="n">
        <x:v>96.5</x:v>
      </x:c>
      <x:c r="U276" s="28" t="n">
        <x:f>M276+(G276-I276)*(N276-M276)/(J276-I276)</x:f>
        <x:v>96.5</x:v>
      </x:c>
      <x:c r="V276" s="32" t="n">
        <x:f>IF(AND(ISNUMBER(S276),ISNUMBER(U276)),ABS(S276-U276),IF(S276=U276,0,1))</x:f>
        <x:v>0</x:v>
      </x:c>
      <x:c r="W276" s="30" t="str">
        <x:v>PASS</x:v>
      </x:c>
      <x:c r="X276" s="28" t="str">
        <x:f>IF(V276&lt;=1E-9,"PASS","FAIL")</x:f>
        <x:v>PASS</x:v>
      </x:c>
      <x:c r="Y276" t="str">
        <x:v>Chú thích 2</x:v>
      </x:c>
      <x:c r="Z276" t="str"/>
    </x:row>
    <x:row r="277">
      <x:c r="A277" t="str">
        <x:v>G0274</x:v>
      </x:c>
      <x:c r="B277" t="str">
        <x:v>Bảng 3</x:v>
      </x:c>
      <x:c r="C277" t="str">
        <x:v>sand:coarse</x:v>
      </x:c>
      <x:c r="D277" t="str">
        <x:v>MID</x:v>
      </x:c>
      <x:c r="E277" t="str">
        <x:v>{"z":37.5}</x:v>
      </x:c>
      <x:c r="F277" t="str">
        <x:v>LINEAR-1D</x:v>
      </x:c>
      <x:c r="G277" t="n">
        <x:v>37.5</x:v>
      </x:c>
      <x:c r="H277"/>
      <x:c r="I277" t="n">
        <x:v>35</x:v>
      </x:c>
      <x:c r="J277" t="n">
        <x:v>40</x:v>
      </x:c>
      <x:c r="K277"/>
      <x:c r="L277"/>
      <x:c r="M277" t="n">
        <x:v>100</x:v>
      </x:c>
      <x:c r="N277" t="n">
        <x:v>107</x:v>
      </x:c>
      <x:c r="O277"/>
      <x:c r="P277"/>
      <x:c r="Q277"/>
      <x:c r="R277"/>
      <x:c r="S277" t="n">
        <x:v>103.5</x:v>
      </x:c>
      <x:c r="T277" t="n">
        <x:v>103.5</x:v>
      </x:c>
      <x:c r="U277" s="28" t="n">
        <x:f>M277+(G277-I277)*(N277-M277)/(J277-I277)</x:f>
        <x:v>103.5</x:v>
      </x:c>
      <x:c r="V277" s="32" t="n">
        <x:f>IF(AND(ISNUMBER(S277),ISNUMBER(U277)),ABS(S277-U277),IF(S277=U277,0,1))</x:f>
        <x:v>0</x:v>
      </x:c>
      <x:c r="W277" s="30" t="str">
        <x:v>PASS</x:v>
      </x:c>
      <x:c r="X277" s="28" t="str">
        <x:f>IF(V277&lt;=1E-9,"PASS","FAIL")</x:f>
        <x:v>PASS</x:v>
      </x:c>
      <x:c r="Y277" t="str">
        <x:v>Chú thích 2</x:v>
      </x:c>
      <x:c r="Z277" t="str"/>
    </x:row>
    <x:row r="278">
      <x:c r="A278" t="str">
        <x:v>G0275</x:v>
      </x:c>
      <x:c r="B278" t="str">
        <x:v>Bảng 3</x:v>
      </x:c>
      <x:c r="C278" t="str">
        <x:v>sand:medium</x:v>
      </x:c>
      <x:c r="D278" t="str">
        <x:v>EXACT</x:v>
      </x:c>
      <x:c r="E278" t="str">
        <x:v>{"z":1}</x:v>
      </x:c>
      <x:c r="F278" t="str">
        <x:v>EXACT</x:v>
      </x:c>
      <x:c r="G278"/>
      <x:c r="H278"/>
      <x:c r="I278"/>
      <x:c r="J278"/>
      <x:c r="K278"/>
      <x:c r="L278"/>
      <x:c r="M278" t="n">
        <x:v>35</x:v>
      </x:c>
      <x:c r="N278"/>
      <x:c r="O278"/>
      <x:c r="P278"/>
      <x:c r="Q278"/>
      <x:c r="R278"/>
      <x:c r="S278" t="n">
        <x:v>35</x:v>
      </x:c>
      <x:c r="T278" t="n">
        <x:v>35</x:v>
      </x:c>
      <x:c r="U278" s="28" t="n">
        <x:f>T278</x:f>
        <x:v>35</x:v>
      </x:c>
      <x:c r="V278" s="32" t="n">
        <x:f>IF(AND(ISNUMBER(S278),ISNUMBER(U278)),ABS(S278-U278),IF(S278=U278,0,1))</x:f>
        <x:v>0</x:v>
      </x:c>
      <x:c r="W278" s="30" t="str">
        <x:v>PASS</x:v>
      </x:c>
      <x:c r="X278" s="28" t="str">
        <x:f>IF(V278&lt;=1E-9,"PASS","FAIL")</x:f>
        <x:v>PASS</x:v>
      </x:c>
      <x:c r="Y278" t="str">
        <x:v>tr.33–34</x:v>
      </x:c>
      <x:c r="Z278" t="str"/>
    </x:row>
    <x:row r="279">
      <x:c r="A279" t="str">
        <x:v>G0276</x:v>
      </x:c>
      <x:c r="B279" t="str">
        <x:v>Bảng 3</x:v>
      </x:c>
      <x:c r="C279" t="str">
        <x:v>sand:medium</x:v>
      </x:c>
      <x:c r="D279" t="str">
        <x:v>EXACT</x:v>
      </x:c>
      <x:c r="E279" t="str">
        <x:v>{"z":2}</x:v>
      </x:c>
      <x:c r="F279" t="str">
        <x:v>EXACT</x:v>
      </x:c>
      <x:c r="G279"/>
      <x:c r="H279"/>
      <x:c r="I279"/>
      <x:c r="J279"/>
      <x:c r="K279"/>
      <x:c r="L279"/>
      <x:c r="M279" t="n">
        <x:v>42</x:v>
      </x:c>
      <x:c r="N279"/>
      <x:c r="O279"/>
      <x:c r="P279"/>
      <x:c r="Q279"/>
      <x:c r="R279"/>
      <x:c r="S279" t="n">
        <x:v>42</x:v>
      </x:c>
      <x:c r="T279" t="n">
        <x:v>42</x:v>
      </x:c>
      <x:c r="U279" s="28" t="n">
        <x:f>T279</x:f>
        <x:v>42</x:v>
      </x:c>
      <x:c r="V279" s="32" t="n">
        <x:f>IF(AND(ISNUMBER(S279),ISNUMBER(U279)),ABS(S279-U279),IF(S279=U279,0,1))</x:f>
        <x:v>0</x:v>
      </x:c>
      <x:c r="W279" s="30" t="str">
        <x:v>PASS</x:v>
      </x:c>
      <x:c r="X279" s="28" t="str">
        <x:f>IF(V279&lt;=1E-9,"PASS","FAIL")</x:f>
        <x:v>PASS</x:v>
      </x:c>
      <x:c r="Y279" t="str">
        <x:v>tr.33–34</x:v>
      </x:c>
      <x:c r="Z279" t="str"/>
    </x:row>
    <x:row r="280">
      <x:c r="A280" t="str">
        <x:v>G0277</x:v>
      </x:c>
      <x:c r="B280" t="str">
        <x:v>Bảng 3</x:v>
      </x:c>
      <x:c r="C280" t="str">
        <x:v>sand:medium</x:v>
      </x:c>
      <x:c r="D280" t="str">
        <x:v>EXACT</x:v>
      </x:c>
      <x:c r="E280" t="str">
        <x:v>{"z":3}</x:v>
      </x:c>
      <x:c r="F280" t="str">
        <x:v>EXACT</x:v>
      </x:c>
      <x:c r="G280"/>
      <x:c r="H280"/>
      <x:c r="I280"/>
      <x:c r="J280"/>
      <x:c r="K280"/>
      <x:c r="L280"/>
      <x:c r="M280" t="n">
        <x:v>48</x:v>
      </x:c>
      <x:c r="N280"/>
      <x:c r="O280"/>
      <x:c r="P280"/>
      <x:c r="Q280"/>
      <x:c r="R280"/>
      <x:c r="S280" t="n">
        <x:v>48</x:v>
      </x:c>
      <x:c r="T280" t="n">
        <x:v>48</x:v>
      </x:c>
      <x:c r="U280" s="28" t="n">
        <x:f>T280</x:f>
        <x:v>48</x:v>
      </x:c>
      <x:c r="V280" s="32" t="n">
        <x:f>IF(AND(ISNUMBER(S280),ISNUMBER(U280)),ABS(S280-U280),IF(S280=U280,0,1))</x:f>
        <x:v>0</x:v>
      </x:c>
      <x:c r="W280" s="30" t="str">
        <x:v>PASS</x:v>
      </x:c>
      <x:c r="X280" s="28" t="str">
        <x:f>IF(V280&lt;=1E-9,"PASS","FAIL")</x:f>
        <x:v>PASS</x:v>
      </x:c>
      <x:c r="Y280" t="str">
        <x:v>tr.33–34</x:v>
      </x:c>
      <x:c r="Z280" t="str"/>
    </x:row>
    <x:row r="281">
      <x:c r="A281" t="str">
        <x:v>G0278</x:v>
      </x:c>
      <x:c r="B281" t="str">
        <x:v>Bảng 3</x:v>
      </x:c>
      <x:c r="C281" t="str">
        <x:v>sand:medium</x:v>
      </x:c>
      <x:c r="D281" t="str">
        <x:v>EXACT</x:v>
      </x:c>
      <x:c r="E281" t="str">
        <x:v>{"z":4}</x:v>
      </x:c>
      <x:c r="F281" t="str">
        <x:v>EXACT</x:v>
      </x:c>
      <x:c r="G281"/>
      <x:c r="H281"/>
      <x:c r="I281"/>
      <x:c r="J281"/>
      <x:c r="K281"/>
      <x:c r="L281"/>
      <x:c r="M281" t="n">
        <x:v>53</x:v>
      </x:c>
      <x:c r="N281"/>
      <x:c r="O281"/>
      <x:c r="P281"/>
      <x:c r="Q281"/>
      <x:c r="R281"/>
      <x:c r="S281" t="n">
        <x:v>53</x:v>
      </x:c>
      <x:c r="T281" t="n">
        <x:v>53</x:v>
      </x:c>
      <x:c r="U281" s="28" t="n">
        <x:f>T281</x:f>
        <x:v>53</x:v>
      </x:c>
      <x:c r="V281" s="32" t="n">
        <x:f>IF(AND(ISNUMBER(S281),ISNUMBER(U281)),ABS(S281-U281),IF(S281=U281,0,1))</x:f>
        <x:v>0</x:v>
      </x:c>
      <x:c r="W281" s="30" t="str">
        <x:v>PASS</x:v>
      </x:c>
      <x:c r="X281" s="28" t="str">
        <x:f>IF(V281&lt;=1E-9,"PASS","FAIL")</x:f>
        <x:v>PASS</x:v>
      </x:c>
      <x:c r="Y281" t="str">
        <x:v>tr.33–34</x:v>
      </x:c>
      <x:c r="Z281" t="str"/>
    </x:row>
    <x:row r="282">
      <x:c r="A282" t="str">
        <x:v>G0279</x:v>
      </x:c>
      <x:c r="B282" t="str">
        <x:v>Bảng 3</x:v>
      </x:c>
      <x:c r="C282" t="str">
        <x:v>sand:medium</x:v>
      </x:c>
      <x:c r="D282" t="str">
        <x:v>EXACT</x:v>
      </x:c>
      <x:c r="E282" t="str">
        <x:v>{"z":5}</x:v>
      </x:c>
      <x:c r="F282" t="str">
        <x:v>EXACT</x:v>
      </x:c>
      <x:c r="G282"/>
      <x:c r="H282"/>
      <x:c r="I282"/>
      <x:c r="J282"/>
      <x:c r="K282"/>
      <x:c r="L282"/>
      <x:c r="M282" t="n">
        <x:v>56</x:v>
      </x:c>
      <x:c r="N282"/>
      <x:c r="O282"/>
      <x:c r="P282"/>
      <x:c r="Q282"/>
      <x:c r="R282"/>
      <x:c r="S282" t="n">
        <x:v>56</x:v>
      </x:c>
      <x:c r="T282" t="n">
        <x:v>56</x:v>
      </x:c>
      <x:c r="U282" s="28" t="n">
        <x:f>T282</x:f>
        <x:v>56</x:v>
      </x:c>
      <x:c r="V282" s="32" t="n">
        <x:f>IF(AND(ISNUMBER(S282),ISNUMBER(U282)),ABS(S282-U282),IF(S282=U282,0,1))</x:f>
        <x:v>0</x:v>
      </x:c>
      <x:c r="W282" s="30" t="str">
        <x:v>PASS</x:v>
      </x:c>
      <x:c r="X282" s="28" t="str">
        <x:f>IF(V282&lt;=1E-9,"PASS","FAIL")</x:f>
        <x:v>PASS</x:v>
      </x:c>
      <x:c r="Y282" t="str">
        <x:v>tr.33–34</x:v>
      </x:c>
      <x:c r="Z282" t="str"/>
    </x:row>
    <x:row r="283">
      <x:c r="A283" t="str">
        <x:v>G0280</x:v>
      </x:c>
      <x:c r="B283" t="str">
        <x:v>Bảng 3</x:v>
      </x:c>
      <x:c r="C283" t="str">
        <x:v>sand:medium</x:v>
      </x:c>
      <x:c r="D283" t="str">
        <x:v>EXACT</x:v>
      </x:c>
      <x:c r="E283" t="str">
        <x:v>{"z":6}</x:v>
      </x:c>
      <x:c r="F283" t="str">
        <x:v>EXACT</x:v>
      </x:c>
      <x:c r="G283"/>
      <x:c r="H283"/>
      <x:c r="I283"/>
      <x:c r="J283"/>
      <x:c r="K283"/>
      <x:c r="L283"/>
      <x:c r="M283" t="n">
        <x:v>58</x:v>
      </x:c>
      <x:c r="N283"/>
      <x:c r="O283"/>
      <x:c r="P283"/>
      <x:c r="Q283"/>
      <x:c r="R283"/>
      <x:c r="S283" t="n">
        <x:v>58</x:v>
      </x:c>
      <x:c r="T283" t="n">
        <x:v>58</x:v>
      </x:c>
      <x:c r="U283" s="28" t="n">
        <x:f>T283</x:f>
        <x:v>58</x:v>
      </x:c>
      <x:c r="V283" s="32" t="n">
        <x:f>IF(AND(ISNUMBER(S283),ISNUMBER(U283)),ABS(S283-U283),IF(S283=U283,0,1))</x:f>
        <x:v>0</x:v>
      </x:c>
      <x:c r="W283" s="30" t="str">
        <x:v>PASS</x:v>
      </x:c>
      <x:c r="X283" s="28" t="str">
        <x:f>IF(V283&lt;=1E-9,"PASS","FAIL")</x:f>
        <x:v>PASS</x:v>
      </x:c>
      <x:c r="Y283" t="str">
        <x:v>tr.33–34</x:v>
      </x:c>
      <x:c r="Z283" t="str"/>
    </x:row>
    <x:row r="284">
      <x:c r="A284" t="str">
        <x:v>G0281</x:v>
      </x:c>
      <x:c r="B284" t="str">
        <x:v>Bảng 3</x:v>
      </x:c>
      <x:c r="C284" t="str">
        <x:v>sand:medium</x:v>
      </x:c>
      <x:c r="D284" t="str">
        <x:v>EXACT</x:v>
      </x:c>
      <x:c r="E284" t="str">
        <x:v>{"z":8}</x:v>
      </x:c>
      <x:c r="F284" t="str">
        <x:v>EXACT</x:v>
      </x:c>
      <x:c r="G284"/>
      <x:c r="H284"/>
      <x:c r="I284"/>
      <x:c r="J284"/>
      <x:c r="K284"/>
      <x:c r="L284"/>
      <x:c r="M284" t="n">
        <x:v>62</x:v>
      </x:c>
      <x:c r="N284"/>
      <x:c r="O284"/>
      <x:c r="P284"/>
      <x:c r="Q284"/>
      <x:c r="R284"/>
      <x:c r="S284" t="n">
        <x:v>62</x:v>
      </x:c>
      <x:c r="T284" t="n">
        <x:v>62</x:v>
      </x:c>
      <x:c r="U284" s="28" t="n">
        <x:f>T284</x:f>
        <x:v>62</x:v>
      </x:c>
      <x:c r="V284" s="32" t="n">
        <x:f>IF(AND(ISNUMBER(S284),ISNUMBER(U284)),ABS(S284-U284),IF(S284=U284,0,1))</x:f>
        <x:v>0</x:v>
      </x:c>
      <x:c r="W284" s="30" t="str">
        <x:v>PASS</x:v>
      </x:c>
      <x:c r="X284" s="28" t="str">
        <x:f>IF(V284&lt;=1E-9,"PASS","FAIL")</x:f>
        <x:v>PASS</x:v>
      </x:c>
      <x:c r="Y284" t="str">
        <x:v>tr.33–34</x:v>
      </x:c>
      <x:c r="Z284" t="str"/>
    </x:row>
    <x:row r="285">
      <x:c r="A285" t="str">
        <x:v>G0282</x:v>
      </x:c>
      <x:c r="B285" t="str">
        <x:v>Bảng 3</x:v>
      </x:c>
      <x:c r="C285" t="str">
        <x:v>sand:medium</x:v>
      </x:c>
      <x:c r="D285" t="str">
        <x:v>EXACT</x:v>
      </x:c>
      <x:c r="E285" t="str">
        <x:v>{"z":10}</x:v>
      </x:c>
      <x:c r="F285" t="str">
        <x:v>EXACT</x:v>
      </x:c>
      <x:c r="G285"/>
      <x:c r="H285"/>
      <x:c r="I285"/>
      <x:c r="J285"/>
      <x:c r="K285"/>
      <x:c r="L285"/>
      <x:c r="M285" t="n">
        <x:v>65</x:v>
      </x:c>
      <x:c r="N285"/>
      <x:c r="O285"/>
      <x:c r="P285"/>
      <x:c r="Q285"/>
      <x:c r="R285"/>
      <x:c r="S285" t="n">
        <x:v>65</x:v>
      </x:c>
      <x:c r="T285" t="n">
        <x:v>65</x:v>
      </x:c>
      <x:c r="U285" s="28" t="n">
        <x:f>T285</x:f>
        <x:v>65</x:v>
      </x:c>
      <x:c r="V285" s="32" t="n">
        <x:f>IF(AND(ISNUMBER(S285),ISNUMBER(U285)),ABS(S285-U285),IF(S285=U285,0,1))</x:f>
        <x:v>0</x:v>
      </x:c>
      <x:c r="W285" s="30" t="str">
        <x:v>PASS</x:v>
      </x:c>
      <x:c r="X285" s="28" t="str">
        <x:f>IF(V285&lt;=1E-9,"PASS","FAIL")</x:f>
        <x:v>PASS</x:v>
      </x:c>
      <x:c r="Y285" t="str">
        <x:v>tr.33–34</x:v>
      </x:c>
      <x:c r="Z285" t="str"/>
    </x:row>
    <x:row r="286">
      <x:c r="A286" t="str">
        <x:v>G0283</x:v>
      </x:c>
      <x:c r="B286" t="str">
        <x:v>Bảng 3</x:v>
      </x:c>
      <x:c r="C286" t="str">
        <x:v>sand:medium</x:v>
      </x:c>
      <x:c r="D286" t="str">
        <x:v>EXACT</x:v>
      </x:c>
      <x:c r="E286" t="str">
        <x:v>{"z":15}</x:v>
      </x:c>
      <x:c r="F286" t="str">
        <x:v>EXACT</x:v>
      </x:c>
      <x:c r="G286"/>
      <x:c r="H286"/>
      <x:c r="I286"/>
      <x:c r="J286"/>
      <x:c r="K286"/>
      <x:c r="L286"/>
      <x:c r="M286" t="n">
        <x:v>72</x:v>
      </x:c>
      <x:c r="N286"/>
      <x:c r="O286"/>
      <x:c r="P286"/>
      <x:c r="Q286"/>
      <x:c r="R286"/>
      <x:c r="S286" t="n">
        <x:v>72</x:v>
      </x:c>
      <x:c r="T286" t="n">
        <x:v>72</x:v>
      </x:c>
      <x:c r="U286" s="28" t="n">
        <x:f>T286</x:f>
        <x:v>72</x:v>
      </x:c>
      <x:c r="V286" s="32" t="n">
        <x:f>IF(AND(ISNUMBER(S286),ISNUMBER(U286)),ABS(S286-U286),IF(S286=U286,0,1))</x:f>
        <x:v>0</x:v>
      </x:c>
      <x:c r="W286" s="30" t="str">
        <x:v>PASS</x:v>
      </x:c>
      <x:c r="X286" s="28" t="str">
        <x:f>IF(V286&lt;=1E-9,"PASS","FAIL")</x:f>
        <x:v>PASS</x:v>
      </x:c>
      <x:c r="Y286" t="str">
        <x:v>tr.33–34</x:v>
      </x:c>
      <x:c r="Z286" t="str"/>
    </x:row>
    <x:row r="287">
      <x:c r="A287" t="str">
        <x:v>G0284</x:v>
      </x:c>
      <x:c r="B287" t="str">
        <x:v>Bảng 3</x:v>
      </x:c>
      <x:c r="C287" t="str">
        <x:v>sand:medium</x:v>
      </x:c>
      <x:c r="D287" t="str">
        <x:v>EXACT</x:v>
      </x:c>
      <x:c r="E287" t="str">
        <x:v>{"z":20}</x:v>
      </x:c>
      <x:c r="F287" t="str">
        <x:v>EXACT</x:v>
      </x:c>
      <x:c r="G287"/>
      <x:c r="H287"/>
      <x:c r="I287"/>
      <x:c r="J287"/>
      <x:c r="K287"/>
      <x:c r="L287"/>
      <x:c r="M287" t="n">
        <x:v>79</x:v>
      </x:c>
      <x:c r="N287"/>
      <x:c r="O287"/>
      <x:c r="P287"/>
      <x:c r="Q287"/>
      <x:c r="R287"/>
      <x:c r="S287" t="n">
        <x:v>79</x:v>
      </x:c>
      <x:c r="T287" t="n">
        <x:v>79</x:v>
      </x:c>
      <x:c r="U287" s="28" t="n">
        <x:f>T287</x:f>
        <x:v>79</x:v>
      </x:c>
      <x:c r="V287" s="32" t="n">
        <x:f>IF(AND(ISNUMBER(S287),ISNUMBER(U287)),ABS(S287-U287),IF(S287=U287,0,1))</x:f>
        <x:v>0</x:v>
      </x:c>
      <x:c r="W287" s="30" t="str">
        <x:v>PASS</x:v>
      </x:c>
      <x:c r="X287" s="28" t="str">
        <x:f>IF(V287&lt;=1E-9,"PASS","FAIL")</x:f>
        <x:v>PASS</x:v>
      </x:c>
      <x:c r="Y287" t="str">
        <x:v>tr.33–34</x:v>
      </x:c>
      <x:c r="Z287" t="str"/>
    </x:row>
    <x:row r="288">
      <x:c r="A288" t="str">
        <x:v>G0285</x:v>
      </x:c>
      <x:c r="B288" t="str">
        <x:v>Bảng 3</x:v>
      </x:c>
      <x:c r="C288" t="str">
        <x:v>sand:medium</x:v>
      </x:c>
      <x:c r="D288" t="str">
        <x:v>EXACT</x:v>
      </x:c>
      <x:c r="E288" t="str">
        <x:v>{"z":25}</x:v>
      </x:c>
      <x:c r="F288" t="str">
        <x:v>EXACT</x:v>
      </x:c>
      <x:c r="G288"/>
      <x:c r="H288"/>
      <x:c r="I288"/>
      <x:c r="J288"/>
      <x:c r="K288"/>
      <x:c r="L288"/>
      <x:c r="M288" t="n">
        <x:v>86</x:v>
      </x:c>
      <x:c r="N288"/>
      <x:c r="O288"/>
      <x:c r="P288"/>
      <x:c r="Q288"/>
      <x:c r="R288"/>
      <x:c r="S288" t="n">
        <x:v>86</x:v>
      </x:c>
      <x:c r="T288" t="n">
        <x:v>86</x:v>
      </x:c>
      <x:c r="U288" s="28" t="n">
        <x:f>T288</x:f>
        <x:v>86</x:v>
      </x:c>
      <x:c r="V288" s="32" t="n">
        <x:f>IF(AND(ISNUMBER(S288),ISNUMBER(U288)),ABS(S288-U288),IF(S288=U288,0,1))</x:f>
        <x:v>0</x:v>
      </x:c>
      <x:c r="W288" s="30" t="str">
        <x:v>PASS</x:v>
      </x:c>
      <x:c r="X288" s="28" t="str">
        <x:f>IF(V288&lt;=1E-9,"PASS","FAIL")</x:f>
        <x:v>PASS</x:v>
      </x:c>
      <x:c r="Y288" t="str">
        <x:v>tr.33–34</x:v>
      </x:c>
      <x:c r="Z288" t="str"/>
    </x:row>
    <x:row r="289">
      <x:c r="A289" t="str">
        <x:v>G0286</x:v>
      </x:c>
      <x:c r="B289" t="str">
        <x:v>Bảng 3</x:v>
      </x:c>
      <x:c r="C289" t="str">
        <x:v>sand:medium</x:v>
      </x:c>
      <x:c r="D289" t="str">
        <x:v>EXACT</x:v>
      </x:c>
      <x:c r="E289" t="str">
        <x:v>{"z":30}</x:v>
      </x:c>
      <x:c r="F289" t="str">
        <x:v>EXACT</x:v>
      </x:c>
      <x:c r="G289"/>
      <x:c r="H289"/>
      <x:c r="I289"/>
      <x:c r="J289"/>
      <x:c r="K289"/>
      <x:c r="L289"/>
      <x:c r="M289" t="n">
        <x:v>93</x:v>
      </x:c>
      <x:c r="N289"/>
      <x:c r="O289"/>
      <x:c r="P289"/>
      <x:c r="Q289"/>
      <x:c r="R289"/>
      <x:c r="S289" t="n">
        <x:v>93</x:v>
      </x:c>
      <x:c r="T289" t="n">
        <x:v>93</x:v>
      </x:c>
      <x:c r="U289" s="28" t="n">
        <x:f>T289</x:f>
        <x:v>93</x:v>
      </x:c>
      <x:c r="V289" s="32" t="n">
        <x:f>IF(AND(ISNUMBER(S289),ISNUMBER(U289)),ABS(S289-U289),IF(S289=U289,0,1))</x:f>
        <x:v>0</x:v>
      </x:c>
      <x:c r="W289" s="30" t="str">
        <x:v>PASS</x:v>
      </x:c>
      <x:c r="X289" s="28" t="str">
        <x:f>IF(V289&lt;=1E-9,"PASS","FAIL")</x:f>
        <x:v>PASS</x:v>
      </x:c>
      <x:c r="Y289" t="str">
        <x:v>tr.33–34</x:v>
      </x:c>
      <x:c r="Z289" t="str"/>
    </x:row>
    <x:row r="290">
      <x:c r="A290" t="str">
        <x:v>G0287</x:v>
      </x:c>
      <x:c r="B290" t="str">
        <x:v>Bảng 3</x:v>
      </x:c>
      <x:c r="C290" t="str">
        <x:v>sand:medium</x:v>
      </x:c>
      <x:c r="D290" t="str">
        <x:v>EXACT</x:v>
      </x:c>
      <x:c r="E290" t="str">
        <x:v>{"z":35}</x:v>
      </x:c>
      <x:c r="F290" t="str">
        <x:v>EXACT</x:v>
      </x:c>
      <x:c r="G290"/>
      <x:c r="H290"/>
      <x:c r="I290"/>
      <x:c r="J290"/>
      <x:c r="K290"/>
      <x:c r="L290"/>
      <x:c r="M290" t="n">
        <x:v>100</x:v>
      </x:c>
      <x:c r="N290"/>
      <x:c r="O290"/>
      <x:c r="P290"/>
      <x:c r="Q290"/>
      <x:c r="R290"/>
      <x:c r="S290" t="n">
        <x:v>100</x:v>
      </x:c>
      <x:c r="T290" t="n">
        <x:v>100</x:v>
      </x:c>
      <x:c r="U290" s="28" t="n">
        <x:f>T290</x:f>
        <x:v>100</x:v>
      </x:c>
      <x:c r="V290" s="32" t="n">
        <x:f>IF(AND(ISNUMBER(S290),ISNUMBER(U290)),ABS(S290-U290),IF(S290=U290,0,1))</x:f>
        <x:v>0</x:v>
      </x:c>
      <x:c r="W290" s="30" t="str">
        <x:v>PASS</x:v>
      </x:c>
      <x:c r="X290" s="28" t="str">
        <x:f>IF(V290&lt;=1E-9,"PASS","FAIL")</x:f>
        <x:v>PASS</x:v>
      </x:c>
      <x:c r="Y290" t="str">
        <x:v>tr.33–34</x:v>
      </x:c>
      <x:c r="Z290" t="str"/>
    </x:row>
    <x:row r="291">
      <x:c r="A291" t="str">
        <x:v>G0288</x:v>
      </x:c>
      <x:c r="B291" t="str">
        <x:v>Bảng 3</x:v>
      </x:c>
      <x:c r="C291" t="str">
        <x:v>sand:medium</x:v>
      </x:c>
      <x:c r="D291" t="str">
        <x:v>EXACT</x:v>
      </x:c>
      <x:c r="E291" t="str">
        <x:v>{"z":40}</x:v>
      </x:c>
      <x:c r="F291" t="str">
        <x:v>EXACT</x:v>
      </x:c>
      <x:c r="G291"/>
      <x:c r="H291"/>
      <x:c r="I291"/>
      <x:c r="J291"/>
      <x:c r="K291"/>
      <x:c r="L291"/>
      <x:c r="M291" t="n">
        <x:v>107</x:v>
      </x:c>
      <x:c r="N291"/>
      <x:c r="O291"/>
      <x:c r="P291"/>
      <x:c r="Q291"/>
      <x:c r="R291"/>
      <x:c r="S291" t="n">
        <x:v>107</x:v>
      </x:c>
      <x:c r="T291" t="n">
        <x:v>107</x:v>
      </x:c>
      <x:c r="U291" s="28" t="n">
        <x:f>T291</x:f>
        <x:v>107</x:v>
      </x:c>
      <x:c r="V291" s="32" t="n">
        <x:f>IF(AND(ISNUMBER(S291),ISNUMBER(U291)),ABS(S291-U291),IF(S291=U291,0,1))</x:f>
        <x:v>0</x:v>
      </x:c>
      <x:c r="W291" s="30" t="str">
        <x:v>PASS</x:v>
      </x:c>
      <x:c r="X291" s="28" t="str">
        <x:f>IF(V291&lt;=1E-9,"PASS","FAIL")</x:f>
        <x:v>PASS</x:v>
      </x:c>
      <x:c r="Y291" t="str">
        <x:v>tr.33–34</x:v>
      </x:c>
      <x:c r="Z291" t="str"/>
    </x:row>
    <x:row r="292">
      <x:c r="A292" t="str">
        <x:v>G0289</x:v>
      </x:c>
      <x:c r="B292" t="str">
        <x:v>Bảng 3</x:v>
      </x:c>
      <x:c r="C292" t="str">
        <x:v>sand:medium</x:v>
      </x:c>
      <x:c r="D292" t="str">
        <x:v>MID</x:v>
      </x:c>
      <x:c r="E292" t="str">
        <x:v>{"z":1.5}</x:v>
      </x:c>
      <x:c r="F292" t="str">
        <x:v>LINEAR-1D</x:v>
      </x:c>
      <x:c r="G292" t="n">
        <x:v>1.5</x:v>
      </x:c>
      <x:c r="H292"/>
      <x:c r="I292" t="n">
        <x:v>1</x:v>
      </x:c>
      <x:c r="J292" t="n">
        <x:v>2</x:v>
      </x:c>
      <x:c r="K292"/>
      <x:c r="L292"/>
      <x:c r="M292" t="n">
        <x:v>35</x:v>
      </x:c>
      <x:c r="N292" t="n">
        <x:v>42</x:v>
      </x:c>
      <x:c r="O292"/>
      <x:c r="P292"/>
      <x:c r="Q292"/>
      <x:c r="R292"/>
      <x:c r="S292" t="n">
        <x:v>38.5</x:v>
      </x:c>
      <x:c r="T292" t="n">
        <x:v>38.5</x:v>
      </x:c>
      <x:c r="U292" s="28" t="n">
        <x:f>M292+(G292-I292)*(N292-M292)/(J292-I292)</x:f>
        <x:v>38.5</x:v>
      </x:c>
      <x:c r="V292" s="32" t="n">
        <x:f>IF(AND(ISNUMBER(S292),ISNUMBER(U292)),ABS(S292-U292),IF(S292=U292,0,1))</x:f>
        <x:v>0</x:v>
      </x:c>
      <x:c r="W292" s="30" t="str">
        <x:v>PASS</x:v>
      </x:c>
      <x:c r="X292" s="28" t="str">
        <x:f>IF(V292&lt;=1E-9,"PASS","FAIL")</x:f>
        <x:v>PASS</x:v>
      </x:c>
      <x:c r="Y292" t="str">
        <x:v>Chú thích 2</x:v>
      </x:c>
      <x:c r="Z292" t="str"/>
    </x:row>
    <x:row r="293">
      <x:c r="A293" t="str">
        <x:v>G0290</x:v>
      </x:c>
      <x:c r="B293" t="str">
        <x:v>Bảng 3</x:v>
      </x:c>
      <x:c r="C293" t="str">
        <x:v>sand:medium</x:v>
      </x:c>
      <x:c r="D293" t="str">
        <x:v>MID</x:v>
      </x:c>
      <x:c r="E293" t="str">
        <x:v>{"z":2.5}</x:v>
      </x:c>
      <x:c r="F293" t="str">
        <x:v>LINEAR-1D</x:v>
      </x:c>
      <x:c r="G293" t="n">
        <x:v>2.5</x:v>
      </x:c>
      <x:c r="H293"/>
      <x:c r="I293" t="n">
        <x:v>2</x:v>
      </x:c>
      <x:c r="J293" t="n">
        <x:v>3</x:v>
      </x:c>
      <x:c r="K293"/>
      <x:c r="L293"/>
      <x:c r="M293" t="n">
        <x:v>42</x:v>
      </x:c>
      <x:c r="N293" t="n">
        <x:v>48</x:v>
      </x:c>
      <x:c r="O293"/>
      <x:c r="P293"/>
      <x:c r="Q293"/>
      <x:c r="R293"/>
      <x:c r="S293" t="n">
        <x:v>45</x:v>
      </x:c>
      <x:c r="T293" t="n">
        <x:v>45</x:v>
      </x:c>
      <x:c r="U293" s="28" t="n">
        <x:f>M293+(G293-I293)*(N293-M293)/(J293-I293)</x:f>
        <x:v>45</x:v>
      </x:c>
      <x:c r="V293" s="32" t="n">
        <x:f>IF(AND(ISNUMBER(S293),ISNUMBER(U293)),ABS(S293-U293),IF(S293=U293,0,1))</x:f>
        <x:v>0</x:v>
      </x:c>
      <x:c r="W293" s="30" t="str">
        <x:v>PASS</x:v>
      </x:c>
      <x:c r="X293" s="28" t="str">
        <x:f>IF(V293&lt;=1E-9,"PASS","FAIL")</x:f>
        <x:v>PASS</x:v>
      </x:c>
      <x:c r="Y293" t="str">
        <x:v>Chú thích 2</x:v>
      </x:c>
      <x:c r="Z293" t="str"/>
    </x:row>
    <x:row r="294">
      <x:c r="A294" t="str">
        <x:v>G0291</x:v>
      </x:c>
      <x:c r="B294" t="str">
        <x:v>Bảng 3</x:v>
      </x:c>
      <x:c r="C294" t="str">
        <x:v>sand:medium</x:v>
      </x:c>
      <x:c r="D294" t="str">
        <x:v>MID</x:v>
      </x:c>
      <x:c r="E294" t="str">
        <x:v>{"z":3.5}</x:v>
      </x:c>
      <x:c r="F294" t="str">
        <x:v>LINEAR-1D</x:v>
      </x:c>
      <x:c r="G294" t="n">
        <x:v>3.5</x:v>
      </x:c>
      <x:c r="H294"/>
      <x:c r="I294" t="n">
        <x:v>3</x:v>
      </x:c>
      <x:c r="J294" t="n">
        <x:v>4</x:v>
      </x:c>
      <x:c r="K294"/>
      <x:c r="L294"/>
      <x:c r="M294" t="n">
        <x:v>48</x:v>
      </x:c>
      <x:c r="N294" t="n">
        <x:v>53</x:v>
      </x:c>
      <x:c r="O294"/>
      <x:c r="P294"/>
      <x:c r="Q294"/>
      <x:c r="R294"/>
      <x:c r="S294" t="n">
        <x:v>50.5</x:v>
      </x:c>
      <x:c r="T294" t="n">
        <x:v>50.5</x:v>
      </x:c>
      <x:c r="U294" s="28" t="n">
        <x:f>M294+(G294-I294)*(N294-M294)/(J294-I294)</x:f>
        <x:v>50.5</x:v>
      </x:c>
      <x:c r="V294" s="32" t="n">
        <x:f>IF(AND(ISNUMBER(S294),ISNUMBER(U294)),ABS(S294-U294),IF(S294=U294,0,1))</x:f>
        <x:v>0</x:v>
      </x:c>
      <x:c r="W294" s="30" t="str">
        <x:v>PASS</x:v>
      </x:c>
      <x:c r="X294" s="28" t="str">
        <x:f>IF(V294&lt;=1E-9,"PASS","FAIL")</x:f>
        <x:v>PASS</x:v>
      </x:c>
      <x:c r="Y294" t="str">
        <x:v>Chú thích 2</x:v>
      </x:c>
      <x:c r="Z294" t="str"/>
    </x:row>
    <x:row r="295">
      <x:c r="A295" t="str">
        <x:v>G0292</x:v>
      </x:c>
      <x:c r="B295" t="str">
        <x:v>Bảng 3</x:v>
      </x:c>
      <x:c r="C295" t="str">
        <x:v>sand:medium</x:v>
      </x:c>
      <x:c r="D295" t="str">
        <x:v>MID</x:v>
      </x:c>
      <x:c r="E295" t="str">
        <x:v>{"z":4.5}</x:v>
      </x:c>
      <x:c r="F295" t="str">
        <x:v>LINEAR-1D</x:v>
      </x:c>
      <x:c r="G295" t="n">
        <x:v>4.5</x:v>
      </x:c>
      <x:c r="H295"/>
      <x:c r="I295" t="n">
        <x:v>4</x:v>
      </x:c>
      <x:c r="J295" t="n">
        <x:v>5</x:v>
      </x:c>
      <x:c r="K295"/>
      <x:c r="L295"/>
      <x:c r="M295" t="n">
        <x:v>53</x:v>
      </x:c>
      <x:c r="N295" t="n">
        <x:v>56</x:v>
      </x:c>
      <x:c r="O295"/>
      <x:c r="P295"/>
      <x:c r="Q295"/>
      <x:c r="R295"/>
      <x:c r="S295" t="n">
        <x:v>54.5</x:v>
      </x:c>
      <x:c r="T295" t="n">
        <x:v>54.5</x:v>
      </x:c>
      <x:c r="U295" s="28" t="n">
        <x:f>M295+(G295-I295)*(N295-M295)/(J295-I295)</x:f>
        <x:v>54.5</x:v>
      </x:c>
      <x:c r="V295" s="32" t="n">
        <x:f>IF(AND(ISNUMBER(S295),ISNUMBER(U295)),ABS(S295-U295),IF(S295=U295,0,1))</x:f>
        <x:v>0</x:v>
      </x:c>
      <x:c r="W295" s="30" t="str">
        <x:v>PASS</x:v>
      </x:c>
      <x:c r="X295" s="28" t="str">
        <x:f>IF(V295&lt;=1E-9,"PASS","FAIL")</x:f>
        <x:v>PASS</x:v>
      </x:c>
      <x:c r="Y295" t="str">
        <x:v>Chú thích 2</x:v>
      </x:c>
      <x:c r="Z295" t="str"/>
    </x:row>
    <x:row r="296">
      <x:c r="A296" t="str">
        <x:v>G0293</x:v>
      </x:c>
      <x:c r="B296" t="str">
        <x:v>Bảng 3</x:v>
      </x:c>
      <x:c r="C296" t="str">
        <x:v>sand:medium</x:v>
      </x:c>
      <x:c r="D296" t="str">
        <x:v>MID</x:v>
      </x:c>
      <x:c r="E296" t="str">
        <x:v>{"z":5.5}</x:v>
      </x:c>
      <x:c r="F296" t="str">
        <x:v>LINEAR-1D</x:v>
      </x:c>
      <x:c r="G296" t="n">
        <x:v>5.5</x:v>
      </x:c>
      <x:c r="H296"/>
      <x:c r="I296" t="n">
        <x:v>5</x:v>
      </x:c>
      <x:c r="J296" t="n">
        <x:v>6</x:v>
      </x:c>
      <x:c r="K296"/>
      <x:c r="L296"/>
      <x:c r="M296" t="n">
        <x:v>56</x:v>
      </x:c>
      <x:c r="N296" t="n">
        <x:v>58</x:v>
      </x:c>
      <x:c r="O296"/>
      <x:c r="P296"/>
      <x:c r="Q296"/>
      <x:c r="R296"/>
      <x:c r="S296" t="n">
        <x:v>57</x:v>
      </x:c>
      <x:c r="T296" t="n">
        <x:v>57</x:v>
      </x:c>
      <x:c r="U296" s="28" t="n">
        <x:f>M296+(G296-I296)*(N296-M296)/(J296-I296)</x:f>
        <x:v>57</x:v>
      </x:c>
      <x:c r="V296" s="32" t="n">
        <x:f>IF(AND(ISNUMBER(S296),ISNUMBER(U296)),ABS(S296-U296),IF(S296=U296,0,1))</x:f>
        <x:v>0</x:v>
      </x:c>
      <x:c r="W296" s="30" t="str">
        <x:v>PASS</x:v>
      </x:c>
      <x:c r="X296" s="28" t="str">
        <x:f>IF(V296&lt;=1E-9,"PASS","FAIL")</x:f>
        <x:v>PASS</x:v>
      </x:c>
      <x:c r="Y296" t="str">
        <x:v>Chú thích 2</x:v>
      </x:c>
      <x:c r="Z296" t="str"/>
    </x:row>
    <x:row r="297">
      <x:c r="A297" t="str">
        <x:v>G0294</x:v>
      </x:c>
      <x:c r="B297" t="str">
        <x:v>Bảng 3</x:v>
      </x:c>
      <x:c r="C297" t="str">
        <x:v>sand:medium</x:v>
      </x:c>
      <x:c r="D297" t="str">
        <x:v>MID</x:v>
      </x:c>
      <x:c r="E297" t="str">
        <x:v>{"z":7}</x:v>
      </x:c>
      <x:c r="F297" t="str">
        <x:v>LINEAR-1D</x:v>
      </x:c>
      <x:c r="G297" t="n">
        <x:v>7</x:v>
      </x:c>
      <x:c r="H297"/>
      <x:c r="I297" t="n">
        <x:v>6</x:v>
      </x:c>
      <x:c r="J297" t="n">
        <x:v>8</x:v>
      </x:c>
      <x:c r="K297"/>
      <x:c r="L297"/>
      <x:c r="M297" t="n">
        <x:v>58</x:v>
      </x:c>
      <x:c r="N297" t="n">
        <x:v>62</x:v>
      </x:c>
      <x:c r="O297"/>
      <x:c r="P297"/>
      <x:c r="Q297"/>
      <x:c r="R297"/>
      <x:c r="S297" t="n">
        <x:v>60</x:v>
      </x:c>
      <x:c r="T297" t="n">
        <x:v>60</x:v>
      </x:c>
      <x:c r="U297" s="28" t="n">
        <x:f>M297+(G297-I297)*(N297-M297)/(J297-I297)</x:f>
        <x:v>60</x:v>
      </x:c>
      <x:c r="V297" s="32" t="n">
        <x:f>IF(AND(ISNUMBER(S297),ISNUMBER(U297)),ABS(S297-U297),IF(S297=U297,0,1))</x:f>
        <x:v>0</x:v>
      </x:c>
      <x:c r="W297" s="30" t="str">
        <x:v>PASS</x:v>
      </x:c>
      <x:c r="X297" s="28" t="str">
        <x:f>IF(V297&lt;=1E-9,"PASS","FAIL")</x:f>
        <x:v>PASS</x:v>
      </x:c>
      <x:c r="Y297" t="str">
        <x:v>Chú thích 2</x:v>
      </x:c>
      <x:c r="Z297" t="str"/>
    </x:row>
    <x:row r="298">
      <x:c r="A298" t="str">
        <x:v>G0295</x:v>
      </x:c>
      <x:c r="B298" t="str">
        <x:v>Bảng 3</x:v>
      </x:c>
      <x:c r="C298" t="str">
        <x:v>sand:medium</x:v>
      </x:c>
      <x:c r="D298" t="str">
        <x:v>MID</x:v>
      </x:c>
      <x:c r="E298" t="str">
        <x:v>{"z":9}</x:v>
      </x:c>
      <x:c r="F298" t="str">
        <x:v>LINEAR-1D</x:v>
      </x:c>
      <x:c r="G298" t="n">
        <x:v>9</x:v>
      </x:c>
      <x:c r="H298"/>
      <x:c r="I298" t="n">
        <x:v>8</x:v>
      </x:c>
      <x:c r="J298" t="n">
        <x:v>10</x:v>
      </x:c>
      <x:c r="K298"/>
      <x:c r="L298"/>
      <x:c r="M298" t="n">
        <x:v>62</x:v>
      </x:c>
      <x:c r="N298" t="n">
        <x:v>65</x:v>
      </x:c>
      <x:c r="O298"/>
      <x:c r="P298"/>
      <x:c r="Q298"/>
      <x:c r="R298"/>
      <x:c r="S298" t="n">
        <x:v>63.5</x:v>
      </x:c>
      <x:c r="T298" t="n">
        <x:v>63.5</x:v>
      </x:c>
      <x:c r="U298" s="28" t="n">
        <x:f>M298+(G298-I298)*(N298-M298)/(J298-I298)</x:f>
        <x:v>63.5</x:v>
      </x:c>
      <x:c r="V298" s="32" t="n">
        <x:f>IF(AND(ISNUMBER(S298),ISNUMBER(U298)),ABS(S298-U298),IF(S298=U298,0,1))</x:f>
        <x:v>0</x:v>
      </x:c>
      <x:c r="W298" s="30" t="str">
        <x:v>PASS</x:v>
      </x:c>
      <x:c r="X298" s="28" t="str">
        <x:f>IF(V298&lt;=1E-9,"PASS","FAIL")</x:f>
        <x:v>PASS</x:v>
      </x:c>
      <x:c r="Y298" t="str">
        <x:v>Chú thích 2</x:v>
      </x:c>
      <x:c r="Z298" t="str"/>
    </x:row>
    <x:row r="299">
      <x:c r="A299" t="str">
        <x:v>G0296</x:v>
      </x:c>
      <x:c r="B299" t="str">
        <x:v>Bảng 3</x:v>
      </x:c>
      <x:c r="C299" t="str">
        <x:v>sand:medium</x:v>
      </x:c>
      <x:c r="D299" t="str">
        <x:v>MID</x:v>
      </x:c>
      <x:c r="E299" t="str">
        <x:v>{"z":12.5}</x:v>
      </x:c>
      <x:c r="F299" t="str">
        <x:v>LINEAR-1D</x:v>
      </x:c>
      <x:c r="G299" t="n">
        <x:v>12.5</x:v>
      </x:c>
      <x:c r="H299"/>
      <x:c r="I299" t="n">
        <x:v>10</x:v>
      </x:c>
      <x:c r="J299" t="n">
        <x:v>15</x:v>
      </x:c>
      <x:c r="K299"/>
      <x:c r="L299"/>
      <x:c r="M299" t="n">
        <x:v>65</x:v>
      </x:c>
      <x:c r="N299" t="n">
        <x:v>72</x:v>
      </x:c>
      <x:c r="O299"/>
      <x:c r="P299"/>
      <x:c r="Q299"/>
      <x:c r="R299"/>
      <x:c r="S299" t="n">
        <x:v>68.5</x:v>
      </x:c>
      <x:c r="T299" t="n">
        <x:v>68.5</x:v>
      </x:c>
      <x:c r="U299" s="28" t="n">
        <x:f>M299+(G299-I299)*(N299-M299)/(J299-I299)</x:f>
        <x:v>68.5</x:v>
      </x:c>
      <x:c r="V299" s="32" t="n">
        <x:f>IF(AND(ISNUMBER(S299),ISNUMBER(U299)),ABS(S299-U299),IF(S299=U299,0,1))</x:f>
        <x:v>0</x:v>
      </x:c>
      <x:c r="W299" s="30" t="str">
        <x:v>PASS</x:v>
      </x:c>
      <x:c r="X299" s="28" t="str">
        <x:f>IF(V299&lt;=1E-9,"PASS","FAIL")</x:f>
        <x:v>PASS</x:v>
      </x:c>
      <x:c r="Y299" t="str">
        <x:v>Chú thích 2</x:v>
      </x:c>
      <x:c r="Z299" t="str"/>
    </x:row>
    <x:row r="300">
      <x:c r="A300" t="str">
        <x:v>G0297</x:v>
      </x:c>
      <x:c r="B300" t="str">
        <x:v>Bảng 3</x:v>
      </x:c>
      <x:c r="C300" t="str">
        <x:v>sand:medium</x:v>
      </x:c>
      <x:c r="D300" t="str">
        <x:v>MID</x:v>
      </x:c>
      <x:c r="E300" t="str">
        <x:v>{"z":17.5}</x:v>
      </x:c>
      <x:c r="F300" t="str">
        <x:v>LINEAR-1D</x:v>
      </x:c>
      <x:c r="G300" t="n">
        <x:v>17.5</x:v>
      </x:c>
      <x:c r="H300"/>
      <x:c r="I300" t="n">
        <x:v>15</x:v>
      </x:c>
      <x:c r="J300" t="n">
        <x:v>20</x:v>
      </x:c>
      <x:c r="K300"/>
      <x:c r="L300"/>
      <x:c r="M300" t="n">
        <x:v>72</x:v>
      </x:c>
      <x:c r="N300" t="n">
        <x:v>79</x:v>
      </x:c>
      <x:c r="O300"/>
      <x:c r="P300"/>
      <x:c r="Q300"/>
      <x:c r="R300"/>
      <x:c r="S300" t="n">
        <x:v>75.5</x:v>
      </x:c>
      <x:c r="T300" t="n">
        <x:v>75.5</x:v>
      </x:c>
      <x:c r="U300" s="28" t="n">
        <x:f>M300+(G300-I300)*(N300-M300)/(J300-I300)</x:f>
        <x:v>75.5</x:v>
      </x:c>
      <x:c r="V300" s="32" t="n">
        <x:f>IF(AND(ISNUMBER(S300),ISNUMBER(U300)),ABS(S300-U300),IF(S300=U300,0,1))</x:f>
        <x:v>0</x:v>
      </x:c>
      <x:c r="W300" s="30" t="str">
        <x:v>PASS</x:v>
      </x:c>
      <x:c r="X300" s="28" t="str">
        <x:f>IF(V300&lt;=1E-9,"PASS","FAIL")</x:f>
        <x:v>PASS</x:v>
      </x:c>
      <x:c r="Y300" t="str">
        <x:v>Chú thích 2</x:v>
      </x:c>
      <x:c r="Z300" t="str"/>
    </x:row>
    <x:row r="301">
      <x:c r="A301" t="str">
        <x:v>G0298</x:v>
      </x:c>
      <x:c r="B301" t="str">
        <x:v>Bảng 3</x:v>
      </x:c>
      <x:c r="C301" t="str">
        <x:v>sand:medium</x:v>
      </x:c>
      <x:c r="D301" t="str">
        <x:v>MID</x:v>
      </x:c>
      <x:c r="E301" t="str">
        <x:v>{"z":22.5}</x:v>
      </x:c>
      <x:c r="F301" t="str">
        <x:v>LINEAR-1D</x:v>
      </x:c>
      <x:c r="G301" t="n">
        <x:v>22.5</x:v>
      </x:c>
      <x:c r="H301"/>
      <x:c r="I301" t="n">
        <x:v>20</x:v>
      </x:c>
      <x:c r="J301" t="n">
        <x:v>25</x:v>
      </x:c>
      <x:c r="K301"/>
      <x:c r="L301"/>
      <x:c r="M301" t="n">
        <x:v>79</x:v>
      </x:c>
      <x:c r="N301" t="n">
        <x:v>86</x:v>
      </x:c>
      <x:c r="O301"/>
      <x:c r="P301"/>
      <x:c r="Q301"/>
      <x:c r="R301"/>
      <x:c r="S301" t="n">
        <x:v>82.5</x:v>
      </x:c>
      <x:c r="T301" t="n">
        <x:v>82.5</x:v>
      </x:c>
      <x:c r="U301" s="28" t="n">
        <x:f>M301+(G301-I301)*(N301-M301)/(J301-I301)</x:f>
        <x:v>82.5</x:v>
      </x:c>
      <x:c r="V301" s="32" t="n">
        <x:f>IF(AND(ISNUMBER(S301),ISNUMBER(U301)),ABS(S301-U301),IF(S301=U301,0,1))</x:f>
        <x:v>0</x:v>
      </x:c>
      <x:c r="W301" s="30" t="str">
        <x:v>PASS</x:v>
      </x:c>
      <x:c r="X301" s="28" t="str">
        <x:f>IF(V301&lt;=1E-9,"PASS","FAIL")</x:f>
        <x:v>PASS</x:v>
      </x:c>
      <x:c r="Y301" t="str">
        <x:v>Chú thích 2</x:v>
      </x:c>
      <x:c r="Z301" t="str"/>
    </x:row>
    <x:row r="302">
      <x:c r="A302" t="str">
        <x:v>G0299</x:v>
      </x:c>
      <x:c r="B302" t="str">
        <x:v>Bảng 3</x:v>
      </x:c>
      <x:c r="C302" t="str">
        <x:v>sand:medium</x:v>
      </x:c>
      <x:c r="D302" t="str">
        <x:v>MID</x:v>
      </x:c>
      <x:c r="E302" t="str">
        <x:v>{"z":27.5}</x:v>
      </x:c>
      <x:c r="F302" t="str">
        <x:v>LINEAR-1D</x:v>
      </x:c>
      <x:c r="G302" t="n">
        <x:v>27.5</x:v>
      </x:c>
      <x:c r="H302"/>
      <x:c r="I302" t="n">
        <x:v>25</x:v>
      </x:c>
      <x:c r="J302" t="n">
        <x:v>30</x:v>
      </x:c>
      <x:c r="K302"/>
      <x:c r="L302"/>
      <x:c r="M302" t="n">
        <x:v>86</x:v>
      </x:c>
      <x:c r="N302" t="n">
        <x:v>93</x:v>
      </x:c>
      <x:c r="O302"/>
      <x:c r="P302"/>
      <x:c r="Q302"/>
      <x:c r="R302"/>
      <x:c r="S302" t="n">
        <x:v>89.5</x:v>
      </x:c>
      <x:c r="T302" t="n">
        <x:v>89.5</x:v>
      </x:c>
      <x:c r="U302" s="28" t="n">
        <x:f>M302+(G302-I302)*(N302-M302)/(J302-I302)</x:f>
        <x:v>89.5</x:v>
      </x:c>
      <x:c r="V302" s="32" t="n">
        <x:f>IF(AND(ISNUMBER(S302),ISNUMBER(U302)),ABS(S302-U302),IF(S302=U302,0,1))</x:f>
        <x:v>0</x:v>
      </x:c>
      <x:c r="W302" s="30" t="str">
        <x:v>PASS</x:v>
      </x:c>
      <x:c r="X302" s="28" t="str">
        <x:f>IF(V302&lt;=1E-9,"PASS","FAIL")</x:f>
        <x:v>PASS</x:v>
      </x:c>
      <x:c r="Y302" t="str">
        <x:v>Chú thích 2</x:v>
      </x:c>
      <x:c r="Z302" t="str"/>
    </x:row>
    <x:row r="303">
      <x:c r="A303" t="str">
        <x:v>G0300</x:v>
      </x:c>
      <x:c r="B303" t="str">
        <x:v>Bảng 3</x:v>
      </x:c>
      <x:c r="C303" t="str">
        <x:v>sand:medium</x:v>
      </x:c>
      <x:c r="D303" t="str">
        <x:v>MID</x:v>
      </x:c>
      <x:c r="E303" t="str">
        <x:v>{"z":32.5}</x:v>
      </x:c>
      <x:c r="F303" t="str">
        <x:v>LINEAR-1D</x:v>
      </x:c>
      <x:c r="G303" t="n">
        <x:v>32.5</x:v>
      </x:c>
      <x:c r="H303"/>
      <x:c r="I303" t="n">
        <x:v>30</x:v>
      </x:c>
      <x:c r="J303" t="n">
        <x:v>35</x:v>
      </x:c>
      <x:c r="K303"/>
      <x:c r="L303"/>
      <x:c r="M303" t="n">
        <x:v>93</x:v>
      </x:c>
      <x:c r="N303" t="n">
        <x:v>100</x:v>
      </x:c>
      <x:c r="O303"/>
      <x:c r="P303"/>
      <x:c r="Q303"/>
      <x:c r="R303"/>
      <x:c r="S303" t="n">
        <x:v>96.5</x:v>
      </x:c>
      <x:c r="T303" t="n">
        <x:v>96.5</x:v>
      </x:c>
      <x:c r="U303" s="28" t="n">
        <x:f>M303+(G303-I303)*(N303-M303)/(J303-I303)</x:f>
        <x:v>96.5</x:v>
      </x:c>
      <x:c r="V303" s="32" t="n">
        <x:f>IF(AND(ISNUMBER(S303),ISNUMBER(U303)),ABS(S303-U303),IF(S303=U303,0,1))</x:f>
        <x:v>0</x:v>
      </x:c>
      <x:c r="W303" s="30" t="str">
        <x:v>PASS</x:v>
      </x:c>
      <x:c r="X303" s="28" t="str">
        <x:f>IF(V303&lt;=1E-9,"PASS","FAIL")</x:f>
        <x:v>PASS</x:v>
      </x:c>
      <x:c r="Y303" t="str">
        <x:v>Chú thích 2</x:v>
      </x:c>
      <x:c r="Z303" t="str"/>
    </x:row>
    <x:row r="304">
      <x:c r="A304" t="str">
        <x:v>G0301</x:v>
      </x:c>
      <x:c r="B304" t="str">
        <x:v>Bảng 3</x:v>
      </x:c>
      <x:c r="C304" t="str">
        <x:v>sand:medium</x:v>
      </x:c>
      <x:c r="D304" t="str">
        <x:v>MID</x:v>
      </x:c>
      <x:c r="E304" t="str">
        <x:v>{"z":37.5}</x:v>
      </x:c>
      <x:c r="F304" t="str">
        <x:v>LINEAR-1D</x:v>
      </x:c>
      <x:c r="G304" t="n">
        <x:v>37.5</x:v>
      </x:c>
      <x:c r="H304"/>
      <x:c r="I304" t="n">
        <x:v>35</x:v>
      </x:c>
      <x:c r="J304" t="n">
        <x:v>40</x:v>
      </x:c>
      <x:c r="K304"/>
      <x:c r="L304"/>
      <x:c r="M304" t="n">
        <x:v>100</x:v>
      </x:c>
      <x:c r="N304" t="n">
        <x:v>107</x:v>
      </x:c>
      <x:c r="O304"/>
      <x:c r="P304"/>
      <x:c r="Q304"/>
      <x:c r="R304"/>
      <x:c r="S304" t="n">
        <x:v>103.5</x:v>
      </x:c>
      <x:c r="T304" t="n">
        <x:v>103.5</x:v>
      </x:c>
      <x:c r="U304" s="28" t="n">
        <x:f>M304+(G304-I304)*(N304-M304)/(J304-I304)</x:f>
        <x:v>103.5</x:v>
      </x:c>
      <x:c r="V304" s="32" t="n">
        <x:f>IF(AND(ISNUMBER(S304),ISNUMBER(U304)),ABS(S304-U304),IF(S304=U304,0,1))</x:f>
        <x:v>0</x:v>
      </x:c>
      <x:c r="W304" s="30" t="str">
        <x:v>PASS</x:v>
      </x:c>
      <x:c r="X304" s="28" t="str">
        <x:f>IF(V304&lt;=1E-9,"PASS","FAIL")</x:f>
        <x:v>PASS</x:v>
      </x:c>
      <x:c r="Y304" t="str">
        <x:v>Chú thích 2</x:v>
      </x:c>
      <x:c r="Z304" t="str"/>
    </x:row>
    <x:row r="305">
      <x:c r="A305" t="str">
        <x:v>G0302</x:v>
      </x:c>
      <x:c r="B305" t="str">
        <x:v>Bảng 3</x:v>
      </x:c>
      <x:c r="C305" t="str">
        <x:v>sand:fine</x:v>
      </x:c>
      <x:c r="D305" t="str">
        <x:v>EXACT</x:v>
      </x:c>
      <x:c r="E305" t="str">
        <x:v>{"z":1}</x:v>
      </x:c>
      <x:c r="F305" t="str">
        <x:v>EXACT</x:v>
      </x:c>
      <x:c r="G305"/>
      <x:c r="H305"/>
      <x:c r="I305"/>
      <x:c r="J305"/>
      <x:c r="K305"/>
      <x:c r="L305"/>
      <x:c r="M305" t="n">
        <x:v>23</x:v>
      </x:c>
      <x:c r="N305"/>
      <x:c r="O305"/>
      <x:c r="P305"/>
      <x:c r="Q305"/>
      <x:c r="R305"/>
      <x:c r="S305" t="n">
        <x:v>23</x:v>
      </x:c>
      <x:c r="T305" t="n">
        <x:v>23</x:v>
      </x:c>
      <x:c r="U305" s="28" t="n">
        <x:f>T305</x:f>
        <x:v>23</x:v>
      </x:c>
      <x:c r="V305" s="32" t="n">
        <x:f>IF(AND(ISNUMBER(S305),ISNUMBER(U305)),ABS(S305-U305),IF(S305=U305,0,1))</x:f>
        <x:v>0</x:v>
      </x:c>
      <x:c r="W305" s="30" t="str">
        <x:v>PASS</x:v>
      </x:c>
      <x:c r="X305" s="28" t="str">
        <x:f>IF(V305&lt;=1E-9,"PASS","FAIL")</x:f>
        <x:v>PASS</x:v>
      </x:c>
      <x:c r="Y305" t="str">
        <x:v>tr.33–34</x:v>
      </x:c>
      <x:c r="Z305" t="str"/>
    </x:row>
    <x:row r="306">
      <x:c r="A306" t="str">
        <x:v>G0303</x:v>
      </x:c>
      <x:c r="B306" t="str">
        <x:v>Bảng 3</x:v>
      </x:c>
      <x:c r="C306" t="str">
        <x:v>sand:fine</x:v>
      </x:c>
      <x:c r="D306" t="str">
        <x:v>EXACT</x:v>
      </x:c>
      <x:c r="E306" t="str">
        <x:v>{"z":2}</x:v>
      </x:c>
      <x:c r="F306" t="str">
        <x:v>EXACT</x:v>
      </x:c>
      <x:c r="G306"/>
      <x:c r="H306"/>
      <x:c r="I306"/>
      <x:c r="J306"/>
      <x:c r="K306"/>
      <x:c r="L306"/>
      <x:c r="M306" t="n">
        <x:v>30</x:v>
      </x:c>
      <x:c r="N306"/>
      <x:c r="O306"/>
      <x:c r="P306"/>
      <x:c r="Q306"/>
      <x:c r="R306"/>
      <x:c r="S306" t="n">
        <x:v>30</x:v>
      </x:c>
      <x:c r="T306" t="n">
        <x:v>30</x:v>
      </x:c>
      <x:c r="U306" s="28" t="n">
        <x:f>T306</x:f>
        <x:v>30</x:v>
      </x:c>
      <x:c r="V306" s="32" t="n">
        <x:f>IF(AND(ISNUMBER(S306),ISNUMBER(U306)),ABS(S306-U306),IF(S306=U306,0,1))</x:f>
        <x:v>0</x:v>
      </x:c>
      <x:c r="W306" s="30" t="str">
        <x:v>PASS</x:v>
      </x:c>
      <x:c r="X306" s="28" t="str">
        <x:f>IF(V306&lt;=1E-9,"PASS","FAIL")</x:f>
        <x:v>PASS</x:v>
      </x:c>
      <x:c r="Y306" t="str">
        <x:v>tr.33–34</x:v>
      </x:c>
      <x:c r="Z306" t="str"/>
    </x:row>
    <x:row r="307">
      <x:c r="A307" t="str">
        <x:v>G0304</x:v>
      </x:c>
      <x:c r="B307" t="str">
        <x:v>Bảng 3</x:v>
      </x:c>
      <x:c r="C307" t="str">
        <x:v>sand:fine</x:v>
      </x:c>
      <x:c r="D307" t="str">
        <x:v>EXACT</x:v>
      </x:c>
      <x:c r="E307" t="str">
        <x:v>{"z":3}</x:v>
      </x:c>
      <x:c r="F307" t="str">
        <x:v>EXACT</x:v>
      </x:c>
      <x:c r="G307"/>
      <x:c r="H307"/>
      <x:c r="I307"/>
      <x:c r="J307"/>
      <x:c r="K307"/>
      <x:c r="L307"/>
      <x:c r="M307" t="n">
        <x:v>35</x:v>
      </x:c>
      <x:c r="N307"/>
      <x:c r="O307"/>
      <x:c r="P307"/>
      <x:c r="Q307"/>
      <x:c r="R307"/>
      <x:c r="S307" t="n">
        <x:v>35</x:v>
      </x:c>
      <x:c r="T307" t="n">
        <x:v>35</x:v>
      </x:c>
      <x:c r="U307" s="28" t="n">
        <x:f>T307</x:f>
        <x:v>35</x:v>
      </x:c>
      <x:c r="V307" s="32" t="n">
        <x:f>IF(AND(ISNUMBER(S307),ISNUMBER(U307)),ABS(S307-U307),IF(S307=U307,0,1))</x:f>
        <x:v>0</x:v>
      </x:c>
      <x:c r="W307" s="30" t="str">
        <x:v>PASS</x:v>
      </x:c>
      <x:c r="X307" s="28" t="str">
        <x:f>IF(V307&lt;=1E-9,"PASS","FAIL")</x:f>
        <x:v>PASS</x:v>
      </x:c>
      <x:c r="Y307" t="str">
        <x:v>tr.33–34</x:v>
      </x:c>
      <x:c r="Z307" t="str"/>
    </x:row>
    <x:row r="308">
      <x:c r="A308" t="str">
        <x:v>G0305</x:v>
      </x:c>
      <x:c r="B308" t="str">
        <x:v>Bảng 3</x:v>
      </x:c>
      <x:c r="C308" t="str">
        <x:v>sand:fine</x:v>
      </x:c>
      <x:c r="D308" t="str">
        <x:v>EXACT</x:v>
      </x:c>
      <x:c r="E308" t="str">
        <x:v>{"z":4}</x:v>
      </x:c>
      <x:c r="F308" t="str">
        <x:v>EXACT</x:v>
      </x:c>
      <x:c r="G308"/>
      <x:c r="H308"/>
      <x:c r="I308"/>
      <x:c r="J308"/>
      <x:c r="K308"/>
      <x:c r="L308"/>
      <x:c r="M308" t="n">
        <x:v>38</x:v>
      </x:c>
      <x:c r="N308"/>
      <x:c r="O308"/>
      <x:c r="P308"/>
      <x:c r="Q308"/>
      <x:c r="R308"/>
      <x:c r="S308" t="n">
        <x:v>38</x:v>
      </x:c>
      <x:c r="T308" t="n">
        <x:v>38</x:v>
      </x:c>
      <x:c r="U308" s="28" t="n">
        <x:f>T308</x:f>
        <x:v>38</x:v>
      </x:c>
      <x:c r="V308" s="32" t="n">
        <x:f>IF(AND(ISNUMBER(S308),ISNUMBER(U308)),ABS(S308-U308),IF(S308=U308,0,1))</x:f>
        <x:v>0</x:v>
      </x:c>
      <x:c r="W308" s="30" t="str">
        <x:v>PASS</x:v>
      </x:c>
      <x:c r="X308" s="28" t="str">
        <x:f>IF(V308&lt;=1E-9,"PASS","FAIL")</x:f>
        <x:v>PASS</x:v>
      </x:c>
      <x:c r="Y308" t="str">
        <x:v>tr.33–34</x:v>
      </x:c>
      <x:c r="Z308" t="str"/>
    </x:row>
    <x:row r="309">
      <x:c r="A309" t="str">
        <x:v>G0306</x:v>
      </x:c>
      <x:c r="B309" t="str">
        <x:v>Bảng 3</x:v>
      </x:c>
      <x:c r="C309" t="str">
        <x:v>sand:fine</x:v>
      </x:c>
      <x:c r="D309" t="str">
        <x:v>EXACT</x:v>
      </x:c>
      <x:c r="E309" t="str">
        <x:v>{"z":5}</x:v>
      </x:c>
      <x:c r="F309" t="str">
        <x:v>EXACT</x:v>
      </x:c>
      <x:c r="G309"/>
      <x:c r="H309"/>
      <x:c r="I309"/>
      <x:c r="J309"/>
      <x:c r="K309"/>
      <x:c r="L309"/>
      <x:c r="M309" t="n">
        <x:v>40</x:v>
      </x:c>
      <x:c r="N309"/>
      <x:c r="O309"/>
      <x:c r="P309"/>
      <x:c r="Q309"/>
      <x:c r="R309"/>
      <x:c r="S309" t="n">
        <x:v>40</x:v>
      </x:c>
      <x:c r="T309" t="n">
        <x:v>40</x:v>
      </x:c>
      <x:c r="U309" s="28" t="n">
        <x:f>T309</x:f>
        <x:v>40</x:v>
      </x:c>
      <x:c r="V309" s="32" t="n">
        <x:f>IF(AND(ISNUMBER(S309),ISNUMBER(U309)),ABS(S309-U309),IF(S309=U309,0,1))</x:f>
        <x:v>0</x:v>
      </x:c>
      <x:c r="W309" s="30" t="str">
        <x:v>PASS</x:v>
      </x:c>
      <x:c r="X309" s="28" t="str">
        <x:f>IF(V309&lt;=1E-9,"PASS","FAIL")</x:f>
        <x:v>PASS</x:v>
      </x:c>
      <x:c r="Y309" t="str">
        <x:v>tr.33–34</x:v>
      </x:c>
      <x:c r="Z309" t="str"/>
    </x:row>
    <x:row r="310">
      <x:c r="A310" t="str">
        <x:v>G0307</x:v>
      </x:c>
      <x:c r="B310" t="str">
        <x:v>Bảng 3</x:v>
      </x:c>
      <x:c r="C310" t="str">
        <x:v>sand:fine</x:v>
      </x:c>
      <x:c r="D310" t="str">
        <x:v>EXACT</x:v>
      </x:c>
      <x:c r="E310" t="str">
        <x:v>{"z":6}</x:v>
      </x:c>
      <x:c r="F310" t="str">
        <x:v>EXACT</x:v>
      </x:c>
      <x:c r="G310"/>
      <x:c r="H310"/>
      <x:c r="I310"/>
      <x:c r="J310"/>
      <x:c r="K310"/>
      <x:c r="L310"/>
      <x:c r="M310" t="n">
        <x:v>42</x:v>
      </x:c>
      <x:c r="N310"/>
      <x:c r="O310"/>
      <x:c r="P310"/>
      <x:c r="Q310"/>
      <x:c r="R310"/>
      <x:c r="S310" t="n">
        <x:v>42</x:v>
      </x:c>
      <x:c r="T310" t="n">
        <x:v>42</x:v>
      </x:c>
      <x:c r="U310" s="28" t="n">
        <x:f>T310</x:f>
        <x:v>42</x:v>
      </x:c>
      <x:c r="V310" s="32" t="n">
        <x:f>IF(AND(ISNUMBER(S310),ISNUMBER(U310)),ABS(S310-U310),IF(S310=U310,0,1))</x:f>
        <x:v>0</x:v>
      </x:c>
      <x:c r="W310" s="30" t="str">
        <x:v>PASS</x:v>
      </x:c>
      <x:c r="X310" s="28" t="str">
        <x:f>IF(V310&lt;=1E-9,"PASS","FAIL")</x:f>
        <x:v>PASS</x:v>
      </x:c>
      <x:c r="Y310" t="str">
        <x:v>tr.33–34</x:v>
      </x:c>
      <x:c r="Z310" t="str"/>
    </x:row>
    <x:row r="311">
      <x:c r="A311" t="str">
        <x:v>G0308</x:v>
      </x:c>
      <x:c r="B311" t="str">
        <x:v>Bảng 3</x:v>
      </x:c>
      <x:c r="C311" t="str">
        <x:v>sand:fine</x:v>
      </x:c>
      <x:c r="D311" t="str">
        <x:v>EXACT</x:v>
      </x:c>
      <x:c r="E311" t="str">
        <x:v>{"z":8}</x:v>
      </x:c>
      <x:c r="F311" t="str">
        <x:v>EXACT</x:v>
      </x:c>
      <x:c r="G311"/>
      <x:c r="H311"/>
      <x:c r="I311"/>
      <x:c r="J311"/>
      <x:c r="K311"/>
      <x:c r="L311"/>
      <x:c r="M311" t="n">
        <x:v>44</x:v>
      </x:c>
      <x:c r="N311"/>
      <x:c r="O311"/>
      <x:c r="P311"/>
      <x:c r="Q311"/>
      <x:c r="R311"/>
      <x:c r="S311" t="n">
        <x:v>44</x:v>
      </x:c>
      <x:c r="T311" t="n">
        <x:v>44</x:v>
      </x:c>
      <x:c r="U311" s="28" t="n">
        <x:f>T311</x:f>
        <x:v>44</x:v>
      </x:c>
      <x:c r="V311" s="32" t="n">
        <x:f>IF(AND(ISNUMBER(S311),ISNUMBER(U311)),ABS(S311-U311),IF(S311=U311,0,1))</x:f>
        <x:v>0</x:v>
      </x:c>
      <x:c r="W311" s="30" t="str">
        <x:v>PASS</x:v>
      </x:c>
      <x:c r="X311" s="28" t="str">
        <x:f>IF(V311&lt;=1E-9,"PASS","FAIL")</x:f>
        <x:v>PASS</x:v>
      </x:c>
      <x:c r="Y311" t="str">
        <x:v>tr.33–34</x:v>
      </x:c>
      <x:c r="Z311" t="str"/>
    </x:row>
    <x:row r="312">
      <x:c r="A312" t="str">
        <x:v>G0309</x:v>
      </x:c>
      <x:c r="B312" t="str">
        <x:v>Bảng 3</x:v>
      </x:c>
      <x:c r="C312" t="str">
        <x:v>sand:fine</x:v>
      </x:c>
      <x:c r="D312" t="str">
        <x:v>EXACT</x:v>
      </x:c>
      <x:c r="E312" t="str">
        <x:v>{"z":10}</x:v>
      </x:c>
      <x:c r="F312" t="str">
        <x:v>EXACT</x:v>
      </x:c>
      <x:c r="G312"/>
      <x:c r="H312"/>
      <x:c r="I312"/>
      <x:c r="J312"/>
      <x:c r="K312"/>
      <x:c r="L312"/>
      <x:c r="M312" t="n">
        <x:v>46</x:v>
      </x:c>
      <x:c r="N312"/>
      <x:c r="O312"/>
      <x:c r="P312"/>
      <x:c r="Q312"/>
      <x:c r="R312"/>
      <x:c r="S312" t="n">
        <x:v>46</x:v>
      </x:c>
      <x:c r="T312" t="n">
        <x:v>46</x:v>
      </x:c>
      <x:c r="U312" s="28" t="n">
        <x:f>T312</x:f>
        <x:v>46</x:v>
      </x:c>
      <x:c r="V312" s="32" t="n">
        <x:f>IF(AND(ISNUMBER(S312),ISNUMBER(U312)),ABS(S312-U312),IF(S312=U312,0,1))</x:f>
        <x:v>0</x:v>
      </x:c>
      <x:c r="W312" s="30" t="str">
        <x:v>PASS</x:v>
      </x:c>
      <x:c r="X312" s="28" t="str">
        <x:f>IF(V312&lt;=1E-9,"PASS","FAIL")</x:f>
        <x:v>PASS</x:v>
      </x:c>
      <x:c r="Y312" t="str">
        <x:v>tr.33–34</x:v>
      </x:c>
      <x:c r="Z312" t="str"/>
    </x:row>
    <x:row r="313">
      <x:c r="A313" t="str">
        <x:v>G0310</x:v>
      </x:c>
      <x:c r="B313" t="str">
        <x:v>Bảng 3</x:v>
      </x:c>
      <x:c r="C313" t="str">
        <x:v>sand:fine</x:v>
      </x:c>
      <x:c r="D313" t="str">
        <x:v>EXACT</x:v>
      </x:c>
      <x:c r="E313" t="str">
        <x:v>{"z":15}</x:v>
      </x:c>
      <x:c r="F313" t="str">
        <x:v>EXACT</x:v>
      </x:c>
      <x:c r="G313"/>
      <x:c r="H313"/>
      <x:c r="I313"/>
      <x:c r="J313"/>
      <x:c r="K313"/>
      <x:c r="L313"/>
      <x:c r="M313" t="n">
        <x:v>51</x:v>
      </x:c>
      <x:c r="N313"/>
      <x:c r="O313"/>
      <x:c r="P313"/>
      <x:c r="Q313"/>
      <x:c r="R313"/>
      <x:c r="S313" t="n">
        <x:v>51</x:v>
      </x:c>
      <x:c r="T313" t="n">
        <x:v>51</x:v>
      </x:c>
      <x:c r="U313" s="28" t="n">
        <x:f>T313</x:f>
        <x:v>51</x:v>
      </x:c>
      <x:c r="V313" s="32" t="n">
        <x:f>IF(AND(ISNUMBER(S313),ISNUMBER(U313)),ABS(S313-U313),IF(S313=U313,0,1))</x:f>
        <x:v>0</x:v>
      </x:c>
      <x:c r="W313" s="30" t="str">
        <x:v>PASS</x:v>
      </x:c>
      <x:c r="X313" s="28" t="str">
        <x:f>IF(V313&lt;=1E-9,"PASS","FAIL")</x:f>
        <x:v>PASS</x:v>
      </x:c>
      <x:c r="Y313" t="str">
        <x:v>tr.33–34</x:v>
      </x:c>
      <x:c r="Z313" t="str"/>
    </x:row>
    <x:row r="314">
      <x:c r="A314" t="str">
        <x:v>G0311</x:v>
      </x:c>
      <x:c r="B314" t="str">
        <x:v>Bảng 3</x:v>
      </x:c>
      <x:c r="C314" t="str">
        <x:v>sand:fine</x:v>
      </x:c>
      <x:c r="D314" t="str">
        <x:v>EXACT</x:v>
      </x:c>
      <x:c r="E314" t="str">
        <x:v>{"z":20}</x:v>
      </x:c>
      <x:c r="F314" t="str">
        <x:v>EXACT</x:v>
      </x:c>
      <x:c r="G314"/>
      <x:c r="H314"/>
      <x:c r="I314"/>
      <x:c r="J314"/>
      <x:c r="K314"/>
      <x:c r="L314"/>
      <x:c r="M314" t="n">
        <x:v>56</x:v>
      </x:c>
      <x:c r="N314"/>
      <x:c r="O314"/>
      <x:c r="P314"/>
      <x:c r="Q314"/>
      <x:c r="R314"/>
      <x:c r="S314" t="n">
        <x:v>56</x:v>
      </x:c>
      <x:c r="T314" t="n">
        <x:v>56</x:v>
      </x:c>
      <x:c r="U314" s="28" t="n">
        <x:f>T314</x:f>
        <x:v>56</x:v>
      </x:c>
      <x:c r="V314" s="32" t="n">
        <x:f>IF(AND(ISNUMBER(S314),ISNUMBER(U314)),ABS(S314-U314),IF(S314=U314,0,1))</x:f>
        <x:v>0</x:v>
      </x:c>
      <x:c r="W314" s="30" t="str">
        <x:v>PASS</x:v>
      </x:c>
      <x:c r="X314" s="28" t="str">
        <x:f>IF(V314&lt;=1E-9,"PASS","FAIL")</x:f>
        <x:v>PASS</x:v>
      </x:c>
      <x:c r="Y314" t="str">
        <x:v>tr.33–34</x:v>
      </x:c>
      <x:c r="Z314" t="str"/>
    </x:row>
    <x:row r="315">
      <x:c r="A315" t="str">
        <x:v>G0312</x:v>
      </x:c>
      <x:c r="B315" t="str">
        <x:v>Bảng 3</x:v>
      </x:c>
      <x:c r="C315" t="str">
        <x:v>sand:fine</x:v>
      </x:c>
      <x:c r="D315" t="str">
        <x:v>EXACT</x:v>
      </x:c>
      <x:c r="E315" t="str">
        <x:v>{"z":25}</x:v>
      </x:c>
      <x:c r="F315" t="str">
        <x:v>EXACT</x:v>
      </x:c>
      <x:c r="G315"/>
      <x:c r="H315"/>
      <x:c r="I315"/>
      <x:c r="J315"/>
      <x:c r="K315"/>
      <x:c r="L315"/>
      <x:c r="M315" t="n">
        <x:v>61</x:v>
      </x:c>
      <x:c r="N315"/>
      <x:c r="O315"/>
      <x:c r="P315"/>
      <x:c r="Q315"/>
      <x:c r="R315"/>
      <x:c r="S315" t="n">
        <x:v>61</x:v>
      </x:c>
      <x:c r="T315" t="n">
        <x:v>61</x:v>
      </x:c>
      <x:c r="U315" s="28" t="n">
        <x:f>T315</x:f>
        <x:v>61</x:v>
      </x:c>
      <x:c r="V315" s="32" t="n">
        <x:f>IF(AND(ISNUMBER(S315),ISNUMBER(U315)),ABS(S315-U315),IF(S315=U315,0,1))</x:f>
        <x:v>0</x:v>
      </x:c>
      <x:c r="W315" s="30" t="str">
        <x:v>PASS</x:v>
      </x:c>
      <x:c r="X315" s="28" t="str">
        <x:f>IF(V315&lt;=1E-9,"PASS","FAIL")</x:f>
        <x:v>PASS</x:v>
      </x:c>
      <x:c r="Y315" t="str">
        <x:v>tr.33–34</x:v>
      </x:c>
      <x:c r="Z315" t="str"/>
    </x:row>
    <x:row r="316">
      <x:c r="A316" t="str">
        <x:v>G0313</x:v>
      </x:c>
      <x:c r="B316" t="str">
        <x:v>Bảng 3</x:v>
      </x:c>
      <x:c r="C316" t="str">
        <x:v>sand:fine</x:v>
      </x:c>
      <x:c r="D316" t="str">
        <x:v>EXACT</x:v>
      </x:c>
      <x:c r="E316" t="str">
        <x:v>{"z":30}</x:v>
      </x:c>
      <x:c r="F316" t="str">
        <x:v>EXACT</x:v>
      </x:c>
      <x:c r="G316"/>
      <x:c r="H316"/>
      <x:c r="I316"/>
      <x:c r="J316"/>
      <x:c r="K316"/>
      <x:c r="L316"/>
      <x:c r="M316" t="n">
        <x:v>66</x:v>
      </x:c>
      <x:c r="N316"/>
      <x:c r="O316"/>
      <x:c r="P316"/>
      <x:c r="Q316"/>
      <x:c r="R316"/>
      <x:c r="S316" t="n">
        <x:v>66</x:v>
      </x:c>
      <x:c r="T316" t="n">
        <x:v>66</x:v>
      </x:c>
      <x:c r="U316" s="28" t="n">
        <x:f>T316</x:f>
        <x:v>66</x:v>
      </x:c>
      <x:c r="V316" s="32" t="n">
        <x:f>IF(AND(ISNUMBER(S316),ISNUMBER(U316)),ABS(S316-U316),IF(S316=U316,0,1))</x:f>
        <x:v>0</x:v>
      </x:c>
      <x:c r="W316" s="30" t="str">
        <x:v>PASS</x:v>
      </x:c>
      <x:c r="X316" s="28" t="str">
        <x:f>IF(V316&lt;=1E-9,"PASS","FAIL")</x:f>
        <x:v>PASS</x:v>
      </x:c>
      <x:c r="Y316" t="str">
        <x:v>tr.33–34</x:v>
      </x:c>
      <x:c r="Z316" t="str"/>
    </x:row>
    <x:row r="317">
      <x:c r="A317" t="str">
        <x:v>G0314</x:v>
      </x:c>
      <x:c r="B317" t="str">
        <x:v>Bảng 3</x:v>
      </x:c>
      <x:c r="C317" t="str">
        <x:v>sand:fine</x:v>
      </x:c>
      <x:c r="D317" t="str">
        <x:v>EXACT</x:v>
      </x:c>
      <x:c r="E317" t="str">
        <x:v>{"z":35}</x:v>
      </x:c>
      <x:c r="F317" t="str">
        <x:v>EXACT</x:v>
      </x:c>
      <x:c r="G317"/>
      <x:c r="H317"/>
      <x:c r="I317"/>
      <x:c r="J317"/>
      <x:c r="K317"/>
      <x:c r="L317"/>
      <x:c r="M317" t="n">
        <x:v>70</x:v>
      </x:c>
      <x:c r="N317"/>
      <x:c r="O317"/>
      <x:c r="P317"/>
      <x:c r="Q317"/>
      <x:c r="R317"/>
      <x:c r="S317" t="n">
        <x:v>70</x:v>
      </x:c>
      <x:c r="T317" t="n">
        <x:v>70</x:v>
      </x:c>
      <x:c r="U317" s="28" t="n">
        <x:f>T317</x:f>
        <x:v>70</x:v>
      </x:c>
      <x:c r="V317" s="32" t="n">
        <x:f>IF(AND(ISNUMBER(S317),ISNUMBER(U317)),ABS(S317-U317),IF(S317=U317,0,1))</x:f>
        <x:v>0</x:v>
      </x:c>
      <x:c r="W317" s="30" t="str">
        <x:v>PASS</x:v>
      </x:c>
      <x:c r="X317" s="28" t="str">
        <x:f>IF(V317&lt;=1E-9,"PASS","FAIL")</x:f>
        <x:v>PASS</x:v>
      </x:c>
      <x:c r="Y317" t="str">
        <x:v>tr.33–34</x:v>
      </x:c>
      <x:c r="Z317" t="str"/>
    </x:row>
    <x:row r="318">
      <x:c r="A318" t="str">
        <x:v>G0315</x:v>
      </x:c>
      <x:c r="B318" t="str">
        <x:v>Bảng 3</x:v>
      </x:c>
      <x:c r="C318" t="str">
        <x:v>sand:fine</x:v>
      </x:c>
      <x:c r="D318" t="str">
        <x:v>EXACT</x:v>
      </x:c>
      <x:c r="E318" t="str">
        <x:v>{"z":40}</x:v>
      </x:c>
      <x:c r="F318" t="str">
        <x:v>EXACT</x:v>
      </x:c>
      <x:c r="G318"/>
      <x:c r="H318"/>
      <x:c r="I318"/>
      <x:c r="J318"/>
      <x:c r="K318"/>
      <x:c r="L318"/>
      <x:c r="M318" t="n">
        <x:v>74</x:v>
      </x:c>
      <x:c r="N318"/>
      <x:c r="O318"/>
      <x:c r="P318"/>
      <x:c r="Q318"/>
      <x:c r="R318"/>
      <x:c r="S318" t="n">
        <x:v>74</x:v>
      </x:c>
      <x:c r="T318" t="n">
        <x:v>74</x:v>
      </x:c>
      <x:c r="U318" s="28" t="n">
        <x:f>T318</x:f>
        <x:v>74</x:v>
      </x:c>
      <x:c r="V318" s="32" t="n">
        <x:f>IF(AND(ISNUMBER(S318),ISNUMBER(U318)),ABS(S318-U318),IF(S318=U318,0,1))</x:f>
        <x:v>0</x:v>
      </x:c>
      <x:c r="W318" s="30" t="str">
        <x:v>PASS</x:v>
      </x:c>
      <x:c r="X318" s="28" t="str">
        <x:f>IF(V318&lt;=1E-9,"PASS","FAIL")</x:f>
        <x:v>PASS</x:v>
      </x:c>
      <x:c r="Y318" t="str">
        <x:v>tr.33–34</x:v>
      </x:c>
      <x:c r="Z318" t="str"/>
    </x:row>
    <x:row r="319">
      <x:c r="A319" t="str">
        <x:v>G0316</x:v>
      </x:c>
      <x:c r="B319" t="str">
        <x:v>Bảng 3</x:v>
      </x:c>
      <x:c r="C319" t="str">
        <x:v>sand:fine</x:v>
      </x:c>
      <x:c r="D319" t="str">
        <x:v>MID</x:v>
      </x:c>
      <x:c r="E319" t="str">
        <x:v>{"z":1.5}</x:v>
      </x:c>
      <x:c r="F319" t="str">
        <x:v>LINEAR-1D</x:v>
      </x:c>
      <x:c r="G319" t="n">
        <x:v>1.5</x:v>
      </x:c>
      <x:c r="H319"/>
      <x:c r="I319" t="n">
        <x:v>1</x:v>
      </x:c>
      <x:c r="J319" t="n">
        <x:v>2</x:v>
      </x:c>
      <x:c r="K319"/>
      <x:c r="L319"/>
      <x:c r="M319" t="n">
        <x:v>23</x:v>
      </x:c>
      <x:c r="N319" t="n">
        <x:v>30</x:v>
      </x:c>
      <x:c r="O319"/>
      <x:c r="P319"/>
      <x:c r="Q319"/>
      <x:c r="R319"/>
      <x:c r="S319" t="n">
        <x:v>26.5</x:v>
      </x:c>
      <x:c r="T319" t="n">
        <x:v>26.5</x:v>
      </x:c>
      <x:c r="U319" s="28" t="n">
        <x:f>M319+(G319-I319)*(N319-M319)/(J319-I319)</x:f>
        <x:v>26.5</x:v>
      </x:c>
      <x:c r="V319" s="32" t="n">
        <x:f>IF(AND(ISNUMBER(S319),ISNUMBER(U319)),ABS(S319-U319),IF(S319=U319,0,1))</x:f>
        <x:v>0</x:v>
      </x:c>
      <x:c r="W319" s="30" t="str">
        <x:v>PASS</x:v>
      </x:c>
      <x:c r="X319" s="28" t="str">
        <x:f>IF(V319&lt;=1E-9,"PASS","FAIL")</x:f>
        <x:v>PASS</x:v>
      </x:c>
      <x:c r="Y319" t="str">
        <x:v>Chú thích 2</x:v>
      </x:c>
      <x:c r="Z319" t="str"/>
    </x:row>
    <x:row r="320">
      <x:c r="A320" t="str">
        <x:v>G0317</x:v>
      </x:c>
      <x:c r="B320" t="str">
        <x:v>Bảng 3</x:v>
      </x:c>
      <x:c r="C320" t="str">
        <x:v>sand:fine</x:v>
      </x:c>
      <x:c r="D320" t="str">
        <x:v>MID</x:v>
      </x:c>
      <x:c r="E320" t="str">
        <x:v>{"z":2.5}</x:v>
      </x:c>
      <x:c r="F320" t="str">
        <x:v>LINEAR-1D</x:v>
      </x:c>
      <x:c r="G320" t="n">
        <x:v>2.5</x:v>
      </x:c>
      <x:c r="H320"/>
      <x:c r="I320" t="n">
        <x:v>2</x:v>
      </x:c>
      <x:c r="J320" t="n">
        <x:v>3</x:v>
      </x:c>
      <x:c r="K320"/>
      <x:c r="L320"/>
      <x:c r="M320" t="n">
        <x:v>30</x:v>
      </x:c>
      <x:c r="N320" t="n">
        <x:v>35</x:v>
      </x:c>
      <x:c r="O320"/>
      <x:c r="P320"/>
      <x:c r="Q320"/>
      <x:c r="R320"/>
      <x:c r="S320" t="n">
        <x:v>32.5</x:v>
      </x:c>
      <x:c r="T320" t="n">
        <x:v>32.5</x:v>
      </x:c>
      <x:c r="U320" s="28" t="n">
        <x:f>M320+(G320-I320)*(N320-M320)/(J320-I320)</x:f>
        <x:v>32.5</x:v>
      </x:c>
      <x:c r="V320" s="32" t="n">
        <x:f>IF(AND(ISNUMBER(S320),ISNUMBER(U320)),ABS(S320-U320),IF(S320=U320,0,1))</x:f>
        <x:v>0</x:v>
      </x:c>
      <x:c r="W320" s="30" t="str">
        <x:v>PASS</x:v>
      </x:c>
      <x:c r="X320" s="28" t="str">
        <x:f>IF(V320&lt;=1E-9,"PASS","FAIL")</x:f>
        <x:v>PASS</x:v>
      </x:c>
      <x:c r="Y320" t="str">
        <x:v>Chú thích 2</x:v>
      </x:c>
      <x:c r="Z320" t="str"/>
    </x:row>
    <x:row r="321">
      <x:c r="A321" t="str">
        <x:v>G0318</x:v>
      </x:c>
      <x:c r="B321" t="str">
        <x:v>Bảng 3</x:v>
      </x:c>
      <x:c r="C321" t="str">
        <x:v>sand:fine</x:v>
      </x:c>
      <x:c r="D321" t="str">
        <x:v>MID</x:v>
      </x:c>
      <x:c r="E321" t="str">
        <x:v>{"z":3.5}</x:v>
      </x:c>
      <x:c r="F321" t="str">
        <x:v>LINEAR-1D</x:v>
      </x:c>
      <x:c r="G321" t="n">
        <x:v>3.5</x:v>
      </x:c>
      <x:c r="H321"/>
      <x:c r="I321" t="n">
        <x:v>3</x:v>
      </x:c>
      <x:c r="J321" t="n">
        <x:v>4</x:v>
      </x:c>
      <x:c r="K321"/>
      <x:c r="L321"/>
      <x:c r="M321" t="n">
        <x:v>35</x:v>
      </x:c>
      <x:c r="N321" t="n">
        <x:v>38</x:v>
      </x:c>
      <x:c r="O321"/>
      <x:c r="P321"/>
      <x:c r="Q321"/>
      <x:c r="R321"/>
      <x:c r="S321" t="n">
        <x:v>36.5</x:v>
      </x:c>
      <x:c r="T321" t="n">
        <x:v>36.5</x:v>
      </x:c>
      <x:c r="U321" s="28" t="n">
        <x:f>M321+(G321-I321)*(N321-M321)/(J321-I321)</x:f>
        <x:v>36.5</x:v>
      </x:c>
      <x:c r="V321" s="32" t="n">
        <x:f>IF(AND(ISNUMBER(S321),ISNUMBER(U321)),ABS(S321-U321),IF(S321=U321,0,1))</x:f>
        <x:v>0</x:v>
      </x:c>
      <x:c r="W321" s="30" t="str">
        <x:v>PASS</x:v>
      </x:c>
      <x:c r="X321" s="28" t="str">
        <x:f>IF(V321&lt;=1E-9,"PASS","FAIL")</x:f>
        <x:v>PASS</x:v>
      </x:c>
      <x:c r="Y321" t="str">
        <x:v>Chú thích 2</x:v>
      </x:c>
      <x:c r="Z321" t="str"/>
    </x:row>
    <x:row r="322">
      <x:c r="A322" t="str">
        <x:v>G0319</x:v>
      </x:c>
      <x:c r="B322" t="str">
        <x:v>Bảng 3</x:v>
      </x:c>
      <x:c r="C322" t="str">
        <x:v>sand:fine</x:v>
      </x:c>
      <x:c r="D322" t="str">
        <x:v>MID</x:v>
      </x:c>
      <x:c r="E322" t="str">
        <x:v>{"z":4.5}</x:v>
      </x:c>
      <x:c r="F322" t="str">
        <x:v>LINEAR-1D</x:v>
      </x:c>
      <x:c r="G322" t="n">
        <x:v>4.5</x:v>
      </x:c>
      <x:c r="H322"/>
      <x:c r="I322" t="n">
        <x:v>4</x:v>
      </x:c>
      <x:c r="J322" t="n">
        <x:v>5</x:v>
      </x:c>
      <x:c r="K322"/>
      <x:c r="L322"/>
      <x:c r="M322" t="n">
        <x:v>38</x:v>
      </x:c>
      <x:c r="N322" t="n">
        <x:v>40</x:v>
      </x:c>
      <x:c r="O322"/>
      <x:c r="P322"/>
      <x:c r="Q322"/>
      <x:c r="R322"/>
      <x:c r="S322" t="n">
        <x:v>39</x:v>
      </x:c>
      <x:c r="T322" t="n">
        <x:v>39</x:v>
      </x:c>
      <x:c r="U322" s="28" t="n">
        <x:f>M322+(G322-I322)*(N322-M322)/(J322-I322)</x:f>
        <x:v>39</x:v>
      </x:c>
      <x:c r="V322" s="32" t="n">
        <x:f>IF(AND(ISNUMBER(S322),ISNUMBER(U322)),ABS(S322-U322),IF(S322=U322,0,1))</x:f>
        <x:v>0</x:v>
      </x:c>
      <x:c r="W322" s="30" t="str">
        <x:v>PASS</x:v>
      </x:c>
      <x:c r="X322" s="28" t="str">
        <x:f>IF(V322&lt;=1E-9,"PASS","FAIL")</x:f>
        <x:v>PASS</x:v>
      </x:c>
      <x:c r="Y322" t="str">
        <x:v>Chú thích 2</x:v>
      </x:c>
      <x:c r="Z322" t="str"/>
    </x:row>
    <x:row r="323">
      <x:c r="A323" t="str">
        <x:v>G0320</x:v>
      </x:c>
      <x:c r="B323" t="str">
        <x:v>Bảng 3</x:v>
      </x:c>
      <x:c r="C323" t="str">
        <x:v>sand:fine</x:v>
      </x:c>
      <x:c r="D323" t="str">
        <x:v>MID</x:v>
      </x:c>
      <x:c r="E323" t="str">
        <x:v>{"z":5.5}</x:v>
      </x:c>
      <x:c r="F323" t="str">
        <x:v>LINEAR-1D</x:v>
      </x:c>
      <x:c r="G323" t="n">
        <x:v>5.5</x:v>
      </x:c>
      <x:c r="H323"/>
      <x:c r="I323" t="n">
        <x:v>5</x:v>
      </x:c>
      <x:c r="J323" t="n">
        <x:v>6</x:v>
      </x:c>
      <x:c r="K323"/>
      <x:c r="L323"/>
      <x:c r="M323" t="n">
        <x:v>40</x:v>
      </x:c>
      <x:c r="N323" t="n">
        <x:v>42</x:v>
      </x:c>
      <x:c r="O323"/>
      <x:c r="P323"/>
      <x:c r="Q323"/>
      <x:c r="R323"/>
      <x:c r="S323" t="n">
        <x:v>41</x:v>
      </x:c>
      <x:c r="T323" t="n">
        <x:v>41</x:v>
      </x:c>
      <x:c r="U323" s="28" t="n">
        <x:f>M323+(G323-I323)*(N323-M323)/(J323-I323)</x:f>
        <x:v>41</x:v>
      </x:c>
      <x:c r="V323" s="32" t="n">
        <x:f>IF(AND(ISNUMBER(S323),ISNUMBER(U323)),ABS(S323-U323),IF(S323=U323,0,1))</x:f>
        <x:v>0</x:v>
      </x:c>
      <x:c r="W323" s="30" t="str">
        <x:v>PASS</x:v>
      </x:c>
      <x:c r="X323" s="28" t="str">
        <x:f>IF(V323&lt;=1E-9,"PASS","FAIL")</x:f>
        <x:v>PASS</x:v>
      </x:c>
      <x:c r="Y323" t="str">
        <x:v>Chú thích 2</x:v>
      </x:c>
      <x:c r="Z323" t="str"/>
    </x:row>
    <x:row r="324">
      <x:c r="A324" t="str">
        <x:v>G0321</x:v>
      </x:c>
      <x:c r="B324" t="str">
        <x:v>Bảng 3</x:v>
      </x:c>
      <x:c r="C324" t="str">
        <x:v>sand:fine</x:v>
      </x:c>
      <x:c r="D324" t="str">
        <x:v>MID</x:v>
      </x:c>
      <x:c r="E324" t="str">
        <x:v>{"z":7}</x:v>
      </x:c>
      <x:c r="F324" t="str">
        <x:v>LINEAR-1D</x:v>
      </x:c>
      <x:c r="G324" t="n">
        <x:v>7</x:v>
      </x:c>
      <x:c r="H324"/>
      <x:c r="I324" t="n">
        <x:v>6</x:v>
      </x:c>
      <x:c r="J324" t="n">
        <x:v>8</x:v>
      </x:c>
      <x:c r="K324"/>
      <x:c r="L324"/>
      <x:c r="M324" t="n">
        <x:v>42</x:v>
      </x:c>
      <x:c r="N324" t="n">
        <x:v>44</x:v>
      </x:c>
      <x:c r="O324"/>
      <x:c r="P324"/>
      <x:c r="Q324"/>
      <x:c r="R324"/>
      <x:c r="S324" t="n">
        <x:v>43</x:v>
      </x:c>
      <x:c r="T324" t="n">
        <x:v>43</x:v>
      </x:c>
      <x:c r="U324" s="28" t="n">
        <x:f>M324+(G324-I324)*(N324-M324)/(J324-I324)</x:f>
        <x:v>43</x:v>
      </x:c>
      <x:c r="V324" s="32" t="n">
        <x:f>IF(AND(ISNUMBER(S324),ISNUMBER(U324)),ABS(S324-U324),IF(S324=U324,0,1))</x:f>
        <x:v>0</x:v>
      </x:c>
      <x:c r="W324" s="30" t="str">
        <x:v>PASS</x:v>
      </x:c>
      <x:c r="X324" s="28" t="str">
        <x:f>IF(V324&lt;=1E-9,"PASS","FAIL")</x:f>
        <x:v>PASS</x:v>
      </x:c>
      <x:c r="Y324" t="str">
        <x:v>Chú thích 2</x:v>
      </x:c>
      <x:c r="Z324" t="str"/>
    </x:row>
    <x:row r="325">
      <x:c r="A325" t="str">
        <x:v>G0322</x:v>
      </x:c>
      <x:c r="B325" t="str">
        <x:v>Bảng 3</x:v>
      </x:c>
      <x:c r="C325" t="str">
        <x:v>sand:fine</x:v>
      </x:c>
      <x:c r="D325" t="str">
        <x:v>MID</x:v>
      </x:c>
      <x:c r="E325" t="str">
        <x:v>{"z":9}</x:v>
      </x:c>
      <x:c r="F325" t="str">
        <x:v>LINEAR-1D</x:v>
      </x:c>
      <x:c r="G325" t="n">
        <x:v>9</x:v>
      </x:c>
      <x:c r="H325"/>
      <x:c r="I325" t="n">
        <x:v>8</x:v>
      </x:c>
      <x:c r="J325" t="n">
        <x:v>10</x:v>
      </x:c>
      <x:c r="K325"/>
      <x:c r="L325"/>
      <x:c r="M325" t="n">
        <x:v>44</x:v>
      </x:c>
      <x:c r="N325" t="n">
        <x:v>46</x:v>
      </x:c>
      <x:c r="O325"/>
      <x:c r="P325"/>
      <x:c r="Q325"/>
      <x:c r="R325"/>
      <x:c r="S325" t="n">
        <x:v>45</x:v>
      </x:c>
      <x:c r="T325" t="n">
        <x:v>45</x:v>
      </x:c>
      <x:c r="U325" s="28" t="n">
        <x:f>M325+(G325-I325)*(N325-M325)/(J325-I325)</x:f>
        <x:v>45</x:v>
      </x:c>
      <x:c r="V325" s="32" t="n">
        <x:f>IF(AND(ISNUMBER(S325),ISNUMBER(U325)),ABS(S325-U325),IF(S325=U325,0,1))</x:f>
        <x:v>0</x:v>
      </x:c>
      <x:c r="W325" s="30" t="str">
        <x:v>PASS</x:v>
      </x:c>
      <x:c r="X325" s="28" t="str">
        <x:f>IF(V325&lt;=1E-9,"PASS","FAIL")</x:f>
        <x:v>PASS</x:v>
      </x:c>
      <x:c r="Y325" t="str">
        <x:v>Chú thích 2</x:v>
      </x:c>
      <x:c r="Z325" t="str"/>
    </x:row>
    <x:row r="326">
      <x:c r="A326" t="str">
        <x:v>G0323</x:v>
      </x:c>
      <x:c r="B326" t="str">
        <x:v>Bảng 3</x:v>
      </x:c>
      <x:c r="C326" t="str">
        <x:v>sand:fine</x:v>
      </x:c>
      <x:c r="D326" t="str">
        <x:v>MID</x:v>
      </x:c>
      <x:c r="E326" t="str">
        <x:v>{"z":12.5}</x:v>
      </x:c>
      <x:c r="F326" t="str">
        <x:v>LINEAR-1D</x:v>
      </x:c>
      <x:c r="G326" t="n">
        <x:v>12.5</x:v>
      </x:c>
      <x:c r="H326"/>
      <x:c r="I326" t="n">
        <x:v>10</x:v>
      </x:c>
      <x:c r="J326" t="n">
        <x:v>15</x:v>
      </x:c>
      <x:c r="K326"/>
      <x:c r="L326"/>
      <x:c r="M326" t="n">
        <x:v>46</x:v>
      </x:c>
      <x:c r="N326" t="n">
        <x:v>51</x:v>
      </x:c>
      <x:c r="O326"/>
      <x:c r="P326"/>
      <x:c r="Q326"/>
      <x:c r="R326"/>
      <x:c r="S326" t="n">
        <x:v>48.5</x:v>
      </x:c>
      <x:c r="T326" t="n">
        <x:v>48.5</x:v>
      </x:c>
      <x:c r="U326" s="28" t="n">
        <x:f>M326+(G326-I326)*(N326-M326)/(J326-I326)</x:f>
        <x:v>48.5</x:v>
      </x:c>
      <x:c r="V326" s="32" t="n">
        <x:f>IF(AND(ISNUMBER(S326),ISNUMBER(U326)),ABS(S326-U326),IF(S326=U326,0,1))</x:f>
        <x:v>0</x:v>
      </x:c>
      <x:c r="W326" s="30" t="str">
        <x:v>PASS</x:v>
      </x:c>
      <x:c r="X326" s="28" t="str">
        <x:f>IF(V326&lt;=1E-9,"PASS","FAIL")</x:f>
        <x:v>PASS</x:v>
      </x:c>
      <x:c r="Y326" t="str">
        <x:v>Chú thích 2</x:v>
      </x:c>
      <x:c r="Z326" t="str"/>
    </x:row>
    <x:row r="327">
      <x:c r="A327" t="str">
        <x:v>G0324</x:v>
      </x:c>
      <x:c r="B327" t="str">
        <x:v>Bảng 3</x:v>
      </x:c>
      <x:c r="C327" t="str">
        <x:v>sand:fine</x:v>
      </x:c>
      <x:c r="D327" t="str">
        <x:v>MID</x:v>
      </x:c>
      <x:c r="E327" t="str">
        <x:v>{"z":17.5}</x:v>
      </x:c>
      <x:c r="F327" t="str">
        <x:v>LINEAR-1D</x:v>
      </x:c>
      <x:c r="G327" t="n">
        <x:v>17.5</x:v>
      </x:c>
      <x:c r="H327"/>
      <x:c r="I327" t="n">
        <x:v>15</x:v>
      </x:c>
      <x:c r="J327" t="n">
        <x:v>20</x:v>
      </x:c>
      <x:c r="K327"/>
      <x:c r="L327"/>
      <x:c r="M327" t="n">
        <x:v>51</x:v>
      </x:c>
      <x:c r="N327" t="n">
        <x:v>56</x:v>
      </x:c>
      <x:c r="O327"/>
      <x:c r="P327"/>
      <x:c r="Q327"/>
      <x:c r="R327"/>
      <x:c r="S327" t="n">
        <x:v>53.5</x:v>
      </x:c>
      <x:c r="T327" t="n">
        <x:v>53.5</x:v>
      </x:c>
      <x:c r="U327" s="28" t="n">
        <x:f>M327+(G327-I327)*(N327-M327)/(J327-I327)</x:f>
        <x:v>53.5</x:v>
      </x:c>
      <x:c r="V327" s="32" t="n">
        <x:f>IF(AND(ISNUMBER(S327),ISNUMBER(U327)),ABS(S327-U327),IF(S327=U327,0,1))</x:f>
        <x:v>0</x:v>
      </x:c>
      <x:c r="W327" s="30" t="str">
        <x:v>PASS</x:v>
      </x:c>
      <x:c r="X327" s="28" t="str">
        <x:f>IF(V327&lt;=1E-9,"PASS","FAIL")</x:f>
        <x:v>PASS</x:v>
      </x:c>
      <x:c r="Y327" t="str">
        <x:v>Chú thích 2</x:v>
      </x:c>
      <x:c r="Z327" t="str"/>
    </x:row>
    <x:row r="328">
      <x:c r="A328" t="str">
        <x:v>G0325</x:v>
      </x:c>
      <x:c r="B328" t="str">
        <x:v>Bảng 3</x:v>
      </x:c>
      <x:c r="C328" t="str">
        <x:v>sand:fine</x:v>
      </x:c>
      <x:c r="D328" t="str">
        <x:v>MID</x:v>
      </x:c>
      <x:c r="E328" t="str">
        <x:v>{"z":22.5}</x:v>
      </x:c>
      <x:c r="F328" t="str">
        <x:v>LINEAR-1D</x:v>
      </x:c>
      <x:c r="G328" t="n">
        <x:v>22.5</x:v>
      </x:c>
      <x:c r="H328"/>
      <x:c r="I328" t="n">
        <x:v>20</x:v>
      </x:c>
      <x:c r="J328" t="n">
        <x:v>25</x:v>
      </x:c>
      <x:c r="K328"/>
      <x:c r="L328"/>
      <x:c r="M328" t="n">
        <x:v>56</x:v>
      </x:c>
      <x:c r="N328" t="n">
        <x:v>61</x:v>
      </x:c>
      <x:c r="O328"/>
      <x:c r="P328"/>
      <x:c r="Q328"/>
      <x:c r="R328"/>
      <x:c r="S328" t="n">
        <x:v>58.5</x:v>
      </x:c>
      <x:c r="T328" t="n">
        <x:v>58.5</x:v>
      </x:c>
      <x:c r="U328" s="28" t="n">
        <x:f>M328+(G328-I328)*(N328-M328)/(J328-I328)</x:f>
        <x:v>58.5</x:v>
      </x:c>
      <x:c r="V328" s="32" t="n">
        <x:f>IF(AND(ISNUMBER(S328),ISNUMBER(U328)),ABS(S328-U328),IF(S328=U328,0,1))</x:f>
        <x:v>0</x:v>
      </x:c>
      <x:c r="W328" s="30" t="str">
        <x:v>PASS</x:v>
      </x:c>
      <x:c r="X328" s="28" t="str">
        <x:f>IF(V328&lt;=1E-9,"PASS","FAIL")</x:f>
        <x:v>PASS</x:v>
      </x:c>
      <x:c r="Y328" t="str">
        <x:v>Chú thích 2</x:v>
      </x:c>
      <x:c r="Z328" t="str"/>
    </x:row>
    <x:row r="329">
      <x:c r="A329" t="str">
        <x:v>G0326</x:v>
      </x:c>
      <x:c r="B329" t="str">
        <x:v>Bảng 3</x:v>
      </x:c>
      <x:c r="C329" t="str">
        <x:v>sand:fine</x:v>
      </x:c>
      <x:c r="D329" t="str">
        <x:v>MID</x:v>
      </x:c>
      <x:c r="E329" t="str">
        <x:v>{"z":27.5}</x:v>
      </x:c>
      <x:c r="F329" t="str">
        <x:v>LINEAR-1D</x:v>
      </x:c>
      <x:c r="G329" t="n">
        <x:v>27.5</x:v>
      </x:c>
      <x:c r="H329"/>
      <x:c r="I329" t="n">
        <x:v>25</x:v>
      </x:c>
      <x:c r="J329" t="n">
        <x:v>30</x:v>
      </x:c>
      <x:c r="K329"/>
      <x:c r="L329"/>
      <x:c r="M329" t="n">
        <x:v>61</x:v>
      </x:c>
      <x:c r="N329" t="n">
        <x:v>66</x:v>
      </x:c>
      <x:c r="O329"/>
      <x:c r="P329"/>
      <x:c r="Q329"/>
      <x:c r="R329"/>
      <x:c r="S329" t="n">
        <x:v>63.5</x:v>
      </x:c>
      <x:c r="T329" t="n">
        <x:v>63.5</x:v>
      </x:c>
      <x:c r="U329" s="28" t="n">
        <x:f>M329+(G329-I329)*(N329-M329)/(J329-I329)</x:f>
        <x:v>63.5</x:v>
      </x:c>
      <x:c r="V329" s="32" t="n">
        <x:f>IF(AND(ISNUMBER(S329),ISNUMBER(U329)),ABS(S329-U329),IF(S329=U329,0,1))</x:f>
        <x:v>0</x:v>
      </x:c>
      <x:c r="W329" s="30" t="str">
        <x:v>PASS</x:v>
      </x:c>
      <x:c r="X329" s="28" t="str">
        <x:f>IF(V329&lt;=1E-9,"PASS","FAIL")</x:f>
        <x:v>PASS</x:v>
      </x:c>
      <x:c r="Y329" t="str">
        <x:v>Chú thích 2</x:v>
      </x:c>
      <x:c r="Z329" t="str"/>
    </x:row>
    <x:row r="330">
      <x:c r="A330" t="str">
        <x:v>G0327</x:v>
      </x:c>
      <x:c r="B330" t="str">
        <x:v>Bảng 3</x:v>
      </x:c>
      <x:c r="C330" t="str">
        <x:v>sand:fine</x:v>
      </x:c>
      <x:c r="D330" t="str">
        <x:v>MID</x:v>
      </x:c>
      <x:c r="E330" t="str">
        <x:v>{"z":32.5}</x:v>
      </x:c>
      <x:c r="F330" t="str">
        <x:v>LINEAR-1D</x:v>
      </x:c>
      <x:c r="G330" t="n">
        <x:v>32.5</x:v>
      </x:c>
      <x:c r="H330"/>
      <x:c r="I330" t="n">
        <x:v>30</x:v>
      </x:c>
      <x:c r="J330" t="n">
        <x:v>35</x:v>
      </x:c>
      <x:c r="K330"/>
      <x:c r="L330"/>
      <x:c r="M330" t="n">
        <x:v>66</x:v>
      </x:c>
      <x:c r="N330" t="n">
        <x:v>70</x:v>
      </x:c>
      <x:c r="O330"/>
      <x:c r="P330"/>
      <x:c r="Q330"/>
      <x:c r="R330"/>
      <x:c r="S330" t="n">
        <x:v>68</x:v>
      </x:c>
      <x:c r="T330" t="n">
        <x:v>68</x:v>
      </x:c>
      <x:c r="U330" s="28" t="n">
        <x:f>M330+(G330-I330)*(N330-M330)/(J330-I330)</x:f>
        <x:v>68</x:v>
      </x:c>
      <x:c r="V330" s="32" t="n">
        <x:f>IF(AND(ISNUMBER(S330),ISNUMBER(U330)),ABS(S330-U330),IF(S330=U330,0,1))</x:f>
        <x:v>0</x:v>
      </x:c>
      <x:c r="W330" s="30" t="str">
        <x:v>PASS</x:v>
      </x:c>
      <x:c r="X330" s="28" t="str">
        <x:f>IF(V330&lt;=1E-9,"PASS","FAIL")</x:f>
        <x:v>PASS</x:v>
      </x:c>
      <x:c r="Y330" t="str">
        <x:v>Chú thích 2</x:v>
      </x:c>
      <x:c r="Z330" t="str"/>
    </x:row>
    <x:row r="331">
      <x:c r="A331" t="str">
        <x:v>G0328</x:v>
      </x:c>
      <x:c r="B331" t="str">
        <x:v>Bảng 3</x:v>
      </x:c>
      <x:c r="C331" t="str">
        <x:v>sand:fine</x:v>
      </x:c>
      <x:c r="D331" t="str">
        <x:v>MID</x:v>
      </x:c>
      <x:c r="E331" t="str">
        <x:v>{"z":37.5}</x:v>
      </x:c>
      <x:c r="F331" t="str">
        <x:v>LINEAR-1D</x:v>
      </x:c>
      <x:c r="G331" t="n">
        <x:v>37.5</x:v>
      </x:c>
      <x:c r="H331"/>
      <x:c r="I331" t="n">
        <x:v>35</x:v>
      </x:c>
      <x:c r="J331" t="n">
        <x:v>40</x:v>
      </x:c>
      <x:c r="K331"/>
      <x:c r="L331"/>
      <x:c r="M331" t="n">
        <x:v>70</x:v>
      </x:c>
      <x:c r="N331" t="n">
        <x:v>74</x:v>
      </x:c>
      <x:c r="O331"/>
      <x:c r="P331"/>
      <x:c r="Q331"/>
      <x:c r="R331"/>
      <x:c r="S331" t="n">
        <x:v>72</x:v>
      </x:c>
      <x:c r="T331" t="n">
        <x:v>72</x:v>
      </x:c>
      <x:c r="U331" s="28" t="n">
        <x:f>M331+(G331-I331)*(N331-M331)/(J331-I331)</x:f>
        <x:v>72</x:v>
      </x:c>
      <x:c r="V331" s="32" t="n">
        <x:f>IF(AND(ISNUMBER(S331),ISNUMBER(U331)),ABS(S331-U331),IF(S331=U331,0,1))</x:f>
        <x:v>0</x:v>
      </x:c>
      <x:c r="W331" s="30" t="str">
        <x:v>PASS</x:v>
      </x:c>
      <x:c r="X331" s="28" t="str">
        <x:f>IF(V331&lt;=1E-9,"PASS","FAIL")</x:f>
        <x:v>PASS</x:v>
      </x:c>
      <x:c r="Y331" t="str">
        <x:v>Chú thích 2</x:v>
      </x:c>
      <x:c r="Z331" t="str"/>
    </x:row>
    <x:row r="332">
      <x:c r="A332" t="str">
        <x:v>G0329</x:v>
      </x:c>
      <x:c r="B332" t="str">
        <x:v>Bảng 3</x:v>
      </x:c>
      <x:c r="C332" t="str">
        <x:v>sand:silty</x:v>
      </x:c>
      <x:c r="D332" t="str">
        <x:v>EXACT</x:v>
      </x:c>
      <x:c r="E332" t="str">
        <x:v>{"z":1}</x:v>
      </x:c>
      <x:c r="F332" t="str">
        <x:v>EXACT</x:v>
      </x:c>
      <x:c r="G332"/>
      <x:c r="H332"/>
      <x:c r="I332"/>
      <x:c r="J332"/>
      <x:c r="K332"/>
      <x:c r="L332"/>
      <x:c r="M332" t="n">
        <x:v>15</x:v>
      </x:c>
      <x:c r="N332"/>
      <x:c r="O332"/>
      <x:c r="P332"/>
      <x:c r="Q332"/>
      <x:c r="R332"/>
      <x:c r="S332" t="n">
        <x:v>15</x:v>
      </x:c>
      <x:c r="T332" t="n">
        <x:v>15</x:v>
      </x:c>
      <x:c r="U332" s="28" t="n">
        <x:f>T332</x:f>
        <x:v>15</x:v>
      </x:c>
      <x:c r="V332" s="32" t="n">
        <x:f>IF(AND(ISNUMBER(S332),ISNUMBER(U332)),ABS(S332-U332),IF(S332=U332,0,1))</x:f>
        <x:v>0</x:v>
      </x:c>
      <x:c r="W332" s="30" t="str">
        <x:v>PASS</x:v>
      </x:c>
      <x:c r="X332" s="28" t="str">
        <x:f>IF(V332&lt;=1E-9,"PASS","FAIL")</x:f>
        <x:v>PASS</x:v>
      </x:c>
      <x:c r="Y332" t="str">
        <x:v>tr.33–34</x:v>
      </x:c>
      <x:c r="Z332" t="str"/>
    </x:row>
    <x:row r="333">
      <x:c r="A333" t="str">
        <x:v>G0330</x:v>
      </x:c>
      <x:c r="B333" t="str">
        <x:v>Bảng 3</x:v>
      </x:c>
      <x:c r="C333" t="str">
        <x:v>sand:silty</x:v>
      </x:c>
      <x:c r="D333" t="str">
        <x:v>EXACT</x:v>
      </x:c>
      <x:c r="E333" t="str">
        <x:v>{"z":2}</x:v>
      </x:c>
      <x:c r="F333" t="str">
        <x:v>EXACT</x:v>
      </x:c>
      <x:c r="G333"/>
      <x:c r="H333"/>
      <x:c r="I333"/>
      <x:c r="J333"/>
      <x:c r="K333"/>
      <x:c r="L333"/>
      <x:c r="M333" t="n">
        <x:v>21</x:v>
      </x:c>
      <x:c r="N333"/>
      <x:c r="O333"/>
      <x:c r="P333"/>
      <x:c r="Q333"/>
      <x:c r="R333"/>
      <x:c r="S333" t="n">
        <x:v>21</x:v>
      </x:c>
      <x:c r="T333" t="n">
        <x:v>21</x:v>
      </x:c>
      <x:c r="U333" s="28" t="n">
        <x:f>T333</x:f>
        <x:v>21</x:v>
      </x:c>
      <x:c r="V333" s="32" t="n">
        <x:f>IF(AND(ISNUMBER(S333),ISNUMBER(U333)),ABS(S333-U333),IF(S333=U333,0,1))</x:f>
        <x:v>0</x:v>
      </x:c>
      <x:c r="W333" s="30" t="str">
        <x:v>PASS</x:v>
      </x:c>
      <x:c r="X333" s="28" t="str">
        <x:f>IF(V333&lt;=1E-9,"PASS","FAIL")</x:f>
        <x:v>PASS</x:v>
      </x:c>
      <x:c r="Y333" t="str">
        <x:v>tr.33–34</x:v>
      </x:c>
      <x:c r="Z333" t="str"/>
    </x:row>
    <x:row r="334">
      <x:c r="A334" t="str">
        <x:v>G0331</x:v>
      </x:c>
      <x:c r="B334" t="str">
        <x:v>Bảng 3</x:v>
      </x:c>
      <x:c r="C334" t="str">
        <x:v>sand:silty</x:v>
      </x:c>
      <x:c r="D334" t="str">
        <x:v>EXACT</x:v>
      </x:c>
      <x:c r="E334" t="str">
        <x:v>{"z":3}</x:v>
      </x:c>
      <x:c r="F334" t="str">
        <x:v>EXACT</x:v>
      </x:c>
      <x:c r="G334"/>
      <x:c r="H334"/>
      <x:c r="I334"/>
      <x:c r="J334"/>
      <x:c r="K334"/>
      <x:c r="L334"/>
      <x:c r="M334" t="n">
        <x:v>25</x:v>
      </x:c>
      <x:c r="N334"/>
      <x:c r="O334"/>
      <x:c r="P334"/>
      <x:c r="Q334"/>
      <x:c r="R334"/>
      <x:c r="S334" t="n">
        <x:v>25</x:v>
      </x:c>
      <x:c r="T334" t="n">
        <x:v>25</x:v>
      </x:c>
      <x:c r="U334" s="28" t="n">
        <x:f>T334</x:f>
        <x:v>25</x:v>
      </x:c>
      <x:c r="V334" s="32" t="n">
        <x:f>IF(AND(ISNUMBER(S334),ISNUMBER(U334)),ABS(S334-U334),IF(S334=U334,0,1))</x:f>
        <x:v>0</x:v>
      </x:c>
      <x:c r="W334" s="30" t="str">
        <x:v>PASS</x:v>
      </x:c>
      <x:c r="X334" s="28" t="str">
        <x:f>IF(V334&lt;=1E-9,"PASS","FAIL")</x:f>
        <x:v>PASS</x:v>
      </x:c>
      <x:c r="Y334" t="str">
        <x:v>tr.33–34</x:v>
      </x:c>
      <x:c r="Z334" t="str"/>
    </x:row>
    <x:row r="335">
      <x:c r="A335" t="str">
        <x:v>G0332</x:v>
      </x:c>
      <x:c r="B335" t="str">
        <x:v>Bảng 3</x:v>
      </x:c>
      <x:c r="C335" t="str">
        <x:v>sand:silty</x:v>
      </x:c>
      <x:c r="D335" t="str">
        <x:v>EXACT</x:v>
      </x:c>
      <x:c r="E335" t="str">
        <x:v>{"z":4}</x:v>
      </x:c>
      <x:c r="F335" t="str">
        <x:v>EXACT</x:v>
      </x:c>
      <x:c r="G335"/>
      <x:c r="H335"/>
      <x:c r="I335"/>
      <x:c r="J335"/>
      <x:c r="K335"/>
      <x:c r="L335"/>
      <x:c r="M335" t="n">
        <x:v>27</x:v>
      </x:c>
      <x:c r="N335"/>
      <x:c r="O335"/>
      <x:c r="P335"/>
      <x:c r="Q335"/>
      <x:c r="R335"/>
      <x:c r="S335" t="n">
        <x:v>27</x:v>
      </x:c>
      <x:c r="T335" t="n">
        <x:v>27</x:v>
      </x:c>
      <x:c r="U335" s="28" t="n">
        <x:f>T335</x:f>
        <x:v>27</x:v>
      </x:c>
      <x:c r="V335" s="32" t="n">
        <x:f>IF(AND(ISNUMBER(S335),ISNUMBER(U335)),ABS(S335-U335),IF(S335=U335,0,1))</x:f>
        <x:v>0</x:v>
      </x:c>
      <x:c r="W335" s="30" t="str">
        <x:v>PASS</x:v>
      </x:c>
      <x:c r="X335" s="28" t="str">
        <x:f>IF(V335&lt;=1E-9,"PASS","FAIL")</x:f>
        <x:v>PASS</x:v>
      </x:c>
      <x:c r="Y335" t="str">
        <x:v>tr.33–34</x:v>
      </x:c>
      <x:c r="Z335" t="str"/>
    </x:row>
    <x:row r="336">
      <x:c r="A336" t="str">
        <x:v>G0333</x:v>
      </x:c>
      <x:c r="B336" t="str">
        <x:v>Bảng 3</x:v>
      </x:c>
      <x:c r="C336" t="str">
        <x:v>sand:silty</x:v>
      </x:c>
      <x:c r="D336" t="str">
        <x:v>EXACT</x:v>
      </x:c>
      <x:c r="E336" t="str">
        <x:v>{"z":5}</x:v>
      </x:c>
      <x:c r="F336" t="str">
        <x:v>EXACT</x:v>
      </x:c>
      <x:c r="G336"/>
      <x:c r="H336"/>
      <x:c r="I336"/>
      <x:c r="J336"/>
      <x:c r="K336"/>
      <x:c r="L336"/>
      <x:c r="M336" t="n">
        <x:v>29</x:v>
      </x:c>
      <x:c r="N336"/>
      <x:c r="O336"/>
      <x:c r="P336"/>
      <x:c r="Q336"/>
      <x:c r="R336"/>
      <x:c r="S336" t="n">
        <x:v>29</x:v>
      </x:c>
      <x:c r="T336" t="n">
        <x:v>29</x:v>
      </x:c>
      <x:c r="U336" s="28" t="n">
        <x:f>T336</x:f>
        <x:v>29</x:v>
      </x:c>
      <x:c r="V336" s="32" t="n">
        <x:f>IF(AND(ISNUMBER(S336),ISNUMBER(U336)),ABS(S336-U336),IF(S336=U336,0,1))</x:f>
        <x:v>0</x:v>
      </x:c>
      <x:c r="W336" s="30" t="str">
        <x:v>PASS</x:v>
      </x:c>
      <x:c r="X336" s="28" t="str">
        <x:f>IF(V336&lt;=1E-9,"PASS","FAIL")</x:f>
        <x:v>PASS</x:v>
      </x:c>
      <x:c r="Y336" t="str">
        <x:v>tr.33–34</x:v>
      </x:c>
      <x:c r="Z336" t="str"/>
    </x:row>
    <x:row r="337">
      <x:c r="A337" t="str">
        <x:v>G0334</x:v>
      </x:c>
      <x:c r="B337" t="str">
        <x:v>Bảng 3</x:v>
      </x:c>
      <x:c r="C337" t="str">
        <x:v>sand:silty</x:v>
      </x:c>
      <x:c r="D337" t="str">
        <x:v>EXACT</x:v>
      </x:c>
      <x:c r="E337" t="str">
        <x:v>{"z":6}</x:v>
      </x:c>
      <x:c r="F337" t="str">
        <x:v>EXACT</x:v>
      </x:c>
      <x:c r="G337"/>
      <x:c r="H337"/>
      <x:c r="I337"/>
      <x:c r="J337"/>
      <x:c r="K337"/>
      <x:c r="L337"/>
      <x:c r="M337" t="n">
        <x:v>31</x:v>
      </x:c>
      <x:c r="N337"/>
      <x:c r="O337"/>
      <x:c r="P337"/>
      <x:c r="Q337"/>
      <x:c r="R337"/>
      <x:c r="S337" t="n">
        <x:v>31</x:v>
      </x:c>
      <x:c r="T337" t="n">
        <x:v>31</x:v>
      </x:c>
      <x:c r="U337" s="28" t="n">
        <x:f>T337</x:f>
        <x:v>31</x:v>
      </x:c>
      <x:c r="V337" s="32" t="n">
        <x:f>IF(AND(ISNUMBER(S337),ISNUMBER(U337)),ABS(S337-U337),IF(S337=U337,0,1))</x:f>
        <x:v>0</x:v>
      </x:c>
      <x:c r="W337" s="30" t="str">
        <x:v>PASS</x:v>
      </x:c>
      <x:c r="X337" s="28" t="str">
        <x:f>IF(V337&lt;=1E-9,"PASS","FAIL")</x:f>
        <x:v>PASS</x:v>
      </x:c>
      <x:c r="Y337" t="str">
        <x:v>tr.33–34</x:v>
      </x:c>
      <x:c r="Z337" t="str"/>
    </x:row>
    <x:row r="338">
      <x:c r="A338" t="str">
        <x:v>G0335</x:v>
      </x:c>
      <x:c r="B338" t="str">
        <x:v>Bảng 3</x:v>
      </x:c>
      <x:c r="C338" t="str">
        <x:v>sand:silty</x:v>
      </x:c>
      <x:c r="D338" t="str">
        <x:v>EXACT</x:v>
      </x:c>
      <x:c r="E338" t="str">
        <x:v>{"z":8}</x:v>
      </x:c>
      <x:c r="F338" t="str">
        <x:v>EXACT</x:v>
      </x:c>
      <x:c r="G338"/>
      <x:c r="H338"/>
      <x:c r="I338"/>
      <x:c r="J338"/>
      <x:c r="K338"/>
      <x:c r="L338"/>
      <x:c r="M338" t="n">
        <x:v>33</x:v>
      </x:c>
      <x:c r="N338"/>
      <x:c r="O338"/>
      <x:c r="P338"/>
      <x:c r="Q338"/>
      <x:c r="R338"/>
      <x:c r="S338" t="n">
        <x:v>33</x:v>
      </x:c>
      <x:c r="T338" t="n">
        <x:v>33</x:v>
      </x:c>
      <x:c r="U338" s="28" t="n">
        <x:f>T338</x:f>
        <x:v>33</x:v>
      </x:c>
      <x:c r="V338" s="32" t="n">
        <x:f>IF(AND(ISNUMBER(S338),ISNUMBER(U338)),ABS(S338-U338),IF(S338=U338,0,1))</x:f>
        <x:v>0</x:v>
      </x:c>
      <x:c r="W338" s="30" t="str">
        <x:v>PASS</x:v>
      </x:c>
      <x:c r="X338" s="28" t="str">
        <x:f>IF(V338&lt;=1E-9,"PASS","FAIL")</x:f>
        <x:v>PASS</x:v>
      </x:c>
      <x:c r="Y338" t="str">
        <x:v>tr.33–34</x:v>
      </x:c>
      <x:c r="Z338" t="str"/>
    </x:row>
    <x:row r="339">
      <x:c r="A339" t="str">
        <x:v>G0336</x:v>
      </x:c>
      <x:c r="B339" t="str">
        <x:v>Bảng 3</x:v>
      </x:c>
      <x:c r="C339" t="str">
        <x:v>sand:silty</x:v>
      </x:c>
      <x:c r="D339" t="str">
        <x:v>EXACT</x:v>
      </x:c>
      <x:c r="E339" t="str">
        <x:v>{"z":10}</x:v>
      </x:c>
      <x:c r="F339" t="str">
        <x:v>EXACT</x:v>
      </x:c>
      <x:c r="G339"/>
      <x:c r="H339"/>
      <x:c r="I339"/>
      <x:c r="J339"/>
      <x:c r="K339"/>
      <x:c r="L339"/>
      <x:c r="M339" t="n">
        <x:v>34</x:v>
      </x:c>
      <x:c r="N339"/>
      <x:c r="O339"/>
      <x:c r="P339"/>
      <x:c r="Q339"/>
      <x:c r="R339"/>
      <x:c r="S339" t="n">
        <x:v>34</x:v>
      </x:c>
      <x:c r="T339" t="n">
        <x:v>34</x:v>
      </x:c>
      <x:c r="U339" s="28" t="n">
        <x:f>T339</x:f>
        <x:v>34</x:v>
      </x:c>
      <x:c r="V339" s="32" t="n">
        <x:f>IF(AND(ISNUMBER(S339),ISNUMBER(U339)),ABS(S339-U339),IF(S339=U339,0,1))</x:f>
        <x:v>0</x:v>
      </x:c>
      <x:c r="W339" s="30" t="str">
        <x:v>PASS</x:v>
      </x:c>
      <x:c r="X339" s="28" t="str">
        <x:f>IF(V339&lt;=1E-9,"PASS","FAIL")</x:f>
        <x:v>PASS</x:v>
      </x:c>
      <x:c r="Y339" t="str">
        <x:v>tr.33–34</x:v>
      </x:c>
      <x:c r="Z339" t="str"/>
    </x:row>
    <x:row r="340">
      <x:c r="A340" t="str">
        <x:v>G0337</x:v>
      </x:c>
      <x:c r="B340" t="str">
        <x:v>Bảng 3</x:v>
      </x:c>
      <x:c r="C340" t="str">
        <x:v>sand:silty</x:v>
      </x:c>
      <x:c r="D340" t="str">
        <x:v>EXACT</x:v>
      </x:c>
      <x:c r="E340" t="str">
        <x:v>{"z":15}</x:v>
      </x:c>
      <x:c r="F340" t="str">
        <x:v>EXACT</x:v>
      </x:c>
      <x:c r="G340"/>
      <x:c r="H340"/>
      <x:c r="I340"/>
      <x:c r="J340"/>
      <x:c r="K340"/>
      <x:c r="L340"/>
      <x:c r="M340" t="n">
        <x:v>38</x:v>
      </x:c>
      <x:c r="N340"/>
      <x:c r="O340"/>
      <x:c r="P340"/>
      <x:c r="Q340"/>
      <x:c r="R340"/>
      <x:c r="S340" t="n">
        <x:v>38</x:v>
      </x:c>
      <x:c r="T340" t="n">
        <x:v>38</x:v>
      </x:c>
      <x:c r="U340" s="28" t="n">
        <x:f>T340</x:f>
        <x:v>38</x:v>
      </x:c>
      <x:c r="V340" s="32" t="n">
        <x:f>IF(AND(ISNUMBER(S340),ISNUMBER(U340)),ABS(S340-U340),IF(S340=U340,0,1))</x:f>
        <x:v>0</x:v>
      </x:c>
      <x:c r="W340" s="30" t="str">
        <x:v>PASS</x:v>
      </x:c>
      <x:c r="X340" s="28" t="str">
        <x:f>IF(V340&lt;=1E-9,"PASS","FAIL")</x:f>
        <x:v>PASS</x:v>
      </x:c>
      <x:c r="Y340" t="str">
        <x:v>tr.33–34</x:v>
      </x:c>
      <x:c r="Z340" t="str"/>
    </x:row>
    <x:row r="341">
      <x:c r="A341" t="str">
        <x:v>G0338</x:v>
      </x:c>
      <x:c r="B341" t="str">
        <x:v>Bảng 3</x:v>
      </x:c>
      <x:c r="C341" t="str">
        <x:v>sand:silty</x:v>
      </x:c>
      <x:c r="D341" t="str">
        <x:v>EXACT</x:v>
      </x:c>
      <x:c r="E341" t="str">
        <x:v>{"z":20}</x:v>
      </x:c>
      <x:c r="F341" t="str">
        <x:v>EXACT</x:v>
      </x:c>
      <x:c r="G341"/>
      <x:c r="H341"/>
      <x:c r="I341"/>
      <x:c r="J341"/>
      <x:c r="K341"/>
      <x:c r="L341"/>
      <x:c r="M341" t="n">
        <x:v>41</x:v>
      </x:c>
      <x:c r="N341"/>
      <x:c r="O341"/>
      <x:c r="P341"/>
      <x:c r="Q341"/>
      <x:c r="R341"/>
      <x:c r="S341" t="n">
        <x:v>41</x:v>
      </x:c>
      <x:c r="T341" t="n">
        <x:v>41</x:v>
      </x:c>
      <x:c r="U341" s="28" t="n">
        <x:f>T341</x:f>
        <x:v>41</x:v>
      </x:c>
      <x:c r="V341" s="32" t="n">
        <x:f>IF(AND(ISNUMBER(S341),ISNUMBER(U341)),ABS(S341-U341),IF(S341=U341,0,1))</x:f>
        <x:v>0</x:v>
      </x:c>
      <x:c r="W341" s="30" t="str">
        <x:v>PASS</x:v>
      </x:c>
      <x:c r="X341" s="28" t="str">
        <x:f>IF(V341&lt;=1E-9,"PASS","FAIL")</x:f>
        <x:v>PASS</x:v>
      </x:c>
      <x:c r="Y341" t="str">
        <x:v>tr.33–34</x:v>
      </x:c>
      <x:c r="Z341" t="str"/>
    </x:row>
    <x:row r="342">
      <x:c r="A342" t="str">
        <x:v>G0339</x:v>
      </x:c>
      <x:c r="B342" t="str">
        <x:v>Bảng 3</x:v>
      </x:c>
      <x:c r="C342" t="str">
        <x:v>sand:silty</x:v>
      </x:c>
      <x:c r="D342" t="str">
        <x:v>EXACT</x:v>
      </x:c>
      <x:c r="E342" t="str">
        <x:v>{"z":25}</x:v>
      </x:c>
      <x:c r="F342" t="str">
        <x:v>EXACT</x:v>
      </x:c>
      <x:c r="G342"/>
      <x:c r="H342"/>
      <x:c r="I342"/>
      <x:c r="J342"/>
      <x:c r="K342"/>
      <x:c r="L342"/>
      <x:c r="M342" t="n">
        <x:v>44</x:v>
      </x:c>
      <x:c r="N342"/>
      <x:c r="O342"/>
      <x:c r="P342"/>
      <x:c r="Q342"/>
      <x:c r="R342"/>
      <x:c r="S342" t="n">
        <x:v>44</x:v>
      </x:c>
      <x:c r="T342" t="n">
        <x:v>44</x:v>
      </x:c>
      <x:c r="U342" s="28" t="n">
        <x:f>T342</x:f>
        <x:v>44</x:v>
      </x:c>
      <x:c r="V342" s="32" t="n">
        <x:f>IF(AND(ISNUMBER(S342),ISNUMBER(U342)),ABS(S342-U342),IF(S342=U342,0,1))</x:f>
        <x:v>0</x:v>
      </x:c>
      <x:c r="W342" s="30" t="str">
        <x:v>PASS</x:v>
      </x:c>
      <x:c r="X342" s="28" t="str">
        <x:f>IF(V342&lt;=1E-9,"PASS","FAIL")</x:f>
        <x:v>PASS</x:v>
      </x:c>
      <x:c r="Y342" t="str">
        <x:v>tr.33–34</x:v>
      </x:c>
      <x:c r="Z342" t="str"/>
    </x:row>
    <x:row r="343">
      <x:c r="A343" t="str">
        <x:v>G0340</x:v>
      </x:c>
      <x:c r="B343" t="str">
        <x:v>Bảng 3</x:v>
      </x:c>
      <x:c r="C343" t="str">
        <x:v>sand:silty</x:v>
      </x:c>
      <x:c r="D343" t="str">
        <x:v>EXACT</x:v>
      </x:c>
      <x:c r="E343" t="str">
        <x:v>{"z":30}</x:v>
      </x:c>
      <x:c r="F343" t="str">
        <x:v>EXACT</x:v>
      </x:c>
      <x:c r="G343"/>
      <x:c r="H343"/>
      <x:c r="I343"/>
      <x:c r="J343"/>
      <x:c r="K343"/>
      <x:c r="L343"/>
      <x:c r="M343" t="n">
        <x:v>47</x:v>
      </x:c>
      <x:c r="N343"/>
      <x:c r="O343"/>
      <x:c r="P343"/>
      <x:c r="Q343"/>
      <x:c r="R343"/>
      <x:c r="S343" t="n">
        <x:v>47</x:v>
      </x:c>
      <x:c r="T343" t="n">
        <x:v>47</x:v>
      </x:c>
      <x:c r="U343" s="28" t="n">
        <x:f>T343</x:f>
        <x:v>47</x:v>
      </x:c>
      <x:c r="V343" s="32" t="n">
        <x:f>IF(AND(ISNUMBER(S343),ISNUMBER(U343)),ABS(S343-U343),IF(S343=U343,0,1))</x:f>
        <x:v>0</x:v>
      </x:c>
      <x:c r="W343" s="30" t="str">
        <x:v>PASS</x:v>
      </x:c>
      <x:c r="X343" s="28" t="str">
        <x:f>IF(V343&lt;=1E-9,"PASS","FAIL")</x:f>
        <x:v>PASS</x:v>
      </x:c>
      <x:c r="Y343" t="str">
        <x:v>tr.33–34</x:v>
      </x:c>
      <x:c r="Z343" t="str"/>
    </x:row>
    <x:row r="344">
      <x:c r="A344" t="str">
        <x:v>G0341</x:v>
      </x:c>
      <x:c r="B344" t="str">
        <x:v>Bảng 3</x:v>
      </x:c>
      <x:c r="C344" t="str">
        <x:v>sand:silty</x:v>
      </x:c>
      <x:c r="D344" t="str">
        <x:v>EXACT</x:v>
      </x:c>
      <x:c r="E344" t="str">
        <x:v>{"z":35}</x:v>
      </x:c>
      <x:c r="F344" t="str">
        <x:v>EXACT</x:v>
      </x:c>
      <x:c r="G344"/>
      <x:c r="H344"/>
      <x:c r="I344"/>
      <x:c r="J344"/>
      <x:c r="K344"/>
      <x:c r="L344"/>
      <x:c r="M344" t="n">
        <x:v>50</x:v>
      </x:c>
      <x:c r="N344"/>
      <x:c r="O344"/>
      <x:c r="P344"/>
      <x:c r="Q344"/>
      <x:c r="R344"/>
      <x:c r="S344" t="n">
        <x:v>50</x:v>
      </x:c>
      <x:c r="T344" t="n">
        <x:v>50</x:v>
      </x:c>
      <x:c r="U344" s="28" t="n">
        <x:f>T344</x:f>
        <x:v>50</x:v>
      </x:c>
      <x:c r="V344" s="32" t="n">
        <x:f>IF(AND(ISNUMBER(S344),ISNUMBER(U344)),ABS(S344-U344),IF(S344=U344,0,1))</x:f>
        <x:v>0</x:v>
      </x:c>
      <x:c r="W344" s="30" t="str">
        <x:v>PASS</x:v>
      </x:c>
      <x:c r="X344" s="28" t="str">
        <x:f>IF(V344&lt;=1E-9,"PASS","FAIL")</x:f>
        <x:v>PASS</x:v>
      </x:c>
      <x:c r="Y344" t="str">
        <x:v>tr.33–34</x:v>
      </x:c>
      <x:c r="Z344" t="str"/>
    </x:row>
    <x:row r="345">
      <x:c r="A345" t="str">
        <x:v>G0342</x:v>
      </x:c>
      <x:c r="B345" t="str">
        <x:v>Bảng 3</x:v>
      </x:c>
      <x:c r="C345" t="str">
        <x:v>sand:silty</x:v>
      </x:c>
      <x:c r="D345" t="str">
        <x:v>EXACT</x:v>
      </x:c>
      <x:c r="E345" t="str">
        <x:v>{"z":40}</x:v>
      </x:c>
      <x:c r="F345" t="str">
        <x:v>EXACT</x:v>
      </x:c>
      <x:c r="G345"/>
      <x:c r="H345"/>
      <x:c r="I345"/>
      <x:c r="J345"/>
      <x:c r="K345"/>
      <x:c r="L345"/>
      <x:c r="M345" t="n">
        <x:v>53</x:v>
      </x:c>
      <x:c r="N345"/>
      <x:c r="O345"/>
      <x:c r="P345"/>
      <x:c r="Q345"/>
      <x:c r="R345"/>
      <x:c r="S345" t="n">
        <x:v>53</x:v>
      </x:c>
      <x:c r="T345" t="n">
        <x:v>53</x:v>
      </x:c>
      <x:c r="U345" s="28" t="n">
        <x:f>T345</x:f>
        <x:v>53</x:v>
      </x:c>
      <x:c r="V345" s="32" t="n">
        <x:f>IF(AND(ISNUMBER(S345),ISNUMBER(U345)),ABS(S345-U345),IF(S345=U345,0,1))</x:f>
        <x:v>0</x:v>
      </x:c>
      <x:c r="W345" s="30" t="str">
        <x:v>PASS</x:v>
      </x:c>
      <x:c r="X345" s="28" t="str">
        <x:f>IF(V345&lt;=1E-9,"PASS","FAIL")</x:f>
        <x:v>PASS</x:v>
      </x:c>
      <x:c r="Y345" t="str">
        <x:v>tr.33–34</x:v>
      </x:c>
      <x:c r="Z345" t="str"/>
    </x:row>
    <x:row r="346">
      <x:c r="A346" t="str">
        <x:v>G0343</x:v>
      </x:c>
      <x:c r="B346" t="str">
        <x:v>Bảng 3</x:v>
      </x:c>
      <x:c r="C346" t="str">
        <x:v>sand:silty</x:v>
      </x:c>
      <x:c r="D346" t="str">
        <x:v>MID</x:v>
      </x:c>
      <x:c r="E346" t="str">
        <x:v>{"z":1.5}</x:v>
      </x:c>
      <x:c r="F346" t="str">
        <x:v>LINEAR-1D</x:v>
      </x:c>
      <x:c r="G346" t="n">
        <x:v>1.5</x:v>
      </x:c>
      <x:c r="H346"/>
      <x:c r="I346" t="n">
        <x:v>1</x:v>
      </x:c>
      <x:c r="J346" t="n">
        <x:v>2</x:v>
      </x:c>
      <x:c r="K346"/>
      <x:c r="L346"/>
      <x:c r="M346" t="n">
        <x:v>15</x:v>
      </x:c>
      <x:c r="N346" t="n">
        <x:v>21</x:v>
      </x:c>
      <x:c r="O346"/>
      <x:c r="P346"/>
      <x:c r="Q346"/>
      <x:c r="R346"/>
      <x:c r="S346" t="n">
        <x:v>18</x:v>
      </x:c>
      <x:c r="T346" t="n">
        <x:v>18</x:v>
      </x:c>
      <x:c r="U346" s="28" t="n">
        <x:f>M346+(G346-I346)*(N346-M346)/(J346-I346)</x:f>
        <x:v>18</x:v>
      </x:c>
      <x:c r="V346" s="32" t="n">
        <x:f>IF(AND(ISNUMBER(S346),ISNUMBER(U346)),ABS(S346-U346),IF(S346=U346,0,1))</x:f>
        <x:v>0</x:v>
      </x:c>
      <x:c r="W346" s="30" t="str">
        <x:v>PASS</x:v>
      </x:c>
      <x:c r="X346" s="28" t="str">
        <x:f>IF(V346&lt;=1E-9,"PASS","FAIL")</x:f>
        <x:v>PASS</x:v>
      </x:c>
      <x:c r="Y346" t="str">
        <x:v>Chú thích 2</x:v>
      </x:c>
      <x:c r="Z346" t="str"/>
    </x:row>
    <x:row r="347">
      <x:c r="A347" t="str">
        <x:v>G0344</x:v>
      </x:c>
      <x:c r="B347" t="str">
        <x:v>Bảng 3</x:v>
      </x:c>
      <x:c r="C347" t="str">
        <x:v>sand:silty</x:v>
      </x:c>
      <x:c r="D347" t="str">
        <x:v>MID</x:v>
      </x:c>
      <x:c r="E347" t="str">
        <x:v>{"z":2.5}</x:v>
      </x:c>
      <x:c r="F347" t="str">
        <x:v>LINEAR-1D</x:v>
      </x:c>
      <x:c r="G347" t="n">
        <x:v>2.5</x:v>
      </x:c>
      <x:c r="H347"/>
      <x:c r="I347" t="n">
        <x:v>2</x:v>
      </x:c>
      <x:c r="J347" t="n">
        <x:v>3</x:v>
      </x:c>
      <x:c r="K347"/>
      <x:c r="L347"/>
      <x:c r="M347" t="n">
        <x:v>21</x:v>
      </x:c>
      <x:c r="N347" t="n">
        <x:v>25</x:v>
      </x:c>
      <x:c r="O347"/>
      <x:c r="P347"/>
      <x:c r="Q347"/>
      <x:c r="R347"/>
      <x:c r="S347" t="n">
        <x:v>23</x:v>
      </x:c>
      <x:c r="T347" t="n">
        <x:v>23</x:v>
      </x:c>
      <x:c r="U347" s="28" t="n">
        <x:f>M347+(G347-I347)*(N347-M347)/(J347-I347)</x:f>
        <x:v>23</x:v>
      </x:c>
      <x:c r="V347" s="32" t="n">
        <x:f>IF(AND(ISNUMBER(S347),ISNUMBER(U347)),ABS(S347-U347),IF(S347=U347,0,1))</x:f>
        <x:v>0</x:v>
      </x:c>
      <x:c r="W347" s="30" t="str">
        <x:v>PASS</x:v>
      </x:c>
      <x:c r="X347" s="28" t="str">
        <x:f>IF(V347&lt;=1E-9,"PASS","FAIL")</x:f>
        <x:v>PASS</x:v>
      </x:c>
      <x:c r="Y347" t="str">
        <x:v>Chú thích 2</x:v>
      </x:c>
      <x:c r="Z347" t="str"/>
    </x:row>
    <x:row r="348">
      <x:c r="A348" t="str">
        <x:v>G0345</x:v>
      </x:c>
      <x:c r="B348" t="str">
        <x:v>Bảng 3</x:v>
      </x:c>
      <x:c r="C348" t="str">
        <x:v>sand:silty</x:v>
      </x:c>
      <x:c r="D348" t="str">
        <x:v>MID</x:v>
      </x:c>
      <x:c r="E348" t="str">
        <x:v>{"z":3.5}</x:v>
      </x:c>
      <x:c r="F348" t="str">
        <x:v>LINEAR-1D</x:v>
      </x:c>
      <x:c r="G348" t="n">
        <x:v>3.5</x:v>
      </x:c>
      <x:c r="H348"/>
      <x:c r="I348" t="n">
        <x:v>3</x:v>
      </x:c>
      <x:c r="J348" t="n">
        <x:v>4</x:v>
      </x:c>
      <x:c r="K348"/>
      <x:c r="L348"/>
      <x:c r="M348" t="n">
        <x:v>25</x:v>
      </x:c>
      <x:c r="N348" t="n">
        <x:v>27</x:v>
      </x:c>
      <x:c r="O348"/>
      <x:c r="P348"/>
      <x:c r="Q348"/>
      <x:c r="R348"/>
      <x:c r="S348" t="n">
        <x:v>26</x:v>
      </x:c>
      <x:c r="T348" t="n">
        <x:v>26</x:v>
      </x:c>
      <x:c r="U348" s="28" t="n">
        <x:f>M348+(G348-I348)*(N348-M348)/(J348-I348)</x:f>
        <x:v>26</x:v>
      </x:c>
      <x:c r="V348" s="32" t="n">
        <x:f>IF(AND(ISNUMBER(S348),ISNUMBER(U348)),ABS(S348-U348),IF(S348=U348,0,1))</x:f>
        <x:v>0</x:v>
      </x:c>
      <x:c r="W348" s="30" t="str">
        <x:v>PASS</x:v>
      </x:c>
      <x:c r="X348" s="28" t="str">
        <x:f>IF(V348&lt;=1E-9,"PASS","FAIL")</x:f>
        <x:v>PASS</x:v>
      </x:c>
      <x:c r="Y348" t="str">
        <x:v>Chú thích 2</x:v>
      </x:c>
      <x:c r="Z348" t="str"/>
    </x:row>
    <x:row r="349">
      <x:c r="A349" t="str">
        <x:v>G0346</x:v>
      </x:c>
      <x:c r="B349" t="str">
        <x:v>Bảng 3</x:v>
      </x:c>
      <x:c r="C349" t="str">
        <x:v>sand:silty</x:v>
      </x:c>
      <x:c r="D349" t="str">
        <x:v>MID</x:v>
      </x:c>
      <x:c r="E349" t="str">
        <x:v>{"z":4.5}</x:v>
      </x:c>
      <x:c r="F349" t="str">
        <x:v>LINEAR-1D</x:v>
      </x:c>
      <x:c r="G349" t="n">
        <x:v>4.5</x:v>
      </x:c>
      <x:c r="H349"/>
      <x:c r="I349" t="n">
        <x:v>4</x:v>
      </x:c>
      <x:c r="J349" t="n">
        <x:v>5</x:v>
      </x:c>
      <x:c r="K349"/>
      <x:c r="L349"/>
      <x:c r="M349" t="n">
        <x:v>27</x:v>
      </x:c>
      <x:c r="N349" t="n">
        <x:v>29</x:v>
      </x:c>
      <x:c r="O349"/>
      <x:c r="P349"/>
      <x:c r="Q349"/>
      <x:c r="R349"/>
      <x:c r="S349" t="n">
        <x:v>28</x:v>
      </x:c>
      <x:c r="T349" t="n">
        <x:v>28</x:v>
      </x:c>
      <x:c r="U349" s="28" t="n">
        <x:f>M349+(G349-I349)*(N349-M349)/(J349-I349)</x:f>
        <x:v>28</x:v>
      </x:c>
      <x:c r="V349" s="32" t="n">
        <x:f>IF(AND(ISNUMBER(S349),ISNUMBER(U349)),ABS(S349-U349),IF(S349=U349,0,1))</x:f>
        <x:v>0</x:v>
      </x:c>
      <x:c r="W349" s="30" t="str">
        <x:v>PASS</x:v>
      </x:c>
      <x:c r="X349" s="28" t="str">
        <x:f>IF(V349&lt;=1E-9,"PASS","FAIL")</x:f>
        <x:v>PASS</x:v>
      </x:c>
      <x:c r="Y349" t="str">
        <x:v>Chú thích 2</x:v>
      </x:c>
      <x:c r="Z349" t="str"/>
    </x:row>
    <x:row r="350">
      <x:c r="A350" t="str">
        <x:v>G0347</x:v>
      </x:c>
      <x:c r="B350" t="str">
        <x:v>Bảng 3</x:v>
      </x:c>
      <x:c r="C350" t="str">
        <x:v>sand:silty</x:v>
      </x:c>
      <x:c r="D350" t="str">
        <x:v>MID</x:v>
      </x:c>
      <x:c r="E350" t="str">
        <x:v>{"z":5.5}</x:v>
      </x:c>
      <x:c r="F350" t="str">
        <x:v>LINEAR-1D</x:v>
      </x:c>
      <x:c r="G350" t="n">
        <x:v>5.5</x:v>
      </x:c>
      <x:c r="H350"/>
      <x:c r="I350" t="n">
        <x:v>5</x:v>
      </x:c>
      <x:c r="J350" t="n">
        <x:v>6</x:v>
      </x:c>
      <x:c r="K350"/>
      <x:c r="L350"/>
      <x:c r="M350" t="n">
        <x:v>29</x:v>
      </x:c>
      <x:c r="N350" t="n">
        <x:v>31</x:v>
      </x:c>
      <x:c r="O350"/>
      <x:c r="P350"/>
      <x:c r="Q350"/>
      <x:c r="R350"/>
      <x:c r="S350" t="n">
        <x:v>30</x:v>
      </x:c>
      <x:c r="T350" t="n">
        <x:v>30</x:v>
      </x:c>
      <x:c r="U350" s="28" t="n">
        <x:f>M350+(G350-I350)*(N350-M350)/(J350-I350)</x:f>
        <x:v>30</x:v>
      </x:c>
      <x:c r="V350" s="32" t="n">
        <x:f>IF(AND(ISNUMBER(S350),ISNUMBER(U350)),ABS(S350-U350),IF(S350=U350,0,1))</x:f>
        <x:v>0</x:v>
      </x:c>
      <x:c r="W350" s="30" t="str">
        <x:v>PASS</x:v>
      </x:c>
      <x:c r="X350" s="28" t="str">
        <x:f>IF(V350&lt;=1E-9,"PASS","FAIL")</x:f>
        <x:v>PASS</x:v>
      </x:c>
      <x:c r="Y350" t="str">
        <x:v>Chú thích 2</x:v>
      </x:c>
      <x:c r="Z350" t="str"/>
    </x:row>
    <x:row r="351">
      <x:c r="A351" t="str">
        <x:v>G0348</x:v>
      </x:c>
      <x:c r="B351" t="str">
        <x:v>Bảng 3</x:v>
      </x:c>
      <x:c r="C351" t="str">
        <x:v>sand:silty</x:v>
      </x:c>
      <x:c r="D351" t="str">
        <x:v>MID</x:v>
      </x:c>
      <x:c r="E351" t="str">
        <x:v>{"z":7}</x:v>
      </x:c>
      <x:c r="F351" t="str">
        <x:v>LINEAR-1D</x:v>
      </x:c>
      <x:c r="G351" t="n">
        <x:v>7</x:v>
      </x:c>
      <x:c r="H351"/>
      <x:c r="I351" t="n">
        <x:v>6</x:v>
      </x:c>
      <x:c r="J351" t="n">
        <x:v>8</x:v>
      </x:c>
      <x:c r="K351"/>
      <x:c r="L351"/>
      <x:c r="M351" t="n">
        <x:v>31</x:v>
      </x:c>
      <x:c r="N351" t="n">
        <x:v>33</x:v>
      </x:c>
      <x:c r="O351"/>
      <x:c r="P351"/>
      <x:c r="Q351"/>
      <x:c r="R351"/>
      <x:c r="S351" t="n">
        <x:v>32</x:v>
      </x:c>
      <x:c r="T351" t="n">
        <x:v>32</x:v>
      </x:c>
      <x:c r="U351" s="28" t="n">
        <x:f>M351+(G351-I351)*(N351-M351)/(J351-I351)</x:f>
        <x:v>32</x:v>
      </x:c>
      <x:c r="V351" s="32" t="n">
        <x:f>IF(AND(ISNUMBER(S351),ISNUMBER(U351)),ABS(S351-U351),IF(S351=U351,0,1))</x:f>
        <x:v>0</x:v>
      </x:c>
      <x:c r="W351" s="30" t="str">
        <x:v>PASS</x:v>
      </x:c>
      <x:c r="X351" s="28" t="str">
        <x:f>IF(V351&lt;=1E-9,"PASS","FAIL")</x:f>
        <x:v>PASS</x:v>
      </x:c>
      <x:c r="Y351" t="str">
        <x:v>Chú thích 2</x:v>
      </x:c>
      <x:c r="Z351" t="str"/>
    </x:row>
    <x:row r="352">
      <x:c r="A352" t="str">
        <x:v>G0349</x:v>
      </x:c>
      <x:c r="B352" t="str">
        <x:v>Bảng 3</x:v>
      </x:c>
      <x:c r="C352" t="str">
        <x:v>sand:silty</x:v>
      </x:c>
      <x:c r="D352" t="str">
        <x:v>MID</x:v>
      </x:c>
      <x:c r="E352" t="str">
        <x:v>{"z":9}</x:v>
      </x:c>
      <x:c r="F352" t="str">
        <x:v>LINEAR-1D</x:v>
      </x:c>
      <x:c r="G352" t="n">
        <x:v>9</x:v>
      </x:c>
      <x:c r="H352"/>
      <x:c r="I352" t="n">
        <x:v>8</x:v>
      </x:c>
      <x:c r="J352" t="n">
        <x:v>10</x:v>
      </x:c>
      <x:c r="K352"/>
      <x:c r="L352"/>
      <x:c r="M352" t="n">
        <x:v>33</x:v>
      </x:c>
      <x:c r="N352" t="n">
        <x:v>34</x:v>
      </x:c>
      <x:c r="O352"/>
      <x:c r="P352"/>
      <x:c r="Q352"/>
      <x:c r="R352"/>
      <x:c r="S352" t="n">
        <x:v>33.5</x:v>
      </x:c>
      <x:c r="T352" t="n">
        <x:v>33.5</x:v>
      </x:c>
      <x:c r="U352" s="28" t="n">
        <x:f>M352+(G352-I352)*(N352-M352)/(J352-I352)</x:f>
        <x:v>33.5</x:v>
      </x:c>
      <x:c r="V352" s="32" t="n">
        <x:f>IF(AND(ISNUMBER(S352),ISNUMBER(U352)),ABS(S352-U352),IF(S352=U352,0,1))</x:f>
        <x:v>0</x:v>
      </x:c>
      <x:c r="W352" s="30" t="str">
        <x:v>PASS</x:v>
      </x:c>
      <x:c r="X352" s="28" t="str">
        <x:f>IF(V352&lt;=1E-9,"PASS","FAIL")</x:f>
        <x:v>PASS</x:v>
      </x:c>
      <x:c r="Y352" t="str">
        <x:v>Chú thích 2</x:v>
      </x:c>
      <x:c r="Z352" t="str"/>
    </x:row>
    <x:row r="353">
      <x:c r="A353" t="str">
        <x:v>G0350</x:v>
      </x:c>
      <x:c r="B353" t="str">
        <x:v>Bảng 3</x:v>
      </x:c>
      <x:c r="C353" t="str">
        <x:v>sand:silty</x:v>
      </x:c>
      <x:c r="D353" t="str">
        <x:v>MID</x:v>
      </x:c>
      <x:c r="E353" t="str">
        <x:v>{"z":12.5}</x:v>
      </x:c>
      <x:c r="F353" t="str">
        <x:v>LINEAR-1D</x:v>
      </x:c>
      <x:c r="G353" t="n">
        <x:v>12.5</x:v>
      </x:c>
      <x:c r="H353"/>
      <x:c r="I353" t="n">
        <x:v>10</x:v>
      </x:c>
      <x:c r="J353" t="n">
        <x:v>15</x:v>
      </x:c>
      <x:c r="K353"/>
      <x:c r="L353"/>
      <x:c r="M353" t="n">
        <x:v>34</x:v>
      </x:c>
      <x:c r="N353" t="n">
        <x:v>38</x:v>
      </x:c>
      <x:c r="O353"/>
      <x:c r="P353"/>
      <x:c r="Q353"/>
      <x:c r="R353"/>
      <x:c r="S353" t="n">
        <x:v>36</x:v>
      </x:c>
      <x:c r="T353" t="n">
        <x:v>36</x:v>
      </x:c>
      <x:c r="U353" s="28" t="n">
        <x:f>M353+(G353-I353)*(N353-M353)/(J353-I353)</x:f>
        <x:v>36</x:v>
      </x:c>
      <x:c r="V353" s="32" t="n">
        <x:f>IF(AND(ISNUMBER(S353),ISNUMBER(U353)),ABS(S353-U353),IF(S353=U353,0,1))</x:f>
        <x:v>0</x:v>
      </x:c>
      <x:c r="W353" s="30" t="str">
        <x:v>PASS</x:v>
      </x:c>
      <x:c r="X353" s="28" t="str">
        <x:f>IF(V353&lt;=1E-9,"PASS","FAIL")</x:f>
        <x:v>PASS</x:v>
      </x:c>
      <x:c r="Y353" t="str">
        <x:v>Chú thích 2</x:v>
      </x:c>
      <x:c r="Z353" t="str"/>
    </x:row>
    <x:row r="354">
      <x:c r="A354" t="str">
        <x:v>G0351</x:v>
      </x:c>
      <x:c r="B354" t="str">
        <x:v>Bảng 3</x:v>
      </x:c>
      <x:c r="C354" t="str">
        <x:v>sand:silty</x:v>
      </x:c>
      <x:c r="D354" t="str">
        <x:v>MID</x:v>
      </x:c>
      <x:c r="E354" t="str">
        <x:v>{"z":17.5}</x:v>
      </x:c>
      <x:c r="F354" t="str">
        <x:v>LINEAR-1D</x:v>
      </x:c>
      <x:c r="G354" t="n">
        <x:v>17.5</x:v>
      </x:c>
      <x:c r="H354"/>
      <x:c r="I354" t="n">
        <x:v>15</x:v>
      </x:c>
      <x:c r="J354" t="n">
        <x:v>20</x:v>
      </x:c>
      <x:c r="K354"/>
      <x:c r="L354"/>
      <x:c r="M354" t="n">
        <x:v>38</x:v>
      </x:c>
      <x:c r="N354" t="n">
        <x:v>41</x:v>
      </x:c>
      <x:c r="O354"/>
      <x:c r="P354"/>
      <x:c r="Q354"/>
      <x:c r="R354"/>
      <x:c r="S354" t="n">
        <x:v>39.5</x:v>
      </x:c>
      <x:c r="T354" t="n">
        <x:v>39.5</x:v>
      </x:c>
      <x:c r="U354" s="28" t="n">
        <x:f>M354+(G354-I354)*(N354-M354)/(J354-I354)</x:f>
        <x:v>39.5</x:v>
      </x:c>
      <x:c r="V354" s="32" t="n">
        <x:f>IF(AND(ISNUMBER(S354),ISNUMBER(U354)),ABS(S354-U354),IF(S354=U354,0,1))</x:f>
        <x:v>0</x:v>
      </x:c>
      <x:c r="W354" s="30" t="str">
        <x:v>PASS</x:v>
      </x:c>
      <x:c r="X354" s="28" t="str">
        <x:f>IF(V354&lt;=1E-9,"PASS","FAIL")</x:f>
        <x:v>PASS</x:v>
      </x:c>
      <x:c r="Y354" t="str">
        <x:v>Chú thích 2</x:v>
      </x:c>
      <x:c r="Z354" t="str"/>
    </x:row>
    <x:row r="355">
      <x:c r="A355" t="str">
        <x:v>G0352</x:v>
      </x:c>
      <x:c r="B355" t="str">
        <x:v>Bảng 3</x:v>
      </x:c>
      <x:c r="C355" t="str">
        <x:v>sand:silty</x:v>
      </x:c>
      <x:c r="D355" t="str">
        <x:v>MID</x:v>
      </x:c>
      <x:c r="E355" t="str">
        <x:v>{"z":22.5}</x:v>
      </x:c>
      <x:c r="F355" t="str">
        <x:v>LINEAR-1D</x:v>
      </x:c>
      <x:c r="G355" t="n">
        <x:v>22.5</x:v>
      </x:c>
      <x:c r="H355"/>
      <x:c r="I355" t="n">
        <x:v>20</x:v>
      </x:c>
      <x:c r="J355" t="n">
        <x:v>25</x:v>
      </x:c>
      <x:c r="K355"/>
      <x:c r="L355"/>
      <x:c r="M355" t="n">
        <x:v>41</x:v>
      </x:c>
      <x:c r="N355" t="n">
        <x:v>44</x:v>
      </x:c>
      <x:c r="O355"/>
      <x:c r="P355"/>
      <x:c r="Q355"/>
      <x:c r="R355"/>
      <x:c r="S355" t="n">
        <x:v>42.5</x:v>
      </x:c>
      <x:c r="T355" t="n">
        <x:v>42.5</x:v>
      </x:c>
      <x:c r="U355" s="28" t="n">
        <x:f>M355+(G355-I355)*(N355-M355)/(J355-I355)</x:f>
        <x:v>42.5</x:v>
      </x:c>
      <x:c r="V355" s="32" t="n">
        <x:f>IF(AND(ISNUMBER(S355),ISNUMBER(U355)),ABS(S355-U355),IF(S355=U355,0,1))</x:f>
        <x:v>0</x:v>
      </x:c>
      <x:c r="W355" s="30" t="str">
        <x:v>PASS</x:v>
      </x:c>
      <x:c r="X355" s="28" t="str">
        <x:f>IF(V355&lt;=1E-9,"PASS","FAIL")</x:f>
        <x:v>PASS</x:v>
      </x:c>
      <x:c r="Y355" t="str">
        <x:v>Chú thích 2</x:v>
      </x:c>
      <x:c r="Z355" t="str"/>
    </x:row>
    <x:row r="356">
      <x:c r="A356" t="str">
        <x:v>G0353</x:v>
      </x:c>
      <x:c r="B356" t="str">
        <x:v>Bảng 3</x:v>
      </x:c>
      <x:c r="C356" t="str">
        <x:v>sand:silty</x:v>
      </x:c>
      <x:c r="D356" t="str">
        <x:v>MID</x:v>
      </x:c>
      <x:c r="E356" t="str">
        <x:v>{"z":27.5}</x:v>
      </x:c>
      <x:c r="F356" t="str">
        <x:v>LINEAR-1D</x:v>
      </x:c>
      <x:c r="G356" t="n">
        <x:v>27.5</x:v>
      </x:c>
      <x:c r="H356"/>
      <x:c r="I356" t="n">
        <x:v>25</x:v>
      </x:c>
      <x:c r="J356" t="n">
        <x:v>30</x:v>
      </x:c>
      <x:c r="K356"/>
      <x:c r="L356"/>
      <x:c r="M356" t="n">
        <x:v>44</x:v>
      </x:c>
      <x:c r="N356" t="n">
        <x:v>47</x:v>
      </x:c>
      <x:c r="O356"/>
      <x:c r="P356"/>
      <x:c r="Q356"/>
      <x:c r="R356"/>
      <x:c r="S356" t="n">
        <x:v>45.5</x:v>
      </x:c>
      <x:c r="T356" t="n">
        <x:v>45.5</x:v>
      </x:c>
      <x:c r="U356" s="28" t="n">
        <x:f>M356+(G356-I356)*(N356-M356)/(J356-I356)</x:f>
        <x:v>45.5</x:v>
      </x:c>
      <x:c r="V356" s="32" t="n">
        <x:f>IF(AND(ISNUMBER(S356),ISNUMBER(U356)),ABS(S356-U356),IF(S356=U356,0,1))</x:f>
        <x:v>0</x:v>
      </x:c>
      <x:c r="W356" s="30" t="str">
        <x:v>PASS</x:v>
      </x:c>
      <x:c r="X356" s="28" t="str">
        <x:f>IF(V356&lt;=1E-9,"PASS","FAIL")</x:f>
        <x:v>PASS</x:v>
      </x:c>
      <x:c r="Y356" t="str">
        <x:v>Chú thích 2</x:v>
      </x:c>
      <x:c r="Z356" t="str"/>
    </x:row>
    <x:row r="357">
      <x:c r="A357" t="str">
        <x:v>G0354</x:v>
      </x:c>
      <x:c r="B357" t="str">
        <x:v>Bảng 3</x:v>
      </x:c>
      <x:c r="C357" t="str">
        <x:v>sand:silty</x:v>
      </x:c>
      <x:c r="D357" t="str">
        <x:v>MID</x:v>
      </x:c>
      <x:c r="E357" t="str">
        <x:v>{"z":32.5}</x:v>
      </x:c>
      <x:c r="F357" t="str">
        <x:v>LINEAR-1D</x:v>
      </x:c>
      <x:c r="G357" t="n">
        <x:v>32.5</x:v>
      </x:c>
      <x:c r="H357"/>
      <x:c r="I357" t="n">
        <x:v>30</x:v>
      </x:c>
      <x:c r="J357" t="n">
        <x:v>35</x:v>
      </x:c>
      <x:c r="K357"/>
      <x:c r="L357"/>
      <x:c r="M357" t="n">
        <x:v>47</x:v>
      </x:c>
      <x:c r="N357" t="n">
        <x:v>50</x:v>
      </x:c>
      <x:c r="O357"/>
      <x:c r="P357"/>
      <x:c r="Q357"/>
      <x:c r="R357"/>
      <x:c r="S357" t="n">
        <x:v>48.5</x:v>
      </x:c>
      <x:c r="T357" t="n">
        <x:v>48.5</x:v>
      </x:c>
      <x:c r="U357" s="28" t="n">
        <x:f>M357+(G357-I357)*(N357-M357)/(J357-I357)</x:f>
        <x:v>48.5</x:v>
      </x:c>
      <x:c r="V357" s="32" t="n">
        <x:f>IF(AND(ISNUMBER(S357),ISNUMBER(U357)),ABS(S357-U357),IF(S357=U357,0,1))</x:f>
        <x:v>0</x:v>
      </x:c>
      <x:c r="W357" s="30" t="str">
        <x:v>PASS</x:v>
      </x:c>
      <x:c r="X357" s="28" t="str">
        <x:f>IF(V357&lt;=1E-9,"PASS","FAIL")</x:f>
        <x:v>PASS</x:v>
      </x:c>
      <x:c r="Y357" t="str">
        <x:v>Chú thích 2</x:v>
      </x:c>
      <x:c r="Z357" t="str"/>
    </x:row>
    <x:row r="358">
      <x:c r="A358" t="str">
        <x:v>G0355</x:v>
      </x:c>
      <x:c r="B358" t="str">
        <x:v>Bảng 3</x:v>
      </x:c>
      <x:c r="C358" t="str">
        <x:v>sand:silty</x:v>
      </x:c>
      <x:c r="D358" t="str">
        <x:v>MID</x:v>
      </x:c>
      <x:c r="E358" t="str">
        <x:v>{"z":37.5}</x:v>
      </x:c>
      <x:c r="F358" t="str">
        <x:v>LINEAR-1D</x:v>
      </x:c>
      <x:c r="G358" t="n">
        <x:v>37.5</x:v>
      </x:c>
      <x:c r="H358"/>
      <x:c r="I358" t="n">
        <x:v>35</x:v>
      </x:c>
      <x:c r="J358" t="n">
        <x:v>40</x:v>
      </x:c>
      <x:c r="K358"/>
      <x:c r="L358"/>
      <x:c r="M358" t="n">
        <x:v>50</x:v>
      </x:c>
      <x:c r="N358" t="n">
        <x:v>53</x:v>
      </x:c>
      <x:c r="O358"/>
      <x:c r="P358"/>
      <x:c r="Q358"/>
      <x:c r="R358"/>
      <x:c r="S358" t="n">
        <x:v>51.5</x:v>
      </x:c>
      <x:c r="T358" t="n">
        <x:v>51.5</x:v>
      </x:c>
      <x:c r="U358" s="28" t="n">
        <x:f>M358+(G358-I358)*(N358-M358)/(J358-I358)</x:f>
        <x:v>51.5</x:v>
      </x:c>
      <x:c r="V358" s="32" t="n">
        <x:f>IF(AND(ISNUMBER(S358),ISNUMBER(U358)),ABS(S358-U358),IF(S358=U358,0,1))</x:f>
        <x:v>0</x:v>
      </x:c>
      <x:c r="W358" s="30" t="str">
        <x:v>PASS</x:v>
      </x:c>
      <x:c r="X358" s="28" t="str">
        <x:f>IF(V358&lt;=1E-9,"PASS","FAIL")</x:f>
        <x:v>PASS</x:v>
      </x:c>
      <x:c r="Y358" t="str">
        <x:v>Chú thích 2</x:v>
      </x:c>
      <x:c r="Z358" t="str"/>
    </x:row>
    <x:row r="359">
      <x:c r="A359" t="str">
        <x:v>G0356</x:v>
      </x:c>
      <x:c r="B359" t="str">
        <x:v>Bảng 3</x:v>
      </x:c>
      <x:c r="C359" t="str">
        <x:v>clay:IL=0.2</x:v>
      </x:c>
      <x:c r="D359" t="str">
        <x:v>EXACT</x:v>
      </x:c>
      <x:c r="E359" t="str">
        <x:v>{"z":1,"IL":0.2}</x:v>
      </x:c>
      <x:c r="F359" t="str">
        <x:v>EXACT</x:v>
      </x:c>
      <x:c r="G359"/>
      <x:c r="H359"/>
      <x:c r="I359"/>
      <x:c r="J359"/>
      <x:c r="K359"/>
      <x:c r="L359"/>
      <x:c r="M359" t="n">
        <x:v>35</x:v>
      </x:c>
      <x:c r="N359"/>
      <x:c r="O359"/>
      <x:c r="P359"/>
      <x:c r="Q359"/>
      <x:c r="R359"/>
      <x:c r="S359" t="n">
        <x:v>35</x:v>
      </x:c>
      <x:c r="T359" t="n">
        <x:v>35</x:v>
      </x:c>
      <x:c r="U359" s="28" t="n">
        <x:f>T359</x:f>
        <x:v>35</x:v>
      </x:c>
      <x:c r="V359" s="32" t="n">
        <x:f>IF(AND(ISNUMBER(S359),ISNUMBER(U359)),ABS(S359-U359),IF(S359=U359,0,1))</x:f>
        <x:v>0</x:v>
      </x:c>
      <x:c r="W359" s="30" t="str">
        <x:v>PASS</x:v>
      </x:c>
      <x:c r="X359" s="28" t="str">
        <x:f>IF(V359&lt;=1E-9,"PASS","FAIL")</x:f>
        <x:v>PASS</x:v>
      </x:c>
      <x:c r="Y359" t="str">
        <x:v>tr.33–34</x:v>
      </x:c>
      <x:c r="Z359" t="str"/>
    </x:row>
    <x:row r="360">
      <x:c r="A360" t="str">
        <x:v>G0357</x:v>
      </x:c>
      <x:c r="B360" t="str">
        <x:v>Bảng 3</x:v>
      </x:c>
      <x:c r="C360" t="str">
        <x:v>clay:IL=0.2</x:v>
      </x:c>
      <x:c r="D360" t="str">
        <x:v>EXACT</x:v>
      </x:c>
      <x:c r="E360" t="str">
        <x:v>{"z":2,"IL":0.2}</x:v>
      </x:c>
      <x:c r="F360" t="str">
        <x:v>EXACT</x:v>
      </x:c>
      <x:c r="G360"/>
      <x:c r="H360"/>
      <x:c r="I360"/>
      <x:c r="J360"/>
      <x:c r="K360"/>
      <x:c r="L360"/>
      <x:c r="M360" t="n">
        <x:v>42</x:v>
      </x:c>
      <x:c r="N360"/>
      <x:c r="O360"/>
      <x:c r="P360"/>
      <x:c r="Q360"/>
      <x:c r="R360"/>
      <x:c r="S360" t="n">
        <x:v>42</x:v>
      </x:c>
      <x:c r="T360" t="n">
        <x:v>42</x:v>
      </x:c>
      <x:c r="U360" s="28" t="n">
        <x:f>T360</x:f>
        <x:v>42</x:v>
      </x:c>
      <x:c r="V360" s="32" t="n">
        <x:f>IF(AND(ISNUMBER(S360),ISNUMBER(U360)),ABS(S360-U360),IF(S360=U360,0,1))</x:f>
        <x:v>0</x:v>
      </x:c>
      <x:c r="W360" s="30" t="str">
        <x:v>PASS</x:v>
      </x:c>
      <x:c r="X360" s="28" t="str">
        <x:f>IF(V360&lt;=1E-9,"PASS","FAIL")</x:f>
        <x:v>PASS</x:v>
      </x:c>
      <x:c r="Y360" t="str">
        <x:v>tr.33–34</x:v>
      </x:c>
      <x:c r="Z360" t="str"/>
    </x:row>
    <x:row r="361">
      <x:c r="A361" t="str">
        <x:v>G0358</x:v>
      </x:c>
      <x:c r="B361" t="str">
        <x:v>Bảng 3</x:v>
      </x:c>
      <x:c r="C361" t="str">
        <x:v>clay:IL=0.2</x:v>
      </x:c>
      <x:c r="D361" t="str">
        <x:v>EXACT</x:v>
      </x:c>
      <x:c r="E361" t="str">
        <x:v>{"z":3,"IL":0.2}</x:v>
      </x:c>
      <x:c r="F361" t="str">
        <x:v>EXACT</x:v>
      </x:c>
      <x:c r="G361"/>
      <x:c r="H361"/>
      <x:c r="I361"/>
      <x:c r="J361"/>
      <x:c r="K361"/>
      <x:c r="L361"/>
      <x:c r="M361" t="n">
        <x:v>48</x:v>
      </x:c>
      <x:c r="N361"/>
      <x:c r="O361"/>
      <x:c r="P361"/>
      <x:c r="Q361"/>
      <x:c r="R361"/>
      <x:c r="S361" t="n">
        <x:v>48</x:v>
      </x:c>
      <x:c r="T361" t="n">
        <x:v>48</x:v>
      </x:c>
      <x:c r="U361" s="28" t="n">
        <x:f>T361</x:f>
        <x:v>48</x:v>
      </x:c>
      <x:c r="V361" s="32" t="n">
        <x:f>IF(AND(ISNUMBER(S361),ISNUMBER(U361)),ABS(S361-U361),IF(S361=U361,0,1))</x:f>
        <x:v>0</x:v>
      </x:c>
      <x:c r="W361" s="30" t="str">
        <x:v>PASS</x:v>
      </x:c>
      <x:c r="X361" s="28" t="str">
        <x:f>IF(V361&lt;=1E-9,"PASS","FAIL")</x:f>
        <x:v>PASS</x:v>
      </x:c>
      <x:c r="Y361" t="str">
        <x:v>tr.33–34</x:v>
      </x:c>
      <x:c r="Z361" t="str"/>
    </x:row>
    <x:row r="362">
      <x:c r="A362" t="str">
        <x:v>G0359</x:v>
      </x:c>
      <x:c r="B362" t="str">
        <x:v>Bảng 3</x:v>
      </x:c>
      <x:c r="C362" t="str">
        <x:v>clay:IL=0.2</x:v>
      </x:c>
      <x:c r="D362" t="str">
        <x:v>EXACT</x:v>
      </x:c>
      <x:c r="E362" t="str">
        <x:v>{"z":4,"IL":0.2}</x:v>
      </x:c>
      <x:c r="F362" t="str">
        <x:v>EXACT</x:v>
      </x:c>
      <x:c r="G362"/>
      <x:c r="H362"/>
      <x:c r="I362"/>
      <x:c r="J362"/>
      <x:c r="K362"/>
      <x:c r="L362"/>
      <x:c r="M362" t="n">
        <x:v>53</x:v>
      </x:c>
      <x:c r="N362"/>
      <x:c r="O362"/>
      <x:c r="P362"/>
      <x:c r="Q362"/>
      <x:c r="R362"/>
      <x:c r="S362" t="n">
        <x:v>53</x:v>
      </x:c>
      <x:c r="T362" t="n">
        <x:v>53</x:v>
      </x:c>
      <x:c r="U362" s="28" t="n">
        <x:f>T362</x:f>
        <x:v>53</x:v>
      </x:c>
      <x:c r="V362" s="32" t="n">
        <x:f>IF(AND(ISNUMBER(S362),ISNUMBER(U362)),ABS(S362-U362),IF(S362=U362,0,1))</x:f>
        <x:v>0</x:v>
      </x:c>
      <x:c r="W362" s="30" t="str">
        <x:v>PASS</x:v>
      </x:c>
      <x:c r="X362" s="28" t="str">
        <x:f>IF(V362&lt;=1E-9,"PASS","FAIL")</x:f>
        <x:v>PASS</x:v>
      </x:c>
      <x:c r="Y362" t="str">
        <x:v>tr.33–34</x:v>
      </x:c>
      <x:c r="Z362" t="str"/>
    </x:row>
    <x:row r="363">
      <x:c r="A363" t="str">
        <x:v>G0360</x:v>
      </x:c>
      <x:c r="B363" t="str">
        <x:v>Bảng 3</x:v>
      </x:c>
      <x:c r="C363" t="str">
        <x:v>clay:IL=0.2</x:v>
      </x:c>
      <x:c r="D363" t="str">
        <x:v>EXACT</x:v>
      </x:c>
      <x:c r="E363" t="str">
        <x:v>{"z":5,"IL":0.2}</x:v>
      </x:c>
      <x:c r="F363" t="str">
        <x:v>EXACT</x:v>
      </x:c>
      <x:c r="G363"/>
      <x:c r="H363"/>
      <x:c r="I363"/>
      <x:c r="J363"/>
      <x:c r="K363"/>
      <x:c r="L363"/>
      <x:c r="M363" t="n">
        <x:v>56</x:v>
      </x:c>
      <x:c r="N363"/>
      <x:c r="O363"/>
      <x:c r="P363"/>
      <x:c r="Q363"/>
      <x:c r="R363"/>
      <x:c r="S363" t="n">
        <x:v>56</x:v>
      </x:c>
      <x:c r="T363" t="n">
        <x:v>56</x:v>
      </x:c>
      <x:c r="U363" s="28" t="n">
        <x:f>T363</x:f>
        <x:v>56</x:v>
      </x:c>
      <x:c r="V363" s="32" t="n">
        <x:f>IF(AND(ISNUMBER(S363),ISNUMBER(U363)),ABS(S363-U363),IF(S363=U363,0,1))</x:f>
        <x:v>0</x:v>
      </x:c>
      <x:c r="W363" s="30" t="str">
        <x:v>PASS</x:v>
      </x:c>
      <x:c r="X363" s="28" t="str">
        <x:f>IF(V363&lt;=1E-9,"PASS","FAIL")</x:f>
        <x:v>PASS</x:v>
      </x:c>
      <x:c r="Y363" t="str">
        <x:v>tr.33–34</x:v>
      </x:c>
      <x:c r="Z363" t="str"/>
    </x:row>
    <x:row r="364">
      <x:c r="A364" t="str">
        <x:v>G0361</x:v>
      </x:c>
      <x:c r="B364" t="str">
        <x:v>Bảng 3</x:v>
      </x:c>
      <x:c r="C364" t="str">
        <x:v>clay:IL=0.2</x:v>
      </x:c>
      <x:c r="D364" t="str">
        <x:v>EXACT</x:v>
      </x:c>
      <x:c r="E364" t="str">
        <x:v>{"z":6,"IL":0.2}</x:v>
      </x:c>
      <x:c r="F364" t="str">
        <x:v>EXACT</x:v>
      </x:c>
      <x:c r="G364"/>
      <x:c r="H364"/>
      <x:c r="I364"/>
      <x:c r="J364"/>
      <x:c r="K364"/>
      <x:c r="L364"/>
      <x:c r="M364" t="n">
        <x:v>58</x:v>
      </x:c>
      <x:c r="N364"/>
      <x:c r="O364"/>
      <x:c r="P364"/>
      <x:c r="Q364"/>
      <x:c r="R364"/>
      <x:c r="S364" t="n">
        <x:v>58</x:v>
      </x:c>
      <x:c r="T364" t="n">
        <x:v>58</x:v>
      </x:c>
      <x:c r="U364" s="28" t="n">
        <x:f>T364</x:f>
        <x:v>58</x:v>
      </x:c>
      <x:c r="V364" s="32" t="n">
        <x:f>IF(AND(ISNUMBER(S364),ISNUMBER(U364)),ABS(S364-U364),IF(S364=U364,0,1))</x:f>
        <x:v>0</x:v>
      </x:c>
      <x:c r="W364" s="30" t="str">
        <x:v>PASS</x:v>
      </x:c>
      <x:c r="X364" s="28" t="str">
        <x:f>IF(V364&lt;=1E-9,"PASS","FAIL")</x:f>
        <x:v>PASS</x:v>
      </x:c>
      <x:c r="Y364" t="str">
        <x:v>tr.33–34</x:v>
      </x:c>
      <x:c r="Z364" t="str"/>
    </x:row>
    <x:row r="365">
      <x:c r="A365" t="str">
        <x:v>G0362</x:v>
      </x:c>
      <x:c r="B365" t="str">
        <x:v>Bảng 3</x:v>
      </x:c>
      <x:c r="C365" t="str">
        <x:v>clay:IL=0.2</x:v>
      </x:c>
      <x:c r="D365" t="str">
        <x:v>EXACT</x:v>
      </x:c>
      <x:c r="E365" t="str">
        <x:v>{"z":8,"IL":0.2}</x:v>
      </x:c>
      <x:c r="F365" t="str">
        <x:v>EXACT</x:v>
      </x:c>
      <x:c r="G365"/>
      <x:c r="H365"/>
      <x:c r="I365"/>
      <x:c r="J365"/>
      <x:c r="K365"/>
      <x:c r="L365"/>
      <x:c r="M365" t="n">
        <x:v>62</x:v>
      </x:c>
      <x:c r="N365"/>
      <x:c r="O365"/>
      <x:c r="P365"/>
      <x:c r="Q365"/>
      <x:c r="R365"/>
      <x:c r="S365" t="n">
        <x:v>62</x:v>
      </x:c>
      <x:c r="T365" t="n">
        <x:v>62</x:v>
      </x:c>
      <x:c r="U365" s="28" t="n">
        <x:f>T365</x:f>
        <x:v>62</x:v>
      </x:c>
      <x:c r="V365" s="32" t="n">
        <x:f>IF(AND(ISNUMBER(S365),ISNUMBER(U365)),ABS(S365-U365),IF(S365=U365,0,1))</x:f>
        <x:v>0</x:v>
      </x:c>
      <x:c r="W365" s="30" t="str">
        <x:v>PASS</x:v>
      </x:c>
      <x:c r="X365" s="28" t="str">
        <x:f>IF(V365&lt;=1E-9,"PASS","FAIL")</x:f>
        <x:v>PASS</x:v>
      </x:c>
      <x:c r="Y365" t="str">
        <x:v>tr.33–34</x:v>
      </x:c>
      <x:c r="Z365" t="str"/>
    </x:row>
    <x:row r="366">
      <x:c r="A366" t="str">
        <x:v>G0363</x:v>
      </x:c>
      <x:c r="B366" t="str">
        <x:v>Bảng 3</x:v>
      </x:c>
      <x:c r="C366" t="str">
        <x:v>clay:IL=0.2</x:v>
      </x:c>
      <x:c r="D366" t="str">
        <x:v>EXACT</x:v>
      </x:c>
      <x:c r="E366" t="str">
        <x:v>{"z":10,"IL":0.2}</x:v>
      </x:c>
      <x:c r="F366" t="str">
        <x:v>EXACT</x:v>
      </x:c>
      <x:c r="G366"/>
      <x:c r="H366"/>
      <x:c r="I366"/>
      <x:c r="J366"/>
      <x:c r="K366"/>
      <x:c r="L366"/>
      <x:c r="M366" t="n">
        <x:v>65</x:v>
      </x:c>
      <x:c r="N366"/>
      <x:c r="O366"/>
      <x:c r="P366"/>
      <x:c r="Q366"/>
      <x:c r="R366"/>
      <x:c r="S366" t="n">
        <x:v>65</x:v>
      </x:c>
      <x:c r="T366" t="n">
        <x:v>65</x:v>
      </x:c>
      <x:c r="U366" s="28" t="n">
        <x:f>T366</x:f>
        <x:v>65</x:v>
      </x:c>
      <x:c r="V366" s="32" t="n">
        <x:f>IF(AND(ISNUMBER(S366),ISNUMBER(U366)),ABS(S366-U366),IF(S366=U366,0,1))</x:f>
        <x:v>0</x:v>
      </x:c>
      <x:c r="W366" s="30" t="str">
        <x:v>PASS</x:v>
      </x:c>
      <x:c r="X366" s="28" t="str">
        <x:f>IF(V366&lt;=1E-9,"PASS","FAIL")</x:f>
        <x:v>PASS</x:v>
      </x:c>
      <x:c r="Y366" t="str">
        <x:v>tr.33–34</x:v>
      </x:c>
      <x:c r="Z366" t="str"/>
    </x:row>
    <x:row r="367">
      <x:c r="A367" t="str">
        <x:v>G0364</x:v>
      </x:c>
      <x:c r="B367" t="str">
        <x:v>Bảng 3</x:v>
      </x:c>
      <x:c r="C367" t="str">
        <x:v>clay:IL=0.2</x:v>
      </x:c>
      <x:c r="D367" t="str">
        <x:v>EXACT</x:v>
      </x:c>
      <x:c r="E367" t="str">
        <x:v>{"z":15,"IL":0.2}</x:v>
      </x:c>
      <x:c r="F367" t="str">
        <x:v>EXACT</x:v>
      </x:c>
      <x:c r="G367"/>
      <x:c r="H367"/>
      <x:c r="I367"/>
      <x:c r="J367"/>
      <x:c r="K367"/>
      <x:c r="L367"/>
      <x:c r="M367" t="n">
        <x:v>72</x:v>
      </x:c>
      <x:c r="N367"/>
      <x:c r="O367"/>
      <x:c r="P367"/>
      <x:c r="Q367"/>
      <x:c r="R367"/>
      <x:c r="S367" t="n">
        <x:v>72</x:v>
      </x:c>
      <x:c r="T367" t="n">
        <x:v>72</x:v>
      </x:c>
      <x:c r="U367" s="28" t="n">
        <x:f>T367</x:f>
        <x:v>72</x:v>
      </x:c>
      <x:c r="V367" s="32" t="n">
        <x:f>IF(AND(ISNUMBER(S367),ISNUMBER(U367)),ABS(S367-U367),IF(S367=U367,0,1))</x:f>
        <x:v>0</x:v>
      </x:c>
      <x:c r="W367" s="30" t="str">
        <x:v>PASS</x:v>
      </x:c>
      <x:c r="X367" s="28" t="str">
        <x:f>IF(V367&lt;=1E-9,"PASS","FAIL")</x:f>
        <x:v>PASS</x:v>
      </x:c>
      <x:c r="Y367" t="str">
        <x:v>tr.33–34</x:v>
      </x:c>
      <x:c r="Z367" t="str"/>
    </x:row>
    <x:row r="368">
      <x:c r="A368" t="str">
        <x:v>G0365</x:v>
      </x:c>
      <x:c r="B368" t="str">
        <x:v>Bảng 3</x:v>
      </x:c>
      <x:c r="C368" t="str">
        <x:v>clay:IL=0.2</x:v>
      </x:c>
      <x:c r="D368" t="str">
        <x:v>EXACT</x:v>
      </x:c>
      <x:c r="E368" t="str">
        <x:v>{"z":20,"IL":0.2}</x:v>
      </x:c>
      <x:c r="F368" t="str">
        <x:v>EXACT</x:v>
      </x:c>
      <x:c r="G368"/>
      <x:c r="H368"/>
      <x:c r="I368"/>
      <x:c r="J368"/>
      <x:c r="K368"/>
      <x:c r="L368"/>
      <x:c r="M368" t="n">
        <x:v>79</x:v>
      </x:c>
      <x:c r="N368"/>
      <x:c r="O368"/>
      <x:c r="P368"/>
      <x:c r="Q368"/>
      <x:c r="R368"/>
      <x:c r="S368" t="n">
        <x:v>79</x:v>
      </x:c>
      <x:c r="T368" t="n">
        <x:v>79</x:v>
      </x:c>
      <x:c r="U368" s="28" t="n">
        <x:f>T368</x:f>
        <x:v>79</x:v>
      </x:c>
      <x:c r="V368" s="32" t="n">
        <x:f>IF(AND(ISNUMBER(S368),ISNUMBER(U368)),ABS(S368-U368),IF(S368=U368,0,1))</x:f>
        <x:v>0</x:v>
      </x:c>
      <x:c r="W368" s="30" t="str">
        <x:v>PASS</x:v>
      </x:c>
      <x:c r="X368" s="28" t="str">
        <x:f>IF(V368&lt;=1E-9,"PASS","FAIL")</x:f>
        <x:v>PASS</x:v>
      </x:c>
      <x:c r="Y368" t="str">
        <x:v>tr.33–34</x:v>
      </x:c>
      <x:c r="Z368" t="str"/>
    </x:row>
    <x:row r="369">
      <x:c r="A369" t="str">
        <x:v>G0366</x:v>
      </x:c>
      <x:c r="B369" t="str">
        <x:v>Bảng 3</x:v>
      </x:c>
      <x:c r="C369" t="str">
        <x:v>clay:IL=0.2</x:v>
      </x:c>
      <x:c r="D369" t="str">
        <x:v>EXACT</x:v>
      </x:c>
      <x:c r="E369" t="str">
        <x:v>{"z":25,"IL":0.2}</x:v>
      </x:c>
      <x:c r="F369" t="str">
        <x:v>EXACT</x:v>
      </x:c>
      <x:c r="G369"/>
      <x:c r="H369"/>
      <x:c r="I369"/>
      <x:c r="J369"/>
      <x:c r="K369"/>
      <x:c r="L369"/>
      <x:c r="M369" t="n">
        <x:v>86</x:v>
      </x:c>
      <x:c r="N369"/>
      <x:c r="O369"/>
      <x:c r="P369"/>
      <x:c r="Q369"/>
      <x:c r="R369"/>
      <x:c r="S369" t="n">
        <x:v>86</x:v>
      </x:c>
      <x:c r="T369" t="n">
        <x:v>86</x:v>
      </x:c>
      <x:c r="U369" s="28" t="n">
        <x:f>T369</x:f>
        <x:v>86</x:v>
      </x:c>
      <x:c r="V369" s="32" t="n">
        <x:f>IF(AND(ISNUMBER(S369),ISNUMBER(U369)),ABS(S369-U369),IF(S369=U369,0,1))</x:f>
        <x:v>0</x:v>
      </x:c>
      <x:c r="W369" s="30" t="str">
        <x:v>PASS</x:v>
      </x:c>
      <x:c r="X369" s="28" t="str">
        <x:f>IF(V369&lt;=1E-9,"PASS","FAIL")</x:f>
        <x:v>PASS</x:v>
      </x:c>
      <x:c r="Y369" t="str">
        <x:v>tr.33–34</x:v>
      </x:c>
      <x:c r="Z369" t="str"/>
    </x:row>
    <x:row r="370">
      <x:c r="A370" t="str">
        <x:v>G0367</x:v>
      </x:c>
      <x:c r="B370" t="str">
        <x:v>Bảng 3</x:v>
      </x:c>
      <x:c r="C370" t="str">
        <x:v>clay:IL=0.2</x:v>
      </x:c>
      <x:c r="D370" t="str">
        <x:v>EXACT</x:v>
      </x:c>
      <x:c r="E370" t="str">
        <x:v>{"z":30,"IL":0.2}</x:v>
      </x:c>
      <x:c r="F370" t="str">
        <x:v>EXACT</x:v>
      </x:c>
      <x:c r="G370"/>
      <x:c r="H370"/>
      <x:c r="I370"/>
      <x:c r="J370"/>
      <x:c r="K370"/>
      <x:c r="L370"/>
      <x:c r="M370" t="n">
        <x:v>93</x:v>
      </x:c>
      <x:c r="N370"/>
      <x:c r="O370"/>
      <x:c r="P370"/>
      <x:c r="Q370"/>
      <x:c r="R370"/>
      <x:c r="S370" t="n">
        <x:v>93</x:v>
      </x:c>
      <x:c r="T370" t="n">
        <x:v>93</x:v>
      </x:c>
      <x:c r="U370" s="28" t="n">
        <x:f>T370</x:f>
        <x:v>93</x:v>
      </x:c>
      <x:c r="V370" s="32" t="n">
        <x:f>IF(AND(ISNUMBER(S370),ISNUMBER(U370)),ABS(S370-U370),IF(S370=U370,0,1))</x:f>
        <x:v>0</x:v>
      </x:c>
      <x:c r="W370" s="30" t="str">
        <x:v>PASS</x:v>
      </x:c>
      <x:c r="X370" s="28" t="str">
        <x:f>IF(V370&lt;=1E-9,"PASS","FAIL")</x:f>
        <x:v>PASS</x:v>
      </x:c>
      <x:c r="Y370" t="str">
        <x:v>tr.33–34</x:v>
      </x:c>
      <x:c r="Z370" t="str"/>
    </x:row>
    <x:row r="371">
      <x:c r="A371" t="str">
        <x:v>G0368</x:v>
      </x:c>
      <x:c r="B371" t="str">
        <x:v>Bảng 3</x:v>
      </x:c>
      <x:c r="C371" t="str">
        <x:v>clay:IL=0.2</x:v>
      </x:c>
      <x:c r="D371" t="str">
        <x:v>EXACT</x:v>
      </x:c>
      <x:c r="E371" t="str">
        <x:v>{"z":35,"IL":0.2}</x:v>
      </x:c>
      <x:c r="F371" t="str">
        <x:v>EXACT</x:v>
      </x:c>
      <x:c r="G371"/>
      <x:c r="H371"/>
      <x:c r="I371"/>
      <x:c r="J371"/>
      <x:c r="K371"/>
      <x:c r="L371"/>
      <x:c r="M371" t="n">
        <x:v>100</x:v>
      </x:c>
      <x:c r="N371"/>
      <x:c r="O371"/>
      <x:c r="P371"/>
      <x:c r="Q371"/>
      <x:c r="R371"/>
      <x:c r="S371" t="n">
        <x:v>100</x:v>
      </x:c>
      <x:c r="T371" t="n">
        <x:v>100</x:v>
      </x:c>
      <x:c r="U371" s="28" t="n">
        <x:f>T371</x:f>
        <x:v>100</x:v>
      </x:c>
      <x:c r="V371" s="32" t="n">
        <x:f>IF(AND(ISNUMBER(S371),ISNUMBER(U371)),ABS(S371-U371),IF(S371=U371,0,1))</x:f>
        <x:v>0</x:v>
      </x:c>
      <x:c r="W371" s="30" t="str">
        <x:v>PASS</x:v>
      </x:c>
      <x:c r="X371" s="28" t="str">
        <x:f>IF(V371&lt;=1E-9,"PASS","FAIL")</x:f>
        <x:v>PASS</x:v>
      </x:c>
      <x:c r="Y371" t="str">
        <x:v>tr.33–34</x:v>
      </x:c>
      <x:c r="Z371" t="str"/>
    </x:row>
    <x:row r="372">
      <x:c r="A372" t="str">
        <x:v>G0369</x:v>
      </x:c>
      <x:c r="B372" t="str">
        <x:v>Bảng 3</x:v>
      </x:c>
      <x:c r="C372" t="str">
        <x:v>clay:IL=0.2</x:v>
      </x:c>
      <x:c r="D372" t="str">
        <x:v>EXACT</x:v>
      </x:c>
      <x:c r="E372" t="str">
        <x:v>{"z":40,"IL":0.2}</x:v>
      </x:c>
      <x:c r="F372" t="str">
        <x:v>EXACT</x:v>
      </x:c>
      <x:c r="G372"/>
      <x:c r="H372"/>
      <x:c r="I372"/>
      <x:c r="J372"/>
      <x:c r="K372"/>
      <x:c r="L372"/>
      <x:c r="M372" t="n">
        <x:v>107</x:v>
      </x:c>
      <x:c r="N372"/>
      <x:c r="O372"/>
      <x:c r="P372"/>
      <x:c r="Q372"/>
      <x:c r="R372"/>
      <x:c r="S372" t="n">
        <x:v>107</x:v>
      </x:c>
      <x:c r="T372" t="n">
        <x:v>107</x:v>
      </x:c>
      <x:c r="U372" s="28" t="n">
        <x:f>T372</x:f>
        <x:v>107</x:v>
      </x:c>
      <x:c r="V372" s="32" t="n">
        <x:f>IF(AND(ISNUMBER(S372),ISNUMBER(U372)),ABS(S372-U372),IF(S372=U372,0,1))</x:f>
        <x:v>0</x:v>
      </x:c>
      <x:c r="W372" s="30" t="str">
        <x:v>PASS</x:v>
      </x:c>
      <x:c r="X372" s="28" t="str">
        <x:f>IF(V372&lt;=1E-9,"PASS","FAIL")</x:f>
        <x:v>PASS</x:v>
      </x:c>
      <x:c r="Y372" t="str">
        <x:v>tr.33–34</x:v>
      </x:c>
      <x:c r="Z372" t="str"/>
    </x:row>
    <x:row r="373">
      <x:c r="A373" t="str">
        <x:v>G0370</x:v>
      </x:c>
      <x:c r="B373" t="str">
        <x:v>Bảng 3</x:v>
      </x:c>
      <x:c r="C373" t="str">
        <x:v>clay:IL=0.3</x:v>
      </x:c>
      <x:c r="D373" t="str">
        <x:v>EXACT</x:v>
      </x:c>
      <x:c r="E373" t="str">
        <x:v>{"z":1,"IL":0.3}</x:v>
      </x:c>
      <x:c r="F373" t="str">
        <x:v>EXACT</x:v>
      </x:c>
      <x:c r="G373"/>
      <x:c r="H373"/>
      <x:c r="I373"/>
      <x:c r="J373"/>
      <x:c r="K373"/>
      <x:c r="L373"/>
      <x:c r="M373" t="n">
        <x:v>23</x:v>
      </x:c>
      <x:c r="N373"/>
      <x:c r="O373"/>
      <x:c r="P373"/>
      <x:c r="Q373"/>
      <x:c r="R373"/>
      <x:c r="S373" t="n">
        <x:v>23</x:v>
      </x:c>
      <x:c r="T373" t="n">
        <x:v>23</x:v>
      </x:c>
      <x:c r="U373" s="28" t="n">
        <x:f>T373</x:f>
        <x:v>23</x:v>
      </x:c>
      <x:c r="V373" s="32" t="n">
        <x:f>IF(AND(ISNUMBER(S373),ISNUMBER(U373)),ABS(S373-U373),IF(S373=U373,0,1))</x:f>
        <x:v>0</x:v>
      </x:c>
      <x:c r="W373" s="30" t="str">
        <x:v>PASS</x:v>
      </x:c>
      <x:c r="X373" s="28" t="str">
        <x:f>IF(V373&lt;=1E-9,"PASS","FAIL")</x:f>
        <x:v>PASS</x:v>
      </x:c>
      <x:c r="Y373" t="str">
        <x:v>tr.33–34</x:v>
      </x:c>
      <x:c r="Z373" t="str"/>
    </x:row>
    <x:row r="374">
      <x:c r="A374" t="str">
        <x:v>G0371</x:v>
      </x:c>
      <x:c r="B374" t="str">
        <x:v>Bảng 3</x:v>
      </x:c>
      <x:c r="C374" t="str">
        <x:v>clay:IL=0.3</x:v>
      </x:c>
      <x:c r="D374" t="str">
        <x:v>EXACT</x:v>
      </x:c>
      <x:c r="E374" t="str">
        <x:v>{"z":2,"IL":0.3}</x:v>
      </x:c>
      <x:c r="F374" t="str">
        <x:v>EXACT</x:v>
      </x:c>
      <x:c r="G374"/>
      <x:c r="H374"/>
      <x:c r="I374"/>
      <x:c r="J374"/>
      <x:c r="K374"/>
      <x:c r="L374"/>
      <x:c r="M374" t="n">
        <x:v>30</x:v>
      </x:c>
      <x:c r="N374"/>
      <x:c r="O374"/>
      <x:c r="P374"/>
      <x:c r="Q374"/>
      <x:c r="R374"/>
      <x:c r="S374" t="n">
        <x:v>30</x:v>
      </x:c>
      <x:c r="T374" t="n">
        <x:v>30</x:v>
      </x:c>
      <x:c r="U374" s="28" t="n">
        <x:f>T374</x:f>
        <x:v>30</x:v>
      </x:c>
      <x:c r="V374" s="32" t="n">
        <x:f>IF(AND(ISNUMBER(S374),ISNUMBER(U374)),ABS(S374-U374),IF(S374=U374,0,1))</x:f>
        <x:v>0</x:v>
      </x:c>
      <x:c r="W374" s="30" t="str">
        <x:v>PASS</x:v>
      </x:c>
      <x:c r="X374" s="28" t="str">
        <x:f>IF(V374&lt;=1E-9,"PASS","FAIL")</x:f>
        <x:v>PASS</x:v>
      </x:c>
      <x:c r="Y374" t="str">
        <x:v>tr.33–34</x:v>
      </x:c>
      <x:c r="Z374" t="str"/>
    </x:row>
    <x:row r="375">
      <x:c r="A375" t="str">
        <x:v>G0372</x:v>
      </x:c>
      <x:c r="B375" t="str">
        <x:v>Bảng 3</x:v>
      </x:c>
      <x:c r="C375" t="str">
        <x:v>clay:IL=0.3</x:v>
      </x:c>
      <x:c r="D375" t="str">
        <x:v>EXACT</x:v>
      </x:c>
      <x:c r="E375" t="str">
        <x:v>{"z":3,"IL":0.3}</x:v>
      </x:c>
      <x:c r="F375" t="str">
        <x:v>EXACT</x:v>
      </x:c>
      <x:c r="G375"/>
      <x:c r="H375"/>
      <x:c r="I375"/>
      <x:c r="J375"/>
      <x:c r="K375"/>
      <x:c r="L375"/>
      <x:c r="M375" t="n">
        <x:v>35</x:v>
      </x:c>
      <x:c r="N375"/>
      <x:c r="O375"/>
      <x:c r="P375"/>
      <x:c r="Q375"/>
      <x:c r="R375"/>
      <x:c r="S375" t="n">
        <x:v>35</x:v>
      </x:c>
      <x:c r="T375" t="n">
        <x:v>35</x:v>
      </x:c>
      <x:c r="U375" s="28" t="n">
        <x:f>T375</x:f>
        <x:v>35</x:v>
      </x:c>
      <x:c r="V375" s="32" t="n">
        <x:f>IF(AND(ISNUMBER(S375),ISNUMBER(U375)),ABS(S375-U375),IF(S375=U375,0,1))</x:f>
        <x:v>0</x:v>
      </x:c>
      <x:c r="W375" s="30" t="str">
        <x:v>PASS</x:v>
      </x:c>
      <x:c r="X375" s="28" t="str">
        <x:f>IF(V375&lt;=1E-9,"PASS","FAIL")</x:f>
        <x:v>PASS</x:v>
      </x:c>
      <x:c r="Y375" t="str">
        <x:v>tr.33–34</x:v>
      </x:c>
      <x:c r="Z375" t="str"/>
    </x:row>
    <x:row r="376">
      <x:c r="A376" t="str">
        <x:v>G0373</x:v>
      </x:c>
      <x:c r="B376" t="str">
        <x:v>Bảng 3</x:v>
      </x:c>
      <x:c r="C376" t="str">
        <x:v>clay:IL=0.3</x:v>
      </x:c>
      <x:c r="D376" t="str">
        <x:v>EXACT</x:v>
      </x:c>
      <x:c r="E376" t="str">
        <x:v>{"z":4,"IL":0.3}</x:v>
      </x:c>
      <x:c r="F376" t="str">
        <x:v>EXACT</x:v>
      </x:c>
      <x:c r="G376"/>
      <x:c r="H376"/>
      <x:c r="I376"/>
      <x:c r="J376"/>
      <x:c r="K376"/>
      <x:c r="L376"/>
      <x:c r="M376" t="n">
        <x:v>38</x:v>
      </x:c>
      <x:c r="N376"/>
      <x:c r="O376"/>
      <x:c r="P376"/>
      <x:c r="Q376"/>
      <x:c r="R376"/>
      <x:c r="S376" t="n">
        <x:v>38</x:v>
      </x:c>
      <x:c r="T376" t="n">
        <x:v>38</x:v>
      </x:c>
      <x:c r="U376" s="28" t="n">
        <x:f>T376</x:f>
        <x:v>38</x:v>
      </x:c>
      <x:c r="V376" s="32" t="n">
        <x:f>IF(AND(ISNUMBER(S376),ISNUMBER(U376)),ABS(S376-U376),IF(S376=U376,0,1))</x:f>
        <x:v>0</x:v>
      </x:c>
      <x:c r="W376" s="30" t="str">
        <x:v>PASS</x:v>
      </x:c>
      <x:c r="X376" s="28" t="str">
        <x:f>IF(V376&lt;=1E-9,"PASS","FAIL")</x:f>
        <x:v>PASS</x:v>
      </x:c>
      <x:c r="Y376" t="str">
        <x:v>tr.33–34</x:v>
      </x:c>
      <x:c r="Z376" t="str"/>
    </x:row>
    <x:row r="377">
      <x:c r="A377" t="str">
        <x:v>G0374</x:v>
      </x:c>
      <x:c r="B377" t="str">
        <x:v>Bảng 3</x:v>
      </x:c>
      <x:c r="C377" t="str">
        <x:v>clay:IL=0.3</x:v>
      </x:c>
      <x:c r="D377" t="str">
        <x:v>EXACT</x:v>
      </x:c>
      <x:c r="E377" t="str">
        <x:v>{"z":5,"IL":0.3}</x:v>
      </x:c>
      <x:c r="F377" t="str">
        <x:v>EXACT</x:v>
      </x:c>
      <x:c r="G377"/>
      <x:c r="H377"/>
      <x:c r="I377"/>
      <x:c r="J377"/>
      <x:c r="K377"/>
      <x:c r="L377"/>
      <x:c r="M377" t="n">
        <x:v>40</x:v>
      </x:c>
      <x:c r="N377"/>
      <x:c r="O377"/>
      <x:c r="P377"/>
      <x:c r="Q377"/>
      <x:c r="R377"/>
      <x:c r="S377" t="n">
        <x:v>40</x:v>
      </x:c>
      <x:c r="T377" t="n">
        <x:v>40</x:v>
      </x:c>
      <x:c r="U377" s="28" t="n">
        <x:f>T377</x:f>
        <x:v>40</x:v>
      </x:c>
      <x:c r="V377" s="32" t="n">
        <x:f>IF(AND(ISNUMBER(S377),ISNUMBER(U377)),ABS(S377-U377),IF(S377=U377,0,1))</x:f>
        <x:v>0</x:v>
      </x:c>
      <x:c r="W377" s="30" t="str">
        <x:v>PASS</x:v>
      </x:c>
      <x:c r="X377" s="28" t="str">
        <x:f>IF(V377&lt;=1E-9,"PASS","FAIL")</x:f>
        <x:v>PASS</x:v>
      </x:c>
      <x:c r="Y377" t="str">
        <x:v>tr.33–34</x:v>
      </x:c>
      <x:c r="Z377" t="str"/>
    </x:row>
    <x:row r="378">
      <x:c r="A378" t="str">
        <x:v>G0375</x:v>
      </x:c>
      <x:c r="B378" t="str">
        <x:v>Bảng 3</x:v>
      </x:c>
      <x:c r="C378" t="str">
        <x:v>clay:IL=0.3</x:v>
      </x:c>
      <x:c r="D378" t="str">
        <x:v>EXACT</x:v>
      </x:c>
      <x:c r="E378" t="str">
        <x:v>{"z":6,"IL":0.3}</x:v>
      </x:c>
      <x:c r="F378" t="str">
        <x:v>EXACT</x:v>
      </x:c>
      <x:c r="G378"/>
      <x:c r="H378"/>
      <x:c r="I378"/>
      <x:c r="J378"/>
      <x:c r="K378"/>
      <x:c r="L378"/>
      <x:c r="M378" t="n">
        <x:v>42</x:v>
      </x:c>
      <x:c r="N378"/>
      <x:c r="O378"/>
      <x:c r="P378"/>
      <x:c r="Q378"/>
      <x:c r="R378"/>
      <x:c r="S378" t="n">
        <x:v>42</x:v>
      </x:c>
      <x:c r="T378" t="n">
        <x:v>42</x:v>
      </x:c>
      <x:c r="U378" s="28" t="n">
        <x:f>T378</x:f>
        <x:v>42</x:v>
      </x:c>
      <x:c r="V378" s="32" t="n">
        <x:f>IF(AND(ISNUMBER(S378),ISNUMBER(U378)),ABS(S378-U378),IF(S378=U378,0,1))</x:f>
        <x:v>0</x:v>
      </x:c>
      <x:c r="W378" s="30" t="str">
        <x:v>PASS</x:v>
      </x:c>
      <x:c r="X378" s="28" t="str">
        <x:f>IF(V378&lt;=1E-9,"PASS","FAIL")</x:f>
        <x:v>PASS</x:v>
      </x:c>
      <x:c r="Y378" t="str">
        <x:v>tr.33–34</x:v>
      </x:c>
      <x:c r="Z378" t="str"/>
    </x:row>
    <x:row r="379">
      <x:c r="A379" t="str">
        <x:v>G0376</x:v>
      </x:c>
      <x:c r="B379" t="str">
        <x:v>Bảng 3</x:v>
      </x:c>
      <x:c r="C379" t="str">
        <x:v>clay:IL=0.3</x:v>
      </x:c>
      <x:c r="D379" t="str">
        <x:v>EXACT</x:v>
      </x:c>
      <x:c r="E379" t="str">
        <x:v>{"z":8,"IL":0.3}</x:v>
      </x:c>
      <x:c r="F379" t="str">
        <x:v>EXACT</x:v>
      </x:c>
      <x:c r="G379"/>
      <x:c r="H379"/>
      <x:c r="I379"/>
      <x:c r="J379"/>
      <x:c r="K379"/>
      <x:c r="L379"/>
      <x:c r="M379" t="n">
        <x:v>44</x:v>
      </x:c>
      <x:c r="N379"/>
      <x:c r="O379"/>
      <x:c r="P379"/>
      <x:c r="Q379"/>
      <x:c r="R379"/>
      <x:c r="S379" t="n">
        <x:v>44</x:v>
      </x:c>
      <x:c r="T379" t="n">
        <x:v>44</x:v>
      </x:c>
      <x:c r="U379" s="28" t="n">
        <x:f>T379</x:f>
        <x:v>44</x:v>
      </x:c>
      <x:c r="V379" s="32" t="n">
        <x:f>IF(AND(ISNUMBER(S379),ISNUMBER(U379)),ABS(S379-U379),IF(S379=U379,0,1))</x:f>
        <x:v>0</x:v>
      </x:c>
      <x:c r="W379" s="30" t="str">
        <x:v>PASS</x:v>
      </x:c>
      <x:c r="X379" s="28" t="str">
        <x:f>IF(V379&lt;=1E-9,"PASS","FAIL")</x:f>
        <x:v>PASS</x:v>
      </x:c>
      <x:c r="Y379" t="str">
        <x:v>tr.33–34</x:v>
      </x:c>
      <x:c r="Z379" t="str"/>
    </x:row>
    <x:row r="380">
      <x:c r="A380" t="str">
        <x:v>G0377</x:v>
      </x:c>
      <x:c r="B380" t="str">
        <x:v>Bảng 3</x:v>
      </x:c>
      <x:c r="C380" t="str">
        <x:v>clay:IL=0.3</x:v>
      </x:c>
      <x:c r="D380" t="str">
        <x:v>EXACT</x:v>
      </x:c>
      <x:c r="E380" t="str">
        <x:v>{"z":10,"IL":0.3}</x:v>
      </x:c>
      <x:c r="F380" t="str">
        <x:v>EXACT</x:v>
      </x:c>
      <x:c r="G380"/>
      <x:c r="H380"/>
      <x:c r="I380"/>
      <x:c r="J380"/>
      <x:c r="K380"/>
      <x:c r="L380"/>
      <x:c r="M380" t="n">
        <x:v>46</x:v>
      </x:c>
      <x:c r="N380"/>
      <x:c r="O380"/>
      <x:c r="P380"/>
      <x:c r="Q380"/>
      <x:c r="R380"/>
      <x:c r="S380" t="n">
        <x:v>46</x:v>
      </x:c>
      <x:c r="T380" t="n">
        <x:v>46</x:v>
      </x:c>
      <x:c r="U380" s="28" t="n">
        <x:f>T380</x:f>
        <x:v>46</x:v>
      </x:c>
      <x:c r="V380" s="32" t="n">
        <x:f>IF(AND(ISNUMBER(S380),ISNUMBER(U380)),ABS(S380-U380),IF(S380=U380,0,1))</x:f>
        <x:v>0</x:v>
      </x:c>
      <x:c r="W380" s="30" t="str">
        <x:v>PASS</x:v>
      </x:c>
      <x:c r="X380" s="28" t="str">
        <x:f>IF(V380&lt;=1E-9,"PASS","FAIL")</x:f>
        <x:v>PASS</x:v>
      </x:c>
      <x:c r="Y380" t="str">
        <x:v>tr.33–34</x:v>
      </x:c>
      <x:c r="Z380" t="str"/>
    </x:row>
    <x:row r="381">
      <x:c r="A381" t="str">
        <x:v>G0378</x:v>
      </x:c>
      <x:c r="B381" t="str">
        <x:v>Bảng 3</x:v>
      </x:c>
      <x:c r="C381" t="str">
        <x:v>clay:IL=0.3</x:v>
      </x:c>
      <x:c r="D381" t="str">
        <x:v>EXACT</x:v>
      </x:c>
      <x:c r="E381" t="str">
        <x:v>{"z":15,"IL":0.3}</x:v>
      </x:c>
      <x:c r="F381" t="str">
        <x:v>EXACT</x:v>
      </x:c>
      <x:c r="G381"/>
      <x:c r="H381"/>
      <x:c r="I381"/>
      <x:c r="J381"/>
      <x:c r="K381"/>
      <x:c r="L381"/>
      <x:c r="M381" t="n">
        <x:v>51</x:v>
      </x:c>
      <x:c r="N381"/>
      <x:c r="O381"/>
      <x:c r="P381"/>
      <x:c r="Q381"/>
      <x:c r="R381"/>
      <x:c r="S381" t="n">
        <x:v>51</x:v>
      </x:c>
      <x:c r="T381" t="n">
        <x:v>51</x:v>
      </x:c>
      <x:c r="U381" s="28" t="n">
        <x:f>T381</x:f>
        <x:v>51</x:v>
      </x:c>
      <x:c r="V381" s="32" t="n">
        <x:f>IF(AND(ISNUMBER(S381),ISNUMBER(U381)),ABS(S381-U381),IF(S381=U381,0,1))</x:f>
        <x:v>0</x:v>
      </x:c>
      <x:c r="W381" s="30" t="str">
        <x:v>PASS</x:v>
      </x:c>
      <x:c r="X381" s="28" t="str">
        <x:f>IF(V381&lt;=1E-9,"PASS","FAIL")</x:f>
        <x:v>PASS</x:v>
      </x:c>
      <x:c r="Y381" t="str">
        <x:v>tr.33–34</x:v>
      </x:c>
      <x:c r="Z381" t="str"/>
    </x:row>
    <x:row r="382">
      <x:c r="A382" t="str">
        <x:v>G0379</x:v>
      </x:c>
      <x:c r="B382" t="str">
        <x:v>Bảng 3</x:v>
      </x:c>
      <x:c r="C382" t="str">
        <x:v>clay:IL=0.3</x:v>
      </x:c>
      <x:c r="D382" t="str">
        <x:v>EXACT</x:v>
      </x:c>
      <x:c r="E382" t="str">
        <x:v>{"z":20,"IL":0.3}</x:v>
      </x:c>
      <x:c r="F382" t="str">
        <x:v>EXACT</x:v>
      </x:c>
      <x:c r="G382"/>
      <x:c r="H382"/>
      <x:c r="I382"/>
      <x:c r="J382"/>
      <x:c r="K382"/>
      <x:c r="L382"/>
      <x:c r="M382" t="n">
        <x:v>56</x:v>
      </x:c>
      <x:c r="N382"/>
      <x:c r="O382"/>
      <x:c r="P382"/>
      <x:c r="Q382"/>
      <x:c r="R382"/>
      <x:c r="S382" t="n">
        <x:v>56</x:v>
      </x:c>
      <x:c r="T382" t="n">
        <x:v>56</x:v>
      </x:c>
      <x:c r="U382" s="28" t="n">
        <x:f>T382</x:f>
        <x:v>56</x:v>
      </x:c>
      <x:c r="V382" s="32" t="n">
        <x:f>IF(AND(ISNUMBER(S382),ISNUMBER(U382)),ABS(S382-U382),IF(S382=U382,0,1))</x:f>
        <x:v>0</x:v>
      </x:c>
      <x:c r="W382" s="30" t="str">
        <x:v>PASS</x:v>
      </x:c>
      <x:c r="X382" s="28" t="str">
        <x:f>IF(V382&lt;=1E-9,"PASS","FAIL")</x:f>
        <x:v>PASS</x:v>
      </x:c>
      <x:c r="Y382" t="str">
        <x:v>tr.33–34</x:v>
      </x:c>
      <x:c r="Z382" t="str"/>
    </x:row>
    <x:row r="383">
      <x:c r="A383" t="str">
        <x:v>G0380</x:v>
      </x:c>
      <x:c r="B383" t="str">
        <x:v>Bảng 3</x:v>
      </x:c>
      <x:c r="C383" t="str">
        <x:v>clay:IL=0.3</x:v>
      </x:c>
      <x:c r="D383" t="str">
        <x:v>EXACT</x:v>
      </x:c>
      <x:c r="E383" t="str">
        <x:v>{"z":25,"IL":0.3}</x:v>
      </x:c>
      <x:c r="F383" t="str">
        <x:v>EXACT</x:v>
      </x:c>
      <x:c r="G383"/>
      <x:c r="H383"/>
      <x:c r="I383"/>
      <x:c r="J383"/>
      <x:c r="K383"/>
      <x:c r="L383"/>
      <x:c r="M383" t="n">
        <x:v>61</x:v>
      </x:c>
      <x:c r="N383"/>
      <x:c r="O383"/>
      <x:c r="P383"/>
      <x:c r="Q383"/>
      <x:c r="R383"/>
      <x:c r="S383" t="n">
        <x:v>61</x:v>
      </x:c>
      <x:c r="T383" t="n">
        <x:v>61</x:v>
      </x:c>
      <x:c r="U383" s="28" t="n">
        <x:f>T383</x:f>
        <x:v>61</x:v>
      </x:c>
      <x:c r="V383" s="32" t="n">
        <x:f>IF(AND(ISNUMBER(S383),ISNUMBER(U383)),ABS(S383-U383),IF(S383=U383,0,1))</x:f>
        <x:v>0</x:v>
      </x:c>
      <x:c r="W383" s="30" t="str">
        <x:v>PASS</x:v>
      </x:c>
      <x:c r="X383" s="28" t="str">
        <x:f>IF(V383&lt;=1E-9,"PASS","FAIL")</x:f>
        <x:v>PASS</x:v>
      </x:c>
      <x:c r="Y383" t="str">
        <x:v>tr.33–34</x:v>
      </x:c>
      <x:c r="Z383" t="str"/>
    </x:row>
    <x:row r="384">
      <x:c r="A384" t="str">
        <x:v>G0381</x:v>
      </x:c>
      <x:c r="B384" t="str">
        <x:v>Bảng 3</x:v>
      </x:c>
      <x:c r="C384" t="str">
        <x:v>clay:IL=0.3</x:v>
      </x:c>
      <x:c r="D384" t="str">
        <x:v>EXACT</x:v>
      </x:c>
      <x:c r="E384" t="str">
        <x:v>{"z":30,"IL":0.3}</x:v>
      </x:c>
      <x:c r="F384" t="str">
        <x:v>EXACT</x:v>
      </x:c>
      <x:c r="G384"/>
      <x:c r="H384"/>
      <x:c r="I384"/>
      <x:c r="J384"/>
      <x:c r="K384"/>
      <x:c r="L384"/>
      <x:c r="M384" t="n">
        <x:v>66</x:v>
      </x:c>
      <x:c r="N384"/>
      <x:c r="O384"/>
      <x:c r="P384"/>
      <x:c r="Q384"/>
      <x:c r="R384"/>
      <x:c r="S384" t="n">
        <x:v>66</x:v>
      </x:c>
      <x:c r="T384" t="n">
        <x:v>66</x:v>
      </x:c>
      <x:c r="U384" s="28" t="n">
        <x:f>T384</x:f>
        <x:v>66</x:v>
      </x:c>
      <x:c r="V384" s="32" t="n">
        <x:f>IF(AND(ISNUMBER(S384),ISNUMBER(U384)),ABS(S384-U384),IF(S384=U384,0,1))</x:f>
        <x:v>0</x:v>
      </x:c>
      <x:c r="W384" s="30" t="str">
        <x:v>PASS</x:v>
      </x:c>
      <x:c r="X384" s="28" t="str">
        <x:f>IF(V384&lt;=1E-9,"PASS","FAIL")</x:f>
        <x:v>PASS</x:v>
      </x:c>
      <x:c r="Y384" t="str">
        <x:v>tr.33–34</x:v>
      </x:c>
      <x:c r="Z384" t="str"/>
    </x:row>
    <x:row r="385">
      <x:c r="A385" t="str">
        <x:v>G0382</x:v>
      </x:c>
      <x:c r="B385" t="str">
        <x:v>Bảng 3</x:v>
      </x:c>
      <x:c r="C385" t="str">
        <x:v>clay:IL=0.3</x:v>
      </x:c>
      <x:c r="D385" t="str">
        <x:v>EXACT</x:v>
      </x:c>
      <x:c r="E385" t="str">
        <x:v>{"z":35,"IL":0.3}</x:v>
      </x:c>
      <x:c r="F385" t="str">
        <x:v>EXACT</x:v>
      </x:c>
      <x:c r="G385"/>
      <x:c r="H385"/>
      <x:c r="I385"/>
      <x:c r="J385"/>
      <x:c r="K385"/>
      <x:c r="L385"/>
      <x:c r="M385" t="n">
        <x:v>70</x:v>
      </x:c>
      <x:c r="N385"/>
      <x:c r="O385"/>
      <x:c r="P385"/>
      <x:c r="Q385"/>
      <x:c r="R385"/>
      <x:c r="S385" t="n">
        <x:v>70</x:v>
      </x:c>
      <x:c r="T385" t="n">
        <x:v>70</x:v>
      </x:c>
      <x:c r="U385" s="28" t="n">
        <x:f>T385</x:f>
        <x:v>70</x:v>
      </x:c>
      <x:c r="V385" s="32" t="n">
        <x:f>IF(AND(ISNUMBER(S385),ISNUMBER(U385)),ABS(S385-U385),IF(S385=U385,0,1))</x:f>
        <x:v>0</x:v>
      </x:c>
      <x:c r="W385" s="30" t="str">
        <x:v>PASS</x:v>
      </x:c>
      <x:c r="X385" s="28" t="str">
        <x:f>IF(V385&lt;=1E-9,"PASS","FAIL")</x:f>
        <x:v>PASS</x:v>
      </x:c>
      <x:c r="Y385" t="str">
        <x:v>tr.33–34</x:v>
      </x:c>
      <x:c r="Z385" t="str"/>
    </x:row>
    <x:row r="386">
      <x:c r="A386" t="str">
        <x:v>G0383</x:v>
      </x:c>
      <x:c r="B386" t="str">
        <x:v>Bảng 3</x:v>
      </x:c>
      <x:c r="C386" t="str">
        <x:v>clay:IL=0.3</x:v>
      </x:c>
      <x:c r="D386" t="str">
        <x:v>EXACT</x:v>
      </x:c>
      <x:c r="E386" t="str">
        <x:v>{"z":40,"IL":0.3}</x:v>
      </x:c>
      <x:c r="F386" t="str">
        <x:v>EXACT</x:v>
      </x:c>
      <x:c r="G386"/>
      <x:c r="H386"/>
      <x:c r="I386"/>
      <x:c r="J386"/>
      <x:c r="K386"/>
      <x:c r="L386"/>
      <x:c r="M386" t="n">
        <x:v>74</x:v>
      </x:c>
      <x:c r="N386"/>
      <x:c r="O386"/>
      <x:c r="P386"/>
      <x:c r="Q386"/>
      <x:c r="R386"/>
      <x:c r="S386" t="n">
        <x:v>74</x:v>
      </x:c>
      <x:c r="T386" t="n">
        <x:v>74</x:v>
      </x:c>
      <x:c r="U386" s="28" t="n">
        <x:f>T386</x:f>
        <x:v>74</x:v>
      </x:c>
      <x:c r="V386" s="32" t="n">
        <x:f>IF(AND(ISNUMBER(S386),ISNUMBER(U386)),ABS(S386-U386),IF(S386=U386,0,1))</x:f>
        <x:v>0</x:v>
      </x:c>
      <x:c r="W386" s="30" t="str">
        <x:v>PASS</x:v>
      </x:c>
      <x:c r="X386" s="28" t="str">
        <x:f>IF(V386&lt;=1E-9,"PASS","FAIL")</x:f>
        <x:v>PASS</x:v>
      </x:c>
      <x:c r="Y386" t="str">
        <x:v>tr.33–34</x:v>
      </x:c>
      <x:c r="Z386" t="str"/>
    </x:row>
    <x:row r="387">
      <x:c r="A387" t="str">
        <x:v>G0384</x:v>
      </x:c>
      <x:c r="B387" t="str">
        <x:v>Bảng 3</x:v>
      </x:c>
      <x:c r="C387" t="str">
        <x:v>clay:IL=0.4</x:v>
      </x:c>
      <x:c r="D387" t="str">
        <x:v>EXACT</x:v>
      </x:c>
      <x:c r="E387" t="str">
        <x:v>{"z":1,"IL":0.4}</x:v>
      </x:c>
      <x:c r="F387" t="str">
        <x:v>EXACT</x:v>
      </x:c>
      <x:c r="G387"/>
      <x:c r="H387"/>
      <x:c r="I387"/>
      <x:c r="J387"/>
      <x:c r="K387"/>
      <x:c r="L387"/>
      <x:c r="M387" t="n">
        <x:v>15</x:v>
      </x:c>
      <x:c r="N387"/>
      <x:c r="O387"/>
      <x:c r="P387"/>
      <x:c r="Q387"/>
      <x:c r="R387"/>
      <x:c r="S387" t="n">
        <x:v>15</x:v>
      </x:c>
      <x:c r="T387" t="n">
        <x:v>15</x:v>
      </x:c>
      <x:c r="U387" s="28" t="n">
        <x:f>T387</x:f>
        <x:v>15</x:v>
      </x:c>
      <x:c r="V387" s="32" t="n">
        <x:f>IF(AND(ISNUMBER(S387),ISNUMBER(U387)),ABS(S387-U387),IF(S387=U387,0,1))</x:f>
        <x:v>0</x:v>
      </x:c>
      <x:c r="W387" s="30" t="str">
        <x:v>PASS</x:v>
      </x:c>
      <x:c r="X387" s="28" t="str">
        <x:f>IF(V387&lt;=1E-9,"PASS","FAIL")</x:f>
        <x:v>PASS</x:v>
      </x:c>
      <x:c r="Y387" t="str">
        <x:v>tr.33–34</x:v>
      </x:c>
      <x:c r="Z387" t="str"/>
    </x:row>
    <x:row r="388">
      <x:c r="A388" t="str">
        <x:v>G0385</x:v>
      </x:c>
      <x:c r="B388" t="str">
        <x:v>Bảng 3</x:v>
      </x:c>
      <x:c r="C388" t="str">
        <x:v>clay:IL=0.4</x:v>
      </x:c>
      <x:c r="D388" t="str">
        <x:v>EXACT</x:v>
      </x:c>
      <x:c r="E388" t="str">
        <x:v>{"z":2,"IL":0.4}</x:v>
      </x:c>
      <x:c r="F388" t="str">
        <x:v>EXACT</x:v>
      </x:c>
      <x:c r="G388"/>
      <x:c r="H388"/>
      <x:c r="I388"/>
      <x:c r="J388"/>
      <x:c r="K388"/>
      <x:c r="L388"/>
      <x:c r="M388" t="n">
        <x:v>21</x:v>
      </x:c>
      <x:c r="N388"/>
      <x:c r="O388"/>
      <x:c r="P388"/>
      <x:c r="Q388"/>
      <x:c r="R388"/>
      <x:c r="S388" t="n">
        <x:v>21</x:v>
      </x:c>
      <x:c r="T388" t="n">
        <x:v>21</x:v>
      </x:c>
      <x:c r="U388" s="28" t="n">
        <x:f>T388</x:f>
        <x:v>21</x:v>
      </x:c>
      <x:c r="V388" s="32" t="n">
        <x:f>IF(AND(ISNUMBER(S388),ISNUMBER(U388)),ABS(S388-U388),IF(S388=U388,0,1))</x:f>
        <x:v>0</x:v>
      </x:c>
      <x:c r="W388" s="30" t="str">
        <x:v>PASS</x:v>
      </x:c>
      <x:c r="X388" s="28" t="str">
        <x:f>IF(V388&lt;=1E-9,"PASS","FAIL")</x:f>
        <x:v>PASS</x:v>
      </x:c>
      <x:c r="Y388" t="str">
        <x:v>tr.33–34</x:v>
      </x:c>
      <x:c r="Z388" t="str"/>
    </x:row>
    <x:row r="389">
      <x:c r="A389" t="str">
        <x:v>G0386</x:v>
      </x:c>
      <x:c r="B389" t="str">
        <x:v>Bảng 3</x:v>
      </x:c>
      <x:c r="C389" t="str">
        <x:v>clay:IL=0.4</x:v>
      </x:c>
      <x:c r="D389" t="str">
        <x:v>EXACT</x:v>
      </x:c>
      <x:c r="E389" t="str">
        <x:v>{"z":3,"IL":0.4}</x:v>
      </x:c>
      <x:c r="F389" t="str">
        <x:v>EXACT</x:v>
      </x:c>
      <x:c r="G389"/>
      <x:c r="H389"/>
      <x:c r="I389"/>
      <x:c r="J389"/>
      <x:c r="K389"/>
      <x:c r="L389"/>
      <x:c r="M389" t="n">
        <x:v>25</x:v>
      </x:c>
      <x:c r="N389"/>
      <x:c r="O389"/>
      <x:c r="P389"/>
      <x:c r="Q389"/>
      <x:c r="R389"/>
      <x:c r="S389" t="n">
        <x:v>25</x:v>
      </x:c>
      <x:c r="T389" t="n">
        <x:v>25</x:v>
      </x:c>
      <x:c r="U389" s="28" t="n">
        <x:f>T389</x:f>
        <x:v>25</x:v>
      </x:c>
      <x:c r="V389" s="32" t="n">
        <x:f>IF(AND(ISNUMBER(S389),ISNUMBER(U389)),ABS(S389-U389),IF(S389=U389,0,1))</x:f>
        <x:v>0</x:v>
      </x:c>
      <x:c r="W389" s="30" t="str">
        <x:v>PASS</x:v>
      </x:c>
      <x:c r="X389" s="28" t="str">
        <x:f>IF(V389&lt;=1E-9,"PASS","FAIL")</x:f>
        <x:v>PASS</x:v>
      </x:c>
      <x:c r="Y389" t="str">
        <x:v>tr.33–34</x:v>
      </x:c>
      <x:c r="Z389" t="str"/>
    </x:row>
    <x:row r="390">
      <x:c r="A390" t="str">
        <x:v>G0387</x:v>
      </x:c>
      <x:c r="B390" t="str">
        <x:v>Bảng 3</x:v>
      </x:c>
      <x:c r="C390" t="str">
        <x:v>clay:IL=0.4</x:v>
      </x:c>
      <x:c r="D390" t="str">
        <x:v>EXACT</x:v>
      </x:c>
      <x:c r="E390" t="str">
        <x:v>{"z":4,"IL":0.4}</x:v>
      </x:c>
      <x:c r="F390" t="str">
        <x:v>EXACT</x:v>
      </x:c>
      <x:c r="G390"/>
      <x:c r="H390"/>
      <x:c r="I390"/>
      <x:c r="J390"/>
      <x:c r="K390"/>
      <x:c r="L390"/>
      <x:c r="M390" t="n">
        <x:v>27</x:v>
      </x:c>
      <x:c r="N390"/>
      <x:c r="O390"/>
      <x:c r="P390"/>
      <x:c r="Q390"/>
      <x:c r="R390"/>
      <x:c r="S390" t="n">
        <x:v>27</x:v>
      </x:c>
      <x:c r="T390" t="n">
        <x:v>27</x:v>
      </x:c>
      <x:c r="U390" s="28" t="n">
        <x:f>T390</x:f>
        <x:v>27</x:v>
      </x:c>
      <x:c r="V390" s="32" t="n">
        <x:f>IF(AND(ISNUMBER(S390),ISNUMBER(U390)),ABS(S390-U390),IF(S390=U390,0,1))</x:f>
        <x:v>0</x:v>
      </x:c>
      <x:c r="W390" s="30" t="str">
        <x:v>PASS</x:v>
      </x:c>
      <x:c r="X390" s="28" t="str">
        <x:f>IF(V390&lt;=1E-9,"PASS","FAIL")</x:f>
        <x:v>PASS</x:v>
      </x:c>
      <x:c r="Y390" t="str">
        <x:v>tr.33–34</x:v>
      </x:c>
      <x:c r="Z390" t="str"/>
    </x:row>
    <x:row r="391">
      <x:c r="A391" t="str">
        <x:v>G0388</x:v>
      </x:c>
      <x:c r="B391" t="str">
        <x:v>Bảng 3</x:v>
      </x:c>
      <x:c r="C391" t="str">
        <x:v>clay:IL=0.4</x:v>
      </x:c>
      <x:c r="D391" t="str">
        <x:v>EXACT</x:v>
      </x:c>
      <x:c r="E391" t="str">
        <x:v>{"z":5,"IL":0.4}</x:v>
      </x:c>
      <x:c r="F391" t="str">
        <x:v>EXACT</x:v>
      </x:c>
      <x:c r="G391"/>
      <x:c r="H391"/>
      <x:c r="I391"/>
      <x:c r="J391"/>
      <x:c r="K391"/>
      <x:c r="L391"/>
      <x:c r="M391" t="n">
        <x:v>29</x:v>
      </x:c>
      <x:c r="N391"/>
      <x:c r="O391"/>
      <x:c r="P391"/>
      <x:c r="Q391"/>
      <x:c r="R391"/>
      <x:c r="S391" t="n">
        <x:v>29</x:v>
      </x:c>
      <x:c r="T391" t="n">
        <x:v>29</x:v>
      </x:c>
      <x:c r="U391" s="28" t="n">
        <x:f>T391</x:f>
        <x:v>29</x:v>
      </x:c>
      <x:c r="V391" s="32" t="n">
        <x:f>IF(AND(ISNUMBER(S391),ISNUMBER(U391)),ABS(S391-U391),IF(S391=U391,0,1))</x:f>
        <x:v>0</x:v>
      </x:c>
      <x:c r="W391" s="30" t="str">
        <x:v>PASS</x:v>
      </x:c>
      <x:c r="X391" s="28" t="str">
        <x:f>IF(V391&lt;=1E-9,"PASS","FAIL")</x:f>
        <x:v>PASS</x:v>
      </x:c>
      <x:c r="Y391" t="str">
        <x:v>tr.33–34</x:v>
      </x:c>
      <x:c r="Z391" t="str"/>
    </x:row>
    <x:row r="392">
      <x:c r="A392" t="str">
        <x:v>G0389</x:v>
      </x:c>
      <x:c r="B392" t="str">
        <x:v>Bảng 3</x:v>
      </x:c>
      <x:c r="C392" t="str">
        <x:v>clay:IL=0.4</x:v>
      </x:c>
      <x:c r="D392" t="str">
        <x:v>EXACT</x:v>
      </x:c>
      <x:c r="E392" t="str">
        <x:v>{"z":6,"IL":0.4}</x:v>
      </x:c>
      <x:c r="F392" t="str">
        <x:v>EXACT</x:v>
      </x:c>
      <x:c r="G392"/>
      <x:c r="H392"/>
      <x:c r="I392"/>
      <x:c r="J392"/>
      <x:c r="K392"/>
      <x:c r="L392"/>
      <x:c r="M392" t="n">
        <x:v>31</x:v>
      </x:c>
      <x:c r="N392"/>
      <x:c r="O392"/>
      <x:c r="P392"/>
      <x:c r="Q392"/>
      <x:c r="R392"/>
      <x:c r="S392" t="n">
        <x:v>31</x:v>
      </x:c>
      <x:c r="T392" t="n">
        <x:v>31</x:v>
      </x:c>
      <x:c r="U392" s="28" t="n">
        <x:f>T392</x:f>
        <x:v>31</x:v>
      </x:c>
      <x:c r="V392" s="32" t="n">
        <x:f>IF(AND(ISNUMBER(S392),ISNUMBER(U392)),ABS(S392-U392),IF(S392=U392,0,1))</x:f>
        <x:v>0</x:v>
      </x:c>
      <x:c r="W392" s="30" t="str">
        <x:v>PASS</x:v>
      </x:c>
      <x:c r="X392" s="28" t="str">
        <x:f>IF(V392&lt;=1E-9,"PASS","FAIL")</x:f>
        <x:v>PASS</x:v>
      </x:c>
      <x:c r="Y392" t="str">
        <x:v>tr.33–34</x:v>
      </x:c>
      <x:c r="Z392" t="str"/>
    </x:row>
    <x:row r="393">
      <x:c r="A393" t="str">
        <x:v>G0390</x:v>
      </x:c>
      <x:c r="B393" t="str">
        <x:v>Bảng 3</x:v>
      </x:c>
      <x:c r="C393" t="str">
        <x:v>clay:IL=0.4</x:v>
      </x:c>
      <x:c r="D393" t="str">
        <x:v>EXACT</x:v>
      </x:c>
      <x:c r="E393" t="str">
        <x:v>{"z":8,"IL":0.4}</x:v>
      </x:c>
      <x:c r="F393" t="str">
        <x:v>EXACT</x:v>
      </x:c>
      <x:c r="G393"/>
      <x:c r="H393"/>
      <x:c r="I393"/>
      <x:c r="J393"/>
      <x:c r="K393"/>
      <x:c r="L393"/>
      <x:c r="M393" t="n">
        <x:v>33</x:v>
      </x:c>
      <x:c r="N393"/>
      <x:c r="O393"/>
      <x:c r="P393"/>
      <x:c r="Q393"/>
      <x:c r="R393"/>
      <x:c r="S393" t="n">
        <x:v>33</x:v>
      </x:c>
      <x:c r="T393" t="n">
        <x:v>33</x:v>
      </x:c>
      <x:c r="U393" s="28" t="n">
        <x:f>T393</x:f>
        <x:v>33</x:v>
      </x:c>
      <x:c r="V393" s="32" t="n">
        <x:f>IF(AND(ISNUMBER(S393),ISNUMBER(U393)),ABS(S393-U393),IF(S393=U393,0,1))</x:f>
        <x:v>0</x:v>
      </x:c>
      <x:c r="W393" s="30" t="str">
        <x:v>PASS</x:v>
      </x:c>
      <x:c r="X393" s="28" t="str">
        <x:f>IF(V393&lt;=1E-9,"PASS","FAIL")</x:f>
        <x:v>PASS</x:v>
      </x:c>
      <x:c r="Y393" t="str">
        <x:v>tr.33–34</x:v>
      </x:c>
      <x:c r="Z393" t="str"/>
    </x:row>
    <x:row r="394">
      <x:c r="A394" t="str">
        <x:v>G0391</x:v>
      </x:c>
      <x:c r="B394" t="str">
        <x:v>Bảng 3</x:v>
      </x:c>
      <x:c r="C394" t="str">
        <x:v>clay:IL=0.4</x:v>
      </x:c>
      <x:c r="D394" t="str">
        <x:v>EXACT</x:v>
      </x:c>
      <x:c r="E394" t="str">
        <x:v>{"z":10,"IL":0.4}</x:v>
      </x:c>
      <x:c r="F394" t="str">
        <x:v>EXACT</x:v>
      </x:c>
      <x:c r="G394"/>
      <x:c r="H394"/>
      <x:c r="I394"/>
      <x:c r="J394"/>
      <x:c r="K394"/>
      <x:c r="L394"/>
      <x:c r="M394" t="n">
        <x:v>34</x:v>
      </x:c>
      <x:c r="N394"/>
      <x:c r="O394"/>
      <x:c r="P394"/>
      <x:c r="Q394"/>
      <x:c r="R394"/>
      <x:c r="S394" t="n">
        <x:v>34</x:v>
      </x:c>
      <x:c r="T394" t="n">
        <x:v>34</x:v>
      </x:c>
      <x:c r="U394" s="28" t="n">
        <x:f>T394</x:f>
        <x:v>34</x:v>
      </x:c>
      <x:c r="V394" s="32" t="n">
        <x:f>IF(AND(ISNUMBER(S394),ISNUMBER(U394)),ABS(S394-U394),IF(S394=U394,0,1))</x:f>
        <x:v>0</x:v>
      </x:c>
      <x:c r="W394" s="30" t="str">
        <x:v>PASS</x:v>
      </x:c>
      <x:c r="X394" s="28" t="str">
        <x:f>IF(V394&lt;=1E-9,"PASS","FAIL")</x:f>
        <x:v>PASS</x:v>
      </x:c>
      <x:c r="Y394" t="str">
        <x:v>tr.33–34</x:v>
      </x:c>
      <x:c r="Z394" t="str"/>
    </x:row>
    <x:row r="395">
      <x:c r="A395" t="str">
        <x:v>G0392</x:v>
      </x:c>
      <x:c r="B395" t="str">
        <x:v>Bảng 3</x:v>
      </x:c>
      <x:c r="C395" t="str">
        <x:v>clay:IL=0.4</x:v>
      </x:c>
      <x:c r="D395" t="str">
        <x:v>EXACT</x:v>
      </x:c>
      <x:c r="E395" t="str">
        <x:v>{"z":15,"IL":0.4}</x:v>
      </x:c>
      <x:c r="F395" t="str">
        <x:v>EXACT</x:v>
      </x:c>
      <x:c r="G395"/>
      <x:c r="H395"/>
      <x:c r="I395"/>
      <x:c r="J395"/>
      <x:c r="K395"/>
      <x:c r="L395"/>
      <x:c r="M395" t="n">
        <x:v>38</x:v>
      </x:c>
      <x:c r="N395"/>
      <x:c r="O395"/>
      <x:c r="P395"/>
      <x:c r="Q395"/>
      <x:c r="R395"/>
      <x:c r="S395" t="n">
        <x:v>38</x:v>
      </x:c>
      <x:c r="T395" t="n">
        <x:v>38</x:v>
      </x:c>
      <x:c r="U395" s="28" t="n">
        <x:f>T395</x:f>
        <x:v>38</x:v>
      </x:c>
      <x:c r="V395" s="32" t="n">
        <x:f>IF(AND(ISNUMBER(S395),ISNUMBER(U395)),ABS(S395-U395),IF(S395=U395,0,1))</x:f>
        <x:v>0</x:v>
      </x:c>
      <x:c r="W395" s="30" t="str">
        <x:v>PASS</x:v>
      </x:c>
      <x:c r="X395" s="28" t="str">
        <x:f>IF(V395&lt;=1E-9,"PASS","FAIL")</x:f>
        <x:v>PASS</x:v>
      </x:c>
      <x:c r="Y395" t="str">
        <x:v>tr.33–34</x:v>
      </x:c>
      <x:c r="Z395" t="str"/>
    </x:row>
    <x:row r="396">
      <x:c r="A396" t="str">
        <x:v>G0393</x:v>
      </x:c>
      <x:c r="B396" t="str">
        <x:v>Bảng 3</x:v>
      </x:c>
      <x:c r="C396" t="str">
        <x:v>clay:IL=0.4</x:v>
      </x:c>
      <x:c r="D396" t="str">
        <x:v>EXACT</x:v>
      </x:c>
      <x:c r="E396" t="str">
        <x:v>{"z":20,"IL":0.4}</x:v>
      </x:c>
      <x:c r="F396" t="str">
        <x:v>EXACT</x:v>
      </x:c>
      <x:c r="G396"/>
      <x:c r="H396"/>
      <x:c r="I396"/>
      <x:c r="J396"/>
      <x:c r="K396"/>
      <x:c r="L396"/>
      <x:c r="M396" t="n">
        <x:v>41</x:v>
      </x:c>
      <x:c r="N396"/>
      <x:c r="O396"/>
      <x:c r="P396"/>
      <x:c r="Q396"/>
      <x:c r="R396"/>
      <x:c r="S396" t="n">
        <x:v>41</x:v>
      </x:c>
      <x:c r="T396" t="n">
        <x:v>41</x:v>
      </x:c>
      <x:c r="U396" s="28" t="n">
        <x:f>T396</x:f>
        <x:v>41</x:v>
      </x:c>
      <x:c r="V396" s="32" t="n">
        <x:f>IF(AND(ISNUMBER(S396),ISNUMBER(U396)),ABS(S396-U396),IF(S396=U396,0,1))</x:f>
        <x:v>0</x:v>
      </x:c>
      <x:c r="W396" s="30" t="str">
        <x:v>PASS</x:v>
      </x:c>
      <x:c r="X396" s="28" t="str">
        <x:f>IF(V396&lt;=1E-9,"PASS","FAIL")</x:f>
        <x:v>PASS</x:v>
      </x:c>
      <x:c r="Y396" t="str">
        <x:v>tr.33–34</x:v>
      </x:c>
      <x:c r="Z396" t="str"/>
    </x:row>
    <x:row r="397">
      <x:c r="A397" t="str">
        <x:v>G0394</x:v>
      </x:c>
      <x:c r="B397" t="str">
        <x:v>Bảng 3</x:v>
      </x:c>
      <x:c r="C397" t="str">
        <x:v>clay:IL=0.4</x:v>
      </x:c>
      <x:c r="D397" t="str">
        <x:v>EXACT</x:v>
      </x:c>
      <x:c r="E397" t="str">
        <x:v>{"z":25,"IL":0.4}</x:v>
      </x:c>
      <x:c r="F397" t="str">
        <x:v>EXACT</x:v>
      </x:c>
      <x:c r="G397"/>
      <x:c r="H397"/>
      <x:c r="I397"/>
      <x:c r="J397"/>
      <x:c r="K397"/>
      <x:c r="L397"/>
      <x:c r="M397" t="n">
        <x:v>44</x:v>
      </x:c>
      <x:c r="N397"/>
      <x:c r="O397"/>
      <x:c r="P397"/>
      <x:c r="Q397"/>
      <x:c r="R397"/>
      <x:c r="S397" t="n">
        <x:v>44</x:v>
      </x:c>
      <x:c r="T397" t="n">
        <x:v>44</x:v>
      </x:c>
      <x:c r="U397" s="28" t="n">
        <x:f>T397</x:f>
        <x:v>44</x:v>
      </x:c>
      <x:c r="V397" s="32" t="n">
        <x:f>IF(AND(ISNUMBER(S397),ISNUMBER(U397)),ABS(S397-U397),IF(S397=U397,0,1))</x:f>
        <x:v>0</x:v>
      </x:c>
      <x:c r="W397" s="30" t="str">
        <x:v>PASS</x:v>
      </x:c>
      <x:c r="X397" s="28" t="str">
        <x:f>IF(V397&lt;=1E-9,"PASS","FAIL")</x:f>
        <x:v>PASS</x:v>
      </x:c>
      <x:c r="Y397" t="str">
        <x:v>tr.33–34</x:v>
      </x:c>
      <x:c r="Z397" t="str"/>
    </x:row>
    <x:row r="398">
      <x:c r="A398" t="str">
        <x:v>G0395</x:v>
      </x:c>
      <x:c r="B398" t="str">
        <x:v>Bảng 3</x:v>
      </x:c>
      <x:c r="C398" t="str">
        <x:v>clay:IL=0.4</x:v>
      </x:c>
      <x:c r="D398" t="str">
        <x:v>EXACT</x:v>
      </x:c>
      <x:c r="E398" t="str">
        <x:v>{"z":30,"IL":0.4}</x:v>
      </x:c>
      <x:c r="F398" t="str">
        <x:v>EXACT</x:v>
      </x:c>
      <x:c r="G398"/>
      <x:c r="H398"/>
      <x:c r="I398"/>
      <x:c r="J398"/>
      <x:c r="K398"/>
      <x:c r="L398"/>
      <x:c r="M398" t="n">
        <x:v>47</x:v>
      </x:c>
      <x:c r="N398"/>
      <x:c r="O398"/>
      <x:c r="P398"/>
      <x:c r="Q398"/>
      <x:c r="R398"/>
      <x:c r="S398" t="n">
        <x:v>47</x:v>
      </x:c>
      <x:c r="T398" t="n">
        <x:v>47</x:v>
      </x:c>
      <x:c r="U398" s="28" t="n">
        <x:f>T398</x:f>
        <x:v>47</x:v>
      </x:c>
      <x:c r="V398" s="32" t="n">
        <x:f>IF(AND(ISNUMBER(S398),ISNUMBER(U398)),ABS(S398-U398),IF(S398=U398,0,1))</x:f>
        <x:v>0</x:v>
      </x:c>
      <x:c r="W398" s="30" t="str">
        <x:v>PASS</x:v>
      </x:c>
      <x:c r="X398" s="28" t="str">
        <x:f>IF(V398&lt;=1E-9,"PASS","FAIL")</x:f>
        <x:v>PASS</x:v>
      </x:c>
      <x:c r="Y398" t="str">
        <x:v>tr.33–34</x:v>
      </x:c>
      <x:c r="Z398" t="str"/>
    </x:row>
    <x:row r="399">
      <x:c r="A399" t="str">
        <x:v>G0396</x:v>
      </x:c>
      <x:c r="B399" t="str">
        <x:v>Bảng 3</x:v>
      </x:c>
      <x:c r="C399" t="str">
        <x:v>clay:IL=0.4</x:v>
      </x:c>
      <x:c r="D399" t="str">
        <x:v>EXACT</x:v>
      </x:c>
      <x:c r="E399" t="str">
        <x:v>{"z":35,"IL":0.4}</x:v>
      </x:c>
      <x:c r="F399" t="str">
        <x:v>EXACT</x:v>
      </x:c>
      <x:c r="G399"/>
      <x:c r="H399"/>
      <x:c r="I399"/>
      <x:c r="J399"/>
      <x:c r="K399"/>
      <x:c r="L399"/>
      <x:c r="M399" t="n">
        <x:v>50</x:v>
      </x:c>
      <x:c r="N399"/>
      <x:c r="O399"/>
      <x:c r="P399"/>
      <x:c r="Q399"/>
      <x:c r="R399"/>
      <x:c r="S399" t="n">
        <x:v>50</x:v>
      </x:c>
      <x:c r="T399" t="n">
        <x:v>50</x:v>
      </x:c>
      <x:c r="U399" s="28" t="n">
        <x:f>T399</x:f>
        <x:v>50</x:v>
      </x:c>
      <x:c r="V399" s="32" t="n">
        <x:f>IF(AND(ISNUMBER(S399),ISNUMBER(U399)),ABS(S399-U399),IF(S399=U399,0,1))</x:f>
        <x:v>0</x:v>
      </x:c>
      <x:c r="W399" s="30" t="str">
        <x:v>PASS</x:v>
      </x:c>
      <x:c r="X399" s="28" t="str">
        <x:f>IF(V399&lt;=1E-9,"PASS","FAIL")</x:f>
        <x:v>PASS</x:v>
      </x:c>
      <x:c r="Y399" t="str">
        <x:v>tr.33–34</x:v>
      </x:c>
      <x:c r="Z399" t="str"/>
    </x:row>
    <x:row r="400">
      <x:c r="A400" t="str">
        <x:v>G0397</x:v>
      </x:c>
      <x:c r="B400" t="str">
        <x:v>Bảng 3</x:v>
      </x:c>
      <x:c r="C400" t="str">
        <x:v>clay:IL=0.4</x:v>
      </x:c>
      <x:c r="D400" t="str">
        <x:v>EXACT</x:v>
      </x:c>
      <x:c r="E400" t="str">
        <x:v>{"z":40,"IL":0.4}</x:v>
      </x:c>
      <x:c r="F400" t="str">
        <x:v>EXACT</x:v>
      </x:c>
      <x:c r="G400"/>
      <x:c r="H400"/>
      <x:c r="I400"/>
      <x:c r="J400"/>
      <x:c r="K400"/>
      <x:c r="L400"/>
      <x:c r="M400" t="n">
        <x:v>53</x:v>
      </x:c>
      <x:c r="N400"/>
      <x:c r="O400"/>
      <x:c r="P400"/>
      <x:c r="Q400"/>
      <x:c r="R400"/>
      <x:c r="S400" t="n">
        <x:v>53</x:v>
      </x:c>
      <x:c r="T400" t="n">
        <x:v>53</x:v>
      </x:c>
      <x:c r="U400" s="28" t="n">
        <x:f>T400</x:f>
        <x:v>53</x:v>
      </x:c>
      <x:c r="V400" s="32" t="n">
        <x:f>IF(AND(ISNUMBER(S400),ISNUMBER(U400)),ABS(S400-U400),IF(S400=U400,0,1))</x:f>
        <x:v>0</x:v>
      </x:c>
      <x:c r="W400" s="30" t="str">
        <x:v>PASS</x:v>
      </x:c>
      <x:c r="X400" s="28" t="str">
        <x:f>IF(V400&lt;=1E-9,"PASS","FAIL")</x:f>
        <x:v>PASS</x:v>
      </x:c>
      <x:c r="Y400" t="str">
        <x:v>tr.33–34</x:v>
      </x:c>
      <x:c r="Z400" t="str"/>
    </x:row>
    <x:row r="401">
      <x:c r="A401" t="str">
        <x:v>G0398</x:v>
      </x:c>
      <x:c r="B401" t="str">
        <x:v>Bảng 3</x:v>
      </x:c>
      <x:c r="C401" t="str">
        <x:v>clay:IL=0.5</x:v>
      </x:c>
      <x:c r="D401" t="str">
        <x:v>EXACT</x:v>
      </x:c>
      <x:c r="E401" t="str">
        <x:v>{"z":1,"IL":0.5}</x:v>
      </x:c>
      <x:c r="F401" t="str">
        <x:v>EXACT</x:v>
      </x:c>
      <x:c r="G401"/>
      <x:c r="H401"/>
      <x:c r="I401"/>
      <x:c r="J401"/>
      <x:c r="K401"/>
      <x:c r="L401"/>
      <x:c r="M401" t="n">
        <x:v>12</x:v>
      </x:c>
      <x:c r="N401"/>
      <x:c r="O401"/>
      <x:c r="P401"/>
      <x:c r="Q401"/>
      <x:c r="R401"/>
      <x:c r="S401" t="n">
        <x:v>12</x:v>
      </x:c>
      <x:c r="T401" t="n">
        <x:v>12</x:v>
      </x:c>
      <x:c r="U401" s="28" t="n">
        <x:f>T401</x:f>
        <x:v>12</x:v>
      </x:c>
      <x:c r="V401" s="32" t="n">
        <x:f>IF(AND(ISNUMBER(S401),ISNUMBER(U401)),ABS(S401-U401),IF(S401=U401,0,1))</x:f>
        <x:v>0</x:v>
      </x:c>
      <x:c r="W401" s="30" t="str">
        <x:v>PASS</x:v>
      </x:c>
      <x:c r="X401" s="28" t="str">
        <x:f>IF(V401&lt;=1E-9,"PASS","FAIL")</x:f>
        <x:v>PASS</x:v>
      </x:c>
      <x:c r="Y401" t="str">
        <x:v>tr.33–34</x:v>
      </x:c>
      <x:c r="Z401" t="str"/>
    </x:row>
    <x:row r="402">
      <x:c r="A402" t="str">
        <x:v>G0399</x:v>
      </x:c>
      <x:c r="B402" t="str">
        <x:v>Bảng 3</x:v>
      </x:c>
      <x:c r="C402" t="str">
        <x:v>clay:IL=0.5</x:v>
      </x:c>
      <x:c r="D402" t="str">
        <x:v>EXACT</x:v>
      </x:c>
      <x:c r="E402" t="str">
        <x:v>{"z":2,"IL":0.5}</x:v>
      </x:c>
      <x:c r="F402" t="str">
        <x:v>EXACT</x:v>
      </x:c>
      <x:c r="G402"/>
      <x:c r="H402"/>
      <x:c r="I402"/>
      <x:c r="J402"/>
      <x:c r="K402"/>
      <x:c r="L402"/>
      <x:c r="M402" t="n">
        <x:v>17</x:v>
      </x:c>
      <x:c r="N402"/>
      <x:c r="O402"/>
      <x:c r="P402"/>
      <x:c r="Q402"/>
      <x:c r="R402"/>
      <x:c r="S402" t="n">
        <x:v>17</x:v>
      </x:c>
      <x:c r="T402" t="n">
        <x:v>17</x:v>
      </x:c>
      <x:c r="U402" s="28" t="n">
        <x:f>T402</x:f>
        <x:v>17</x:v>
      </x:c>
      <x:c r="V402" s="32" t="n">
        <x:f>IF(AND(ISNUMBER(S402),ISNUMBER(U402)),ABS(S402-U402),IF(S402=U402,0,1))</x:f>
        <x:v>0</x:v>
      </x:c>
      <x:c r="W402" s="30" t="str">
        <x:v>PASS</x:v>
      </x:c>
      <x:c r="X402" s="28" t="str">
        <x:f>IF(V402&lt;=1E-9,"PASS","FAIL")</x:f>
        <x:v>PASS</x:v>
      </x:c>
      <x:c r="Y402" t="str">
        <x:v>tr.33–34</x:v>
      </x:c>
      <x:c r="Z402" t="str"/>
    </x:row>
    <x:row r="403">
      <x:c r="A403" t="str">
        <x:v>G0400</x:v>
      </x:c>
      <x:c r="B403" t="str">
        <x:v>Bảng 3</x:v>
      </x:c>
      <x:c r="C403" t="str">
        <x:v>clay:IL=0.5</x:v>
      </x:c>
      <x:c r="D403" t="str">
        <x:v>EXACT</x:v>
      </x:c>
      <x:c r="E403" t="str">
        <x:v>{"z":3,"IL":0.5}</x:v>
      </x:c>
      <x:c r="F403" t="str">
        <x:v>EXACT</x:v>
      </x:c>
      <x:c r="G403"/>
      <x:c r="H403"/>
      <x:c r="I403"/>
      <x:c r="J403"/>
      <x:c r="K403"/>
      <x:c r="L403"/>
      <x:c r="M403" t="n">
        <x:v>20</x:v>
      </x:c>
      <x:c r="N403"/>
      <x:c r="O403"/>
      <x:c r="P403"/>
      <x:c r="Q403"/>
      <x:c r="R403"/>
      <x:c r="S403" t="n">
        <x:v>20</x:v>
      </x:c>
      <x:c r="T403" t="n">
        <x:v>20</x:v>
      </x:c>
      <x:c r="U403" s="28" t="n">
        <x:f>T403</x:f>
        <x:v>20</x:v>
      </x:c>
      <x:c r="V403" s="32" t="n">
        <x:f>IF(AND(ISNUMBER(S403),ISNUMBER(U403)),ABS(S403-U403),IF(S403=U403,0,1))</x:f>
        <x:v>0</x:v>
      </x:c>
      <x:c r="W403" s="30" t="str">
        <x:v>PASS</x:v>
      </x:c>
      <x:c r="X403" s="28" t="str">
        <x:f>IF(V403&lt;=1E-9,"PASS","FAIL")</x:f>
        <x:v>PASS</x:v>
      </x:c>
      <x:c r="Y403" t="str">
        <x:v>tr.33–34</x:v>
      </x:c>
      <x:c r="Z403" t="str"/>
    </x:row>
    <x:row r="404">
      <x:c r="A404" t="str">
        <x:v>G0401</x:v>
      </x:c>
      <x:c r="B404" t="str">
        <x:v>Bảng 3</x:v>
      </x:c>
      <x:c r="C404" t="str">
        <x:v>clay:IL=0.5</x:v>
      </x:c>
      <x:c r="D404" t="str">
        <x:v>EXACT</x:v>
      </x:c>
      <x:c r="E404" t="str">
        <x:v>{"z":4,"IL":0.5}</x:v>
      </x:c>
      <x:c r="F404" t="str">
        <x:v>EXACT</x:v>
      </x:c>
      <x:c r="G404"/>
      <x:c r="H404"/>
      <x:c r="I404"/>
      <x:c r="J404"/>
      <x:c r="K404"/>
      <x:c r="L404"/>
      <x:c r="M404" t="n">
        <x:v>22</x:v>
      </x:c>
      <x:c r="N404"/>
      <x:c r="O404"/>
      <x:c r="P404"/>
      <x:c r="Q404"/>
      <x:c r="R404"/>
      <x:c r="S404" t="n">
        <x:v>22</x:v>
      </x:c>
      <x:c r="T404" t="n">
        <x:v>22</x:v>
      </x:c>
      <x:c r="U404" s="28" t="n">
        <x:f>T404</x:f>
        <x:v>22</x:v>
      </x:c>
      <x:c r="V404" s="32" t="n">
        <x:f>IF(AND(ISNUMBER(S404),ISNUMBER(U404)),ABS(S404-U404),IF(S404=U404,0,1))</x:f>
        <x:v>0</x:v>
      </x:c>
      <x:c r="W404" s="30" t="str">
        <x:v>PASS</x:v>
      </x:c>
      <x:c r="X404" s="28" t="str">
        <x:f>IF(V404&lt;=1E-9,"PASS","FAIL")</x:f>
        <x:v>PASS</x:v>
      </x:c>
      <x:c r="Y404" t="str">
        <x:v>tr.33–34</x:v>
      </x:c>
      <x:c r="Z404" t="str"/>
    </x:row>
    <x:row r="405">
      <x:c r="A405" t="str">
        <x:v>G0402</x:v>
      </x:c>
      <x:c r="B405" t="str">
        <x:v>Bảng 3</x:v>
      </x:c>
      <x:c r="C405" t="str">
        <x:v>clay:IL=0.5</x:v>
      </x:c>
      <x:c r="D405" t="str">
        <x:v>EXACT</x:v>
      </x:c>
      <x:c r="E405" t="str">
        <x:v>{"z":5,"IL":0.5}</x:v>
      </x:c>
      <x:c r="F405" t="str">
        <x:v>EXACT</x:v>
      </x:c>
      <x:c r="G405"/>
      <x:c r="H405"/>
      <x:c r="I405"/>
      <x:c r="J405"/>
      <x:c r="K405"/>
      <x:c r="L405"/>
      <x:c r="M405" t="n">
        <x:v>24</x:v>
      </x:c>
      <x:c r="N405"/>
      <x:c r="O405"/>
      <x:c r="P405"/>
      <x:c r="Q405"/>
      <x:c r="R405"/>
      <x:c r="S405" t="n">
        <x:v>24</x:v>
      </x:c>
      <x:c r="T405" t="n">
        <x:v>24</x:v>
      </x:c>
      <x:c r="U405" s="28" t="n">
        <x:f>T405</x:f>
        <x:v>24</x:v>
      </x:c>
      <x:c r="V405" s="32" t="n">
        <x:f>IF(AND(ISNUMBER(S405),ISNUMBER(U405)),ABS(S405-U405),IF(S405=U405,0,1))</x:f>
        <x:v>0</x:v>
      </x:c>
      <x:c r="W405" s="30" t="str">
        <x:v>PASS</x:v>
      </x:c>
      <x:c r="X405" s="28" t="str">
        <x:f>IF(V405&lt;=1E-9,"PASS","FAIL")</x:f>
        <x:v>PASS</x:v>
      </x:c>
      <x:c r="Y405" t="str">
        <x:v>tr.33–34</x:v>
      </x:c>
      <x:c r="Z405" t="str"/>
    </x:row>
    <x:row r="406">
      <x:c r="A406" t="str">
        <x:v>G0403</x:v>
      </x:c>
      <x:c r="B406" t="str">
        <x:v>Bảng 3</x:v>
      </x:c>
      <x:c r="C406" t="str">
        <x:v>clay:IL=0.5</x:v>
      </x:c>
      <x:c r="D406" t="str">
        <x:v>EXACT</x:v>
      </x:c>
      <x:c r="E406" t="str">
        <x:v>{"z":6,"IL":0.5}</x:v>
      </x:c>
      <x:c r="F406" t="str">
        <x:v>EXACT</x:v>
      </x:c>
      <x:c r="G406"/>
      <x:c r="H406"/>
      <x:c r="I406"/>
      <x:c r="J406"/>
      <x:c r="K406"/>
      <x:c r="L406"/>
      <x:c r="M406" t="n">
        <x:v>25</x:v>
      </x:c>
      <x:c r="N406"/>
      <x:c r="O406"/>
      <x:c r="P406"/>
      <x:c r="Q406"/>
      <x:c r="R406"/>
      <x:c r="S406" t="n">
        <x:v>25</x:v>
      </x:c>
      <x:c r="T406" t="n">
        <x:v>25</x:v>
      </x:c>
      <x:c r="U406" s="28" t="n">
        <x:f>T406</x:f>
        <x:v>25</x:v>
      </x:c>
      <x:c r="V406" s="32" t="n">
        <x:f>IF(AND(ISNUMBER(S406),ISNUMBER(U406)),ABS(S406-U406),IF(S406=U406,0,1))</x:f>
        <x:v>0</x:v>
      </x:c>
      <x:c r="W406" s="30" t="str">
        <x:v>PASS</x:v>
      </x:c>
      <x:c r="X406" s="28" t="str">
        <x:f>IF(V406&lt;=1E-9,"PASS","FAIL")</x:f>
        <x:v>PASS</x:v>
      </x:c>
      <x:c r="Y406" t="str">
        <x:v>tr.33–34</x:v>
      </x:c>
      <x:c r="Z406" t="str"/>
    </x:row>
    <x:row r="407">
      <x:c r="A407" t="str">
        <x:v>G0404</x:v>
      </x:c>
      <x:c r="B407" t="str">
        <x:v>Bảng 3</x:v>
      </x:c>
      <x:c r="C407" t="str">
        <x:v>clay:IL=0.5</x:v>
      </x:c>
      <x:c r="D407" t="str">
        <x:v>EXACT</x:v>
      </x:c>
      <x:c r="E407" t="str">
        <x:v>{"z":8,"IL":0.5}</x:v>
      </x:c>
      <x:c r="F407" t="str">
        <x:v>EXACT</x:v>
      </x:c>
      <x:c r="G407"/>
      <x:c r="H407"/>
      <x:c r="I407"/>
      <x:c r="J407"/>
      <x:c r="K407"/>
      <x:c r="L407"/>
      <x:c r="M407" t="n">
        <x:v>26</x:v>
      </x:c>
      <x:c r="N407"/>
      <x:c r="O407"/>
      <x:c r="P407"/>
      <x:c r="Q407"/>
      <x:c r="R407"/>
      <x:c r="S407" t="n">
        <x:v>26</x:v>
      </x:c>
      <x:c r="T407" t="n">
        <x:v>26</x:v>
      </x:c>
      <x:c r="U407" s="28" t="n">
        <x:f>T407</x:f>
        <x:v>26</x:v>
      </x:c>
      <x:c r="V407" s="32" t="n">
        <x:f>IF(AND(ISNUMBER(S407),ISNUMBER(U407)),ABS(S407-U407),IF(S407=U407,0,1))</x:f>
        <x:v>0</x:v>
      </x:c>
      <x:c r="W407" s="30" t="str">
        <x:v>PASS</x:v>
      </x:c>
      <x:c r="X407" s="28" t="str">
        <x:f>IF(V407&lt;=1E-9,"PASS","FAIL")</x:f>
        <x:v>PASS</x:v>
      </x:c>
      <x:c r="Y407" t="str">
        <x:v>tr.33–34</x:v>
      </x:c>
      <x:c r="Z407" t="str"/>
    </x:row>
    <x:row r="408">
      <x:c r="A408" t="str">
        <x:v>G0405</x:v>
      </x:c>
      <x:c r="B408" t="str">
        <x:v>Bảng 3</x:v>
      </x:c>
      <x:c r="C408" t="str">
        <x:v>clay:IL=0.5</x:v>
      </x:c>
      <x:c r="D408" t="str">
        <x:v>EXACT</x:v>
      </x:c>
      <x:c r="E408" t="str">
        <x:v>{"z":10,"IL":0.5}</x:v>
      </x:c>
      <x:c r="F408" t="str">
        <x:v>EXACT</x:v>
      </x:c>
      <x:c r="G408"/>
      <x:c r="H408"/>
      <x:c r="I408"/>
      <x:c r="J408"/>
      <x:c r="K408"/>
      <x:c r="L408"/>
      <x:c r="M408" t="n">
        <x:v>27</x:v>
      </x:c>
      <x:c r="N408"/>
      <x:c r="O408"/>
      <x:c r="P408"/>
      <x:c r="Q408"/>
      <x:c r="R408"/>
      <x:c r="S408" t="n">
        <x:v>27</x:v>
      </x:c>
      <x:c r="T408" t="n">
        <x:v>27</x:v>
      </x:c>
      <x:c r="U408" s="28" t="n">
        <x:f>T408</x:f>
        <x:v>27</x:v>
      </x:c>
      <x:c r="V408" s="32" t="n">
        <x:f>IF(AND(ISNUMBER(S408),ISNUMBER(U408)),ABS(S408-U408),IF(S408=U408,0,1))</x:f>
        <x:v>0</x:v>
      </x:c>
      <x:c r="W408" s="30" t="str">
        <x:v>PASS</x:v>
      </x:c>
      <x:c r="X408" s="28" t="str">
        <x:f>IF(V408&lt;=1E-9,"PASS","FAIL")</x:f>
        <x:v>PASS</x:v>
      </x:c>
      <x:c r="Y408" t="str">
        <x:v>tr.33–34</x:v>
      </x:c>
      <x:c r="Z408" t="str"/>
    </x:row>
    <x:row r="409">
      <x:c r="A409" t="str">
        <x:v>G0406</x:v>
      </x:c>
      <x:c r="B409" t="str">
        <x:v>Bảng 3</x:v>
      </x:c>
      <x:c r="C409" t="str">
        <x:v>clay:IL=0.5</x:v>
      </x:c>
      <x:c r="D409" t="str">
        <x:v>EXACT</x:v>
      </x:c>
      <x:c r="E409" t="str">
        <x:v>{"z":15,"IL":0.5}</x:v>
      </x:c>
      <x:c r="F409" t="str">
        <x:v>EXACT</x:v>
      </x:c>
      <x:c r="G409"/>
      <x:c r="H409"/>
      <x:c r="I409"/>
      <x:c r="J409"/>
      <x:c r="K409"/>
      <x:c r="L409"/>
      <x:c r="M409" t="n">
        <x:v>28</x:v>
      </x:c>
      <x:c r="N409"/>
      <x:c r="O409"/>
      <x:c r="P409"/>
      <x:c r="Q409"/>
      <x:c r="R409"/>
      <x:c r="S409" t="n">
        <x:v>28</x:v>
      </x:c>
      <x:c r="T409" t="n">
        <x:v>28</x:v>
      </x:c>
      <x:c r="U409" s="28" t="n">
        <x:f>T409</x:f>
        <x:v>28</x:v>
      </x:c>
      <x:c r="V409" s="32" t="n">
        <x:f>IF(AND(ISNUMBER(S409),ISNUMBER(U409)),ABS(S409-U409),IF(S409=U409,0,1))</x:f>
        <x:v>0</x:v>
      </x:c>
      <x:c r="W409" s="30" t="str">
        <x:v>PASS</x:v>
      </x:c>
      <x:c r="X409" s="28" t="str">
        <x:f>IF(V409&lt;=1E-9,"PASS","FAIL")</x:f>
        <x:v>PASS</x:v>
      </x:c>
      <x:c r="Y409" t="str">
        <x:v>tr.33–34</x:v>
      </x:c>
      <x:c r="Z409" t="str"/>
    </x:row>
    <x:row r="410">
      <x:c r="A410" t="str">
        <x:v>G0407</x:v>
      </x:c>
      <x:c r="B410" t="str">
        <x:v>Bảng 3</x:v>
      </x:c>
      <x:c r="C410" t="str">
        <x:v>clay:IL=0.5</x:v>
      </x:c>
      <x:c r="D410" t="str">
        <x:v>EXACT</x:v>
      </x:c>
      <x:c r="E410" t="str">
        <x:v>{"z":20,"IL":0.5}</x:v>
      </x:c>
      <x:c r="F410" t="str">
        <x:v>EXACT</x:v>
      </x:c>
      <x:c r="G410"/>
      <x:c r="H410"/>
      <x:c r="I410"/>
      <x:c r="J410"/>
      <x:c r="K410"/>
      <x:c r="L410"/>
      <x:c r="M410" t="n">
        <x:v>30</x:v>
      </x:c>
      <x:c r="N410"/>
      <x:c r="O410"/>
      <x:c r="P410"/>
      <x:c r="Q410"/>
      <x:c r="R410"/>
      <x:c r="S410" t="n">
        <x:v>30</x:v>
      </x:c>
      <x:c r="T410" t="n">
        <x:v>30</x:v>
      </x:c>
      <x:c r="U410" s="28" t="n">
        <x:f>T410</x:f>
        <x:v>30</x:v>
      </x:c>
      <x:c r="V410" s="32" t="n">
        <x:f>IF(AND(ISNUMBER(S410),ISNUMBER(U410)),ABS(S410-U410),IF(S410=U410,0,1))</x:f>
        <x:v>0</x:v>
      </x:c>
      <x:c r="W410" s="30" t="str">
        <x:v>PASS</x:v>
      </x:c>
      <x:c r="X410" s="28" t="str">
        <x:f>IF(V410&lt;=1E-9,"PASS","FAIL")</x:f>
        <x:v>PASS</x:v>
      </x:c>
      <x:c r="Y410" t="str">
        <x:v>tr.33–34</x:v>
      </x:c>
      <x:c r="Z410" t="str"/>
    </x:row>
    <x:row r="411">
      <x:c r="A411" t="str">
        <x:v>G0408</x:v>
      </x:c>
      <x:c r="B411" t="str">
        <x:v>Bảng 3</x:v>
      </x:c>
      <x:c r="C411" t="str">
        <x:v>clay:IL=0.5</x:v>
      </x:c>
      <x:c r="D411" t="str">
        <x:v>EXACT</x:v>
      </x:c>
      <x:c r="E411" t="str">
        <x:v>{"z":25,"IL":0.5}</x:v>
      </x:c>
      <x:c r="F411" t="str">
        <x:v>EXACT</x:v>
      </x:c>
      <x:c r="G411"/>
      <x:c r="H411"/>
      <x:c r="I411"/>
      <x:c r="J411"/>
      <x:c r="K411"/>
      <x:c r="L411"/>
      <x:c r="M411" t="n">
        <x:v>32</x:v>
      </x:c>
      <x:c r="N411"/>
      <x:c r="O411"/>
      <x:c r="P411"/>
      <x:c r="Q411"/>
      <x:c r="R411"/>
      <x:c r="S411" t="n">
        <x:v>32</x:v>
      </x:c>
      <x:c r="T411" t="n">
        <x:v>32</x:v>
      </x:c>
      <x:c r="U411" s="28" t="n">
        <x:f>T411</x:f>
        <x:v>32</x:v>
      </x:c>
      <x:c r="V411" s="32" t="n">
        <x:f>IF(AND(ISNUMBER(S411),ISNUMBER(U411)),ABS(S411-U411),IF(S411=U411,0,1))</x:f>
        <x:v>0</x:v>
      </x:c>
      <x:c r="W411" s="30" t="str">
        <x:v>PASS</x:v>
      </x:c>
      <x:c r="X411" s="28" t="str">
        <x:f>IF(V411&lt;=1E-9,"PASS","FAIL")</x:f>
        <x:v>PASS</x:v>
      </x:c>
      <x:c r="Y411" t="str">
        <x:v>tr.33–34</x:v>
      </x:c>
      <x:c r="Z411" t="str"/>
    </x:row>
    <x:row r="412">
      <x:c r="A412" t="str">
        <x:v>G0409</x:v>
      </x:c>
      <x:c r="B412" t="str">
        <x:v>Bảng 3</x:v>
      </x:c>
      <x:c r="C412" t="str">
        <x:v>clay:IL=0.5</x:v>
      </x:c>
      <x:c r="D412" t="str">
        <x:v>EXACT</x:v>
      </x:c>
      <x:c r="E412" t="str">
        <x:v>{"z":30,"IL":0.5}</x:v>
      </x:c>
      <x:c r="F412" t="str">
        <x:v>EXACT</x:v>
      </x:c>
      <x:c r="G412"/>
      <x:c r="H412"/>
      <x:c r="I412"/>
      <x:c r="J412"/>
      <x:c r="K412"/>
      <x:c r="L412"/>
      <x:c r="M412" t="n">
        <x:v>34</x:v>
      </x:c>
      <x:c r="N412"/>
      <x:c r="O412"/>
      <x:c r="P412"/>
      <x:c r="Q412"/>
      <x:c r="R412"/>
      <x:c r="S412" t="n">
        <x:v>34</x:v>
      </x:c>
      <x:c r="T412" t="n">
        <x:v>34</x:v>
      </x:c>
      <x:c r="U412" s="28" t="n">
        <x:f>T412</x:f>
        <x:v>34</x:v>
      </x:c>
      <x:c r="V412" s="32" t="n">
        <x:f>IF(AND(ISNUMBER(S412),ISNUMBER(U412)),ABS(S412-U412),IF(S412=U412,0,1))</x:f>
        <x:v>0</x:v>
      </x:c>
      <x:c r="W412" s="30" t="str">
        <x:v>PASS</x:v>
      </x:c>
      <x:c r="X412" s="28" t="str">
        <x:f>IF(V412&lt;=1E-9,"PASS","FAIL")</x:f>
        <x:v>PASS</x:v>
      </x:c>
      <x:c r="Y412" t="str">
        <x:v>tr.33–34</x:v>
      </x:c>
      <x:c r="Z412" t="str"/>
    </x:row>
    <x:row r="413">
      <x:c r="A413" t="str">
        <x:v>G0410</x:v>
      </x:c>
      <x:c r="B413" t="str">
        <x:v>Bảng 3</x:v>
      </x:c>
      <x:c r="C413" t="str">
        <x:v>clay:IL=0.5</x:v>
      </x:c>
      <x:c r="D413" t="str">
        <x:v>EXACT</x:v>
      </x:c>
      <x:c r="E413" t="str">
        <x:v>{"z":35,"IL":0.5}</x:v>
      </x:c>
      <x:c r="F413" t="str">
        <x:v>EXACT</x:v>
      </x:c>
      <x:c r="G413"/>
      <x:c r="H413"/>
      <x:c r="I413"/>
      <x:c r="J413"/>
      <x:c r="K413"/>
      <x:c r="L413"/>
      <x:c r="M413" t="n">
        <x:v>36</x:v>
      </x:c>
      <x:c r="N413"/>
      <x:c r="O413"/>
      <x:c r="P413"/>
      <x:c r="Q413"/>
      <x:c r="R413"/>
      <x:c r="S413" t="n">
        <x:v>36</x:v>
      </x:c>
      <x:c r="T413" t="n">
        <x:v>36</x:v>
      </x:c>
      <x:c r="U413" s="28" t="n">
        <x:f>T413</x:f>
        <x:v>36</x:v>
      </x:c>
      <x:c r="V413" s="32" t="n">
        <x:f>IF(AND(ISNUMBER(S413),ISNUMBER(U413)),ABS(S413-U413),IF(S413=U413,0,1))</x:f>
        <x:v>0</x:v>
      </x:c>
      <x:c r="W413" s="30" t="str">
        <x:v>PASS</x:v>
      </x:c>
      <x:c r="X413" s="28" t="str">
        <x:f>IF(V413&lt;=1E-9,"PASS","FAIL")</x:f>
        <x:v>PASS</x:v>
      </x:c>
      <x:c r="Y413" t="str">
        <x:v>tr.33–34</x:v>
      </x:c>
      <x:c r="Z413" t="str"/>
    </x:row>
    <x:row r="414">
      <x:c r="A414" t="str">
        <x:v>G0411</x:v>
      </x:c>
      <x:c r="B414" t="str">
        <x:v>Bảng 3</x:v>
      </x:c>
      <x:c r="C414" t="str">
        <x:v>clay:IL=0.5</x:v>
      </x:c>
      <x:c r="D414" t="str">
        <x:v>EXACT</x:v>
      </x:c>
      <x:c r="E414" t="str">
        <x:v>{"z":40,"IL":0.5}</x:v>
      </x:c>
      <x:c r="F414" t="str">
        <x:v>EXACT</x:v>
      </x:c>
      <x:c r="G414"/>
      <x:c r="H414"/>
      <x:c r="I414"/>
      <x:c r="J414"/>
      <x:c r="K414"/>
      <x:c r="L414"/>
      <x:c r="M414" t="n">
        <x:v>38</x:v>
      </x:c>
      <x:c r="N414"/>
      <x:c r="O414"/>
      <x:c r="P414"/>
      <x:c r="Q414"/>
      <x:c r="R414"/>
      <x:c r="S414" t="n">
        <x:v>38</x:v>
      </x:c>
      <x:c r="T414" t="n">
        <x:v>38</x:v>
      </x:c>
      <x:c r="U414" s="28" t="n">
        <x:f>T414</x:f>
        <x:v>38</x:v>
      </x:c>
      <x:c r="V414" s="32" t="n">
        <x:f>IF(AND(ISNUMBER(S414),ISNUMBER(U414)),ABS(S414-U414),IF(S414=U414,0,1))</x:f>
        <x:v>0</x:v>
      </x:c>
      <x:c r="W414" s="30" t="str">
        <x:v>PASS</x:v>
      </x:c>
      <x:c r="X414" s="28" t="str">
        <x:f>IF(V414&lt;=1E-9,"PASS","FAIL")</x:f>
        <x:v>PASS</x:v>
      </x:c>
      <x:c r="Y414" t="str">
        <x:v>tr.33–34</x:v>
      </x:c>
      <x:c r="Z414" t="str"/>
    </x:row>
    <x:row r="415">
      <x:c r="A415" t="str">
        <x:v>G0412</x:v>
      </x:c>
      <x:c r="B415" t="str">
        <x:v>Bảng 3</x:v>
      </x:c>
      <x:c r="C415" t="str">
        <x:v>clay:IL=0.6</x:v>
      </x:c>
      <x:c r="D415" t="str">
        <x:v>EXACT</x:v>
      </x:c>
      <x:c r="E415" t="str">
        <x:v>{"z":1,"IL":0.6}</x:v>
      </x:c>
      <x:c r="F415" t="str">
        <x:v>EXACT</x:v>
      </x:c>
      <x:c r="G415"/>
      <x:c r="H415"/>
      <x:c r="I415"/>
      <x:c r="J415"/>
      <x:c r="K415"/>
      <x:c r="L415"/>
      <x:c r="M415" t="n">
        <x:v>8</x:v>
      </x:c>
      <x:c r="N415"/>
      <x:c r="O415"/>
      <x:c r="P415"/>
      <x:c r="Q415"/>
      <x:c r="R415"/>
      <x:c r="S415" t="n">
        <x:v>8</x:v>
      </x:c>
      <x:c r="T415" t="n">
        <x:v>8</x:v>
      </x:c>
      <x:c r="U415" s="28" t="n">
        <x:f>T415</x:f>
        <x:v>8</x:v>
      </x:c>
      <x:c r="V415" s="32" t="n">
        <x:f>IF(AND(ISNUMBER(S415),ISNUMBER(U415)),ABS(S415-U415),IF(S415=U415,0,1))</x:f>
        <x:v>0</x:v>
      </x:c>
      <x:c r="W415" s="30" t="str">
        <x:v>PASS</x:v>
      </x:c>
      <x:c r="X415" s="28" t="str">
        <x:f>IF(V415&lt;=1E-9,"PASS","FAIL")</x:f>
        <x:v>PASS</x:v>
      </x:c>
      <x:c r="Y415" t="str">
        <x:v>tr.33–34</x:v>
      </x:c>
      <x:c r="Z415" t="str"/>
    </x:row>
    <x:row r="416">
      <x:c r="A416" t="str">
        <x:v>G0413</x:v>
      </x:c>
      <x:c r="B416" t="str">
        <x:v>Bảng 3</x:v>
      </x:c>
      <x:c r="C416" t="str">
        <x:v>clay:IL=0.6</x:v>
      </x:c>
      <x:c r="D416" t="str">
        <x:v>EXACT</x:v>
      </x:c>
      <x:c r="E416" t="str">
        <x:v>{"z":2,"IL":0.6}</x:v>
      </x:c>
      <x:c r="F416" t="str">
        <x:v>EXACT</x:v>
      </x:c>
      <x:c r="G416"/>
      <x:c r="H416"/>
      <x:c r="I416"/>
      <x:c r="J416"/>
      <x:c r="K416"/>
      <x:c r="L416"/>
      <x:c r="M416" t="n">
        <x:v>12</x:v>
      </x:c>
      <x:c r="N416"/>
      <x:c r="O416"/>
      <x:c r="P416"/>
      <x:c r="Q416"/>
      <x:c r="R416"/>
      <x:c r="S416" t="n">
        <x:v>12</x:v>
      </x:c>
      <x:c r="T416" t="n">
        <x:v>12</x:v>
      </x:c>
      <x:c r="U416" s="28" t="n">
        <x:f>T416</x:f>
        <x:v>12</x:v>
      </x:c>
      <x:c r="V416" s="32" t="n">
        <x:f>IF(AND(ISNUMBER(S416),ISNUMBER(U416)),ABS(S416-U416),IF(S416=U416,0,1))</x:f>
        <x:v>0</x:v>
      </x:c>
      <x:c r="W416" s="30" t="str">
        <x:v>PASS</x:v>
      </x:c>
      <x:c r="X416" s="28" t="str">
        <x:f>IF(V416&lt;=1E-9,"PASS","FAIL")</x:f>
        <x:v>PASS</x:v>
      </x:c>
      <x:c r="Y416" t="str">
        <x:v>tr.33–34</x:v>
      </x:c>
      <x:c r="Z416" t="str"/>
    </x:row>
    <x:row r="417">
      <x:c r="A417" t="str">
        <x:v>G0414</x:v>
      </x:c>
      <x:c r="B417" t="str">
        <x:v>Bảng 3</x:v>
      </x:c>
      <x:c r="C417" t="str">
        <x:v>clay:IL=0.6</x:v>
      </x:c>
      <x:c r="D417" t="str">
        <x:v>EXACT</x:v>
      </x:c>
      <x:c r="E417" t="str">
        <x:v>{"z":3,"IL":0.6}</x:v>
      </x:c>
      <x:c r="F417" t="str">
        <x:v>EXACT</x:v>
      </x:c>
      <x:c r="G417"/>
      <x:c r="H417"/>
      <x:c r="I417"/>
      <x:c r="J417"/>
      <x:c r="K417"/>
      <x:c r="L417"/>
      <x:c r="M417" t="n">
        <x:v>14</x:v>
      </x:c>
      <x:c r="N417"/>
      <x:c r="O417"/>
      <x:c r="P417"/>
      <x:c r="Q417"/>
      <x:c r="R417"/>
      <x:c r="S417" t="n">
        <x:v>14</x:v>
      </x:c>
      <x:c r="T417" t="n">
        <x:v>14</x:v>
      </x:c>
      <x:c r="U417" s="28" t="n">
        <x:f>T417</x:f>
        <x:v>14</x:v>
      </x:c>
      <x:c r="V417" s="32" t="n">
        <x:f>IF(AND(ISNUMBER(S417),ISNUMBER(U417)),ABS(S417-U417),IF(S417=U417,0,1))</x:f>
        <x:v>0</x:v>
      </x:c>
      <x:c r="W417" s="30" t="str">
        <x:v>PASS</x:v>
      </x:c>
      <x:c r="X417" s="28" t="str">
        <x:f>IF(V417&lt;=1E-9,"PASS","FAIL")</x:f>
        <x:v>PASS</x:v>
      </x:c>
      <x:c r="Y417" t="str">
        <x:v>tr.33–34</x:v>
      </x:c>
      <x:c r="Z417" t="str"/>
    </x:row>
    <x:row r="418">
      <x:c r="A418" t="str">
        <x:v>G0415</x:v>
      </x:c>
      <x:c r="B418" t="str">
        <x:v>Bảng 3</x:v>
      </x:c>
      <x:c r="C418" t="str">
        <x:v>clay:IL=0.6</x:v>
      </x:c>
      <x:c r="D418" t="str">
        <x:v>EXACT</x:v>
      </x:c>
      <x:c r="E418" t="str">
        <x:v>{"z":4,"IL":0.6}</x:v>
      </x:c>
      <x:c r="F418" t="str">
        <x:v>EXACT</x:v>
      </x:c>
      <x:c r="G418"/>
      <x:c r="H418"/>
      <x:c r="I418"/>
      <x:c r="J418"/>
      <x:c r="K418"/>
      <x:c r="L418"/>
      <x:c r="M418" t="n">
        <x:v>16</x:v>
      </x:c>
      <x:c r="N418"/>
      <x:c r="O418"/>
      <x:c r="P418"/>
      <x:c r="Q418"/>
      <x:c r="R418"/>
      <x:c r="S418" t="n">
        <x:v>16</x:v>
      </x:c>
      <x:c r="T418" t="n">
        <x:v>16</x:v>
      </x:c>
      <x:c r="U418" s="28" t="n">
        <x:f>T418</x:f>
        <x:v>16</x:v>
      </x:c>
      <x:c r="V418" s="32" t="n">
        <x:f>IF(AND(ISNUMBER(S418),ISNUMBER(U418)),ABS(S418-U418),IF(S418=U418,0,1))</x:f>
        <x:v>0</x:v>
      </x:c>
      <x:c r="W418" s="30" t="str">
        <x:v>PASS</x:v>
      </x:c>
      <x:c r="X418" s="28" t="str">
        <x:f>IF(V418&lt;=1E-9,"PASS","FAIL")</x:f>
        <x:v>PASS</x:v>
      </x:c>
      <x:c r="Y418" t="str">
        <x:v>tr.33–34</x:v>
      </x:c>
      <x:c r="Z418" t="str"/>
    </x:row>
    <x:row r="419">
      <x:c r="A419" t="str">
        <x:v>G0416</x:v>
      </x:c>
      <x:c r="B419" t="str">
        <x:v>Bảng 3</x:v>
      </x:c>
      <x:c r="C419" t="str">
        <x:v>clay:IL=0.6</x:v>
      </x:c>
      <x:c r="D419" t="str">
        <x:v>EXACT</x:v>
      </x:c>
      <x:c r="E419" t="str">
        <x:v>{"z":5,"IL":0.6}</x:v>
      </x:c>
      <x:c r="F419" t="str">
        <x:v>EXACT</x:v>
      </x:c>
      <x:c r="G419"/>
      <x:c r="H419"/>
      <x:c r="I419"/>
      <x:c r="J419"/>
      <x:c r="K419"/>
      <x:c r="L419"/>
      <x:c r="M419" t="n">
        <x:v>17</x:v>
      </x:c>
      <x:c r="N419"/>
      <x:c r="O419"/>
      <x:c r="P419"/>
      <x:c r="Q419"/>
      <x:c r="R419"/>
      <x:c r="S419" t="n">
        <x:v>17</x:v>
      </x:c>
      <x:c r="T419" t="n">
        <x:v>17</x:v>
      </x:c>
      <x:c r="U419" s="28" t="n">
        <x:f>T419</x:f>
        <x:v>17</x:v>
      </x:c>
      <x:c r="V419" s="32" t="n">
        <x:f>IF(AND(ISNUMBER(S419),ISNUMBER(U419)),ABS(S419-U419),IF(S419=U419,0,1))</x:f>
        <x:v>0</x:v>
      </x:c>
      <x:c r="W419" s="30" t="str">
        <x:v>PASS</x:v>
      </x:c>
      <x:c r="X419" s="28" t="str">
        <x:f>IF(V419&lt;=1E-9,"PASS","FAIL")</x:f>
        <x:v>PASS</x:v>
      </x:c>
      <x:c r="Y419" t="str">
        <x:v>tr.33–34</x:v>
      </x:c>
      <x:c r="Z419" t="str"/>
    </x:row>
    <x:row r="420">
      <x:c r="A420" t="str">
        <x:v>G0417</x:v>
      </x:c>
      <x:c r="B420" t="str">
        <x:v>Bảng 3</x:v>
      </x:c>
      <x:c r="C420" t="str">
        <x:v>clay:IL=0.6</x:v>
      </x:c>
      <x:c r="D420" t="str">
        <x:v>EXACT</x:v>
      </x:c>
      <x:c r="E420" t="str">
        <x:v>{"z":6,"IL":0.6}</x:v>
      </x:c>
      <x:c r="F420" t="str">
        <x:v>EXACT</x:v>
      </x:c>
      <x:c r="G420"/>
      <x:c r="H420"/>
      <x:c r="I420"/>
      <x:c r="J420"/>
      <x:c r="K420"/>
      <x:c r="L420"/>
      <x:c r="M420" t="n">
        <x:v>18</x:v>
      </x:c>
      <x:c r="N420"/>
      <x:c r="O420"/>
      <x:c r="P420"/>
      <x:c r="Q420"/>
      <x:c r="R420"/>
      <x:c r="S420" t="n">
        <x:v>18</x:v>
      </x:c>
      <x:c r="T420" t="n">
        <x:v>18</x:v>
      </x:c>
      <x:c r="U420" s="28" t="n">
        <x:f>T420</x:f>
        <x:v>18</x:v>
      </x:c>
      <x:c r="V420" s="32" t="n">
        <x:f>IF(AND(ISNUMBER(S420),ISNUMBER(U420)),ABS(S420-U420),IF(S420=U420,0,1))</x:f>
        <x:v>0</x:v>
      </x:c>
      <x:c r="W420" s="30" t="str">
        <x:v>PASS</x:v>
      </x:c>
      <x:c r="X420" s="28" t="str">
        <x:f>IF(V420&lt;=1E-9,"PASS","FAIL")</x:f>
        <x:v>PASS</x:v>
      </x:c>
      <x:c r="Y420" t="str">
        <x:v>tr.33–34</x:v>
      </x:c>
      <x:c r="Z420" t="str"/>
    </x:row>
    <x:row r="421">
      <x:c r="A421" t="str">
        <x:v>G0418</x:v>
      </x:c>
      <x:c r="B421" t="str">
        <x:v>Bảng 3</x:v>
      </x:c>
      <x:c r="C421" t="str">
        <x:v>clay:IL=0.6</x:v>
      </x:c>
      <x:c r="D421" t="str">
        <x:v>EXACT</x:v>
      </x:c>
      <x:c r="E421" t="str">
        <x:v>{"z":8,"IL":0.6}</x:v>
      </x:c>
      <x:c r="F421" t="str">
        <x:v>EXACT</x:v>
      </x:c>
      <x:c r="G421"/>
      <x:c r="H421"/>
      <x:c r="I421"/>
      <x:c r="J421"/>
      <x:c r="K421"/>
      <x:c r="L421"/>
      <x:c r="M421" t="n">
        <x:v>19</x:v>
      </x:c>
      <x:c r="N421"/>
      <x:c r="O421"/>
      <x:c r="P421"/>
      <x:c r="Q421"/>
      <x:c r="R421"/>
      <x:c r="S421" t="n">
        <x:v>19</x:v>
      </x:c>
      <x:c r="T421" t="n">
        <x:v>19</x:v>
      </x:c>
      <x:c r="U421" s="28" t="n">
        <x:f>T421</x:f>
        <x:v>19</x:v>
      </x:c>
      <x:c r="V421" s="32" t="n">
        <x:f>IF(AND(ISNUMBER(S421),ISNUMBER(U421)),ABS(S421-U421),IF(S421=U421,0,1))</x:f>
        <x:v>0</x:v>
      </x:c>
      <x:c r="W421" s="30" t="str">
        <x:v>PASS</x:v>
      </x:c>
      <x:c r="X421" s="28" t="str">
        <x:f>IF(V421&lt;=1E-9,"PASS","FAIL")</x:f>
        <x:v>PASS</x:v>
      </x:c>
      <x:c r="Y421" t="str">
        <x:v>tr.33–34</x:v>
      </x:c>
      <x:c r="Z421" t="str"/>
    </x:row>
    <x:row r="422">
      <x:c r="A422" t="str">
        <x:v>G0419</x:v>
      </x:c>
      <x:c r="B422" t="str">
        <x:v>Bảng 3</x:v>
      </x:c>
      <x:c r="C422" t="str">
        <x:v>clay:IL=0.6</x:v>
      </x:c>
      <x:c r="D422" t="str">
        <x:v>EXACT</x:v>
      </x:c>
      <x:c r="E422" t="str">
        <x:v>{"z":10,"IL":0.6}</x:v>
      </x:c>
      <x:c r="F422" t="str">
        <x:v>EXACT</x:v>
      </x:c>
      <x:c r="G422"/>
      <x:c r="H422"/>
      <x:c r="I422"/>
      <x:c r="J422"/>
      <x:c r="K422"/>
      <x:c r="L422"/>
      <x:c r="M422" t="n">
        <x:v>19</x:v>
      </x:c>
      <x:c r="N422"/>
      <x:c r="O422"/>
      <x:c r="P422"/>
      <x:c r="Q422"/>
      <x:c r="R422"/>
      <x:c r="S422" t="n">
        <x:v>19</x:v>
      </x:c>
      <x:c r="T422" t="n">
        <x:v>19</x:v>
      </x:c>
      <x:c r="U422" s="28" t="n">
        <x:f>T422</x:f>
        <x:v>19</x:v>
      </x:c>
      <x:c r="V422" s="32" t="n">
        <x:f>IF(AND(ISNUMBER(S422),ISNUMBER(U422)),ABS(S422-U422),IF(S422=U422,0,1))</x:f>
        <x:v>0</x:v>
      </x:c>
      <x:c r="W422" s="30" t="str">
        <x:v>PASS</x:v>
      </x:c>
      <x:c r="X422" s="28" t="str">
        <x:f>IF(V422&lt;=1E-9,"PASS","FAIL")</x:f>
        <x:v>PASS</x:v>
      </x:c>
      <x:c r="Y422" t="str">
        <x:v>tr.33–34</x:v>
      </x:c>
      <x:c r="Z422" t="str"/>
    </x:row>
    <x:row r="423">
      <x:c r="A423" t="str">
        <x:v>G0420</x:v>
      </x:c>
      <x:c r="B423" t="str">
        <x:v>Bảng 3</x:v>
      </x:c>
      <x:c r="C423" t="str">
        <x:v>clay:IL=0.6</x:v>
      </x:c>
      <x:c r="D423" t="str">
        <x:v>EXACT</x:v>
      </x:c>
      <x:c r="E423" t="str">
        <x:v>{"z":15,"IL":0.6}</x:v>
      </x:c>
      <x:c r="F423" t="str">
        <x:v>EXACT</x:v>
      </x:c>
      <x:c r="G423"/>
      <x:c r="H423"/>
      <x:c r="I423"/>
      <x:c r="J423"/>
      <x:c r="K423"/>
      <x:c r="L423"/>
      <x:c r="M423" t="n">
        <x:v>20</x:v>
      </x:c>
      <x:c r="N423"/>
      <x:c r="O423"/>
      <x:c r="P423"/>
      <x:c r="Q423"/>
      <x:c r="R423"/>
      <x:c r="S423" t="n">
        <x:v>20</x:v>
      </x:c>
      <x:c r="T423" t="n">
        <x:v>20</x:v>
      </x:c>
      <x:c r="U423" s="28" t="n">
        <x:f>T423</x:f>
        <x:v>20</x:v>
      </x:c>
      <x:c r="V423" s="32" t="n">
        <x:f>IF(AND(ISNUMBER(S423),ISNUMBER(U423)),ABS(S423-U423),IF(S423=U423,0,1))</x:f>
        <x:v>0</x:v>
      </x:c>
      <x:c r="W423" s="30" t="str">
        <x:v>PASS</x:v>
      </x:c>
      <x:c r="X423" s="28" t="str">
        <x:f>IF(V423&lt;=1E-9,"PASS","FAIL")</x:f>
        <x:v>PASS</x:v>
      </x:c>
      <x:c r="Y423" t="str">
        <x:v>tr.33–34</x:v>
      </x:c>
      <x:c r="Z423" t="str"/>
    </x:row>
    <x:row r="424">
      <x:c r="A424" t="str">
        <x:v>G0421</x:v>
      </x:c>
      <x:c r="B424" t="str">
        <x:v>Bảng 3</x:v>
      </x:c>
      <x:c r="C424" t="str">
        <x:v>clay:IL=0.6</x:v>
      </x:c>
      <x:c r="D424" t="str">
        <x:v>EXACT</x:v>
      </x:c>
      <x:c r="E424" t="str">
        <x:v>{"z":20,"IL":0.6}</x:v>
      </x:c>
      <x:c r="F424" t="str">
        <x:v>EXACT</x:v>
      </x:c>
      <x:c r="G424"/>
      <x:c r="H424"/>
      <x:c r="I424"/>
      <x:c r="J424"/>
      <x:c r="K424"/>
      <x:c r="L424"/>
      <x:c r="M424" t="n">
        <x:v>20</x:v>
      </x:c>
      <x:c r="N424"/>
      <x:c r="O424"/>
      <x:c r="P424"/>
      <x:c r="Q424"/>
      <x:c r="R424"/>
      <x:c r="S424" t="n">
        <x:v>20</x:v>
      </x:c>
      <x:c r="T424" t="n">
        <x:v>20</x:v>
      </x:c>
      <x:c r="U424" s="28" t="n">
        <x:f>T424</x:f>
        <x:v>20</x:v>
      </x:c>
      <x:c r="V424" s="32" t="n">
        <x:f>IF(AND(ISNUMBER(S424),ISNUMBER(U424)),ABS(S424-U424),IF(S424=U424,0,1))</x:f>
        <x:v>0</x:v>
      </x:c>
      <x:c r="W424" s="30" t="str">
        <x:v>PASS</x:v>
      </x:c>
      <x:c r="X424" s="28" t="str">
        <x:f>IF(V424&lt;=1E-9,"PASS","FAIL")</x:f>
        <x:v>PASS</x:v>
      </x:c>
      <x:c r="Y424" t="str">
        <x:v>tr.33–34</x:v>
      </x:c>
      <x:c r="Z424" t="str"/>
    </x:row>
    <x:row r="425">
      <x:c r="A425" t="str">
        <x:v>G0422</x:v>
      </x:c>
      <x:c r="B425" t="str">
        <x:v>Bảng 3</x:v>
      </x:c>
      <x:c r="C425" t="str">
        <x:v>clay:IL=0.6</x:v>
      </x:c>
      <x:c r="D425" t="str">
        <x:v>EXACT</x:v>
      </x:c>
      <x:c r="E425" t="str">
        <x:v>{"z":25,"IL":0.6}</x:v>
      </x:c>
      <x:c r="F425" t="str">
        <x:v>EXACT</x:v>
      </x:c>
      <x:c r="G425"/>
      <x:c r="H425"/>
      <x:c r="I425"/>
      <x:c r="J425"/>
      <x:c r="K425"/>
      <x:c r="L425"/>
      <x:c r="M425" t="n">
        <x:v>20</x:v>
      </x:c>
      <x:c r="N425"/>
      <x:c r="O425"/>
      <x:c r="P425"/>
      <x:c r="Q425"/>
      <x:c r="R425"/>
      <x:c r="S425" t="n">
        <x:v>20</x:v>
      </x:c>
      <x:c r="T425" t="n">
        <x:v>20</x:v>
      </x:c>
      <x:c r="U425" s="28" t="n">
        <x:f>T425</x:f>
        <x:v>20</x:v>
      </x:c>
      <x:c r="V425" s="32" t="n">
        <x:f>IF(AND(ISNUMBER(S425),ISNUMBER(U425)),ABS(S425-U425),IF(S425=U425,0,1))</x:f>
        <x:v>0</x:v>
      </x:c>
      <x:c r="W425" s="30" t="str">
        <x:v>PASS</x:v>
      </x:c>
      <x:c r="X425" s="28" t="str">
        <x:f>IF(V425&lt;=1E-9,"PASS","FAIL")</x:f>
        <x:v>PASS</x:v>
      </x:c>
      <x:c r="Y425" t="str">
        <x:v>tr.33–34</x:v>
      </x:c>
      <x:c r="Z425" t="str"/>
    </x:row>
    <x:row r="426">
      <x:c r="A426" t="str">
        <x:v>G0423</x:v>
      </x:c>
      <x:c r="B426" t="str">
        <x:v>Bảng 3</x:v>
      </x:c>
      <x:c r="C426" t="str">
        <x:v>clay:IL=0.6</x:v>
      </x:c>
      <x:c r="D426" t="str">
        <x:v>EXACT</x:v>
      </x:c>
      <x:c r="E426" t="str">
        <x:v>{"z":30,"IL":0.6}</x:v>
      </x:c>
      <x:c r="F426" t="str">
        <x:v>EXACT</x:v>
      </x:c>
      <x:c r="G426"/>
      <x:c r="H426"/>
      <x:c r="I426"/>
      <x:c r="J426"/>
      <x:c r="K426"/>
      <x:c r="L426"/>
      <x:c r="M426" t="n">
        <x:v>21</x:v>
      </x:c>
      <x:c r="N426"/>
      <x:c r="O426"/>
      <x:c r="P426"/>
      <x:c r="Q426"/>
      <x:c r="R426"/>
      <x:c r="S426" t="n">
        <x:v>21</x:v>
      </x:c>
      <x:c r="T426" t="n">
        <x:v>21</x:v>
      </x:c>
      <x:c r="U426" s="28" t="n">
        <x:f>T426</x:f>
        <x:v>21</x:v>
      </x:c>
      <x:c r="V426" s="32" t="n">
        <x:f>IF(AND(ISNUMBER(S426),ISNUMBER(U426)),ABS(S426-U426),IF(S426=U426,0,1))</x:f>
        <x:v>0</x:v>
      </x:c>
      <x:c r="W426" s="30" t="str">
        <x:v>PASS</x:v>
      </x:c>
      <x:c r="X426" s="28" t="str">
        <x:f>IF(V426&lt;=1E-9,"PASS","FAIL")</x:f>
        <x:v>PASS</x:v>
      </x:c>
      <x:c r="Y426" t="str">
        <x:v>tr.33–34</x:v>
      </x:c>
      <x:c r="Z426" t="str"/>
    </x:row>
    <x:row r="427">
      <x:c r="A427" t="str">
        <x:v>G0424</x:v>
      </x:c>
      <x:c r="B427" t="str">
        <x:v>Bảng 3</x:v>
      </x:c>
      <x:c r="C427" t="str">
        <x:v>clay:IL=0.6</x:v>
      </x:c>
      <x:c r="D427" t="str">
        <x:v>EXACT</x:v>
      </x:c>
      <x:c r="E427" t="str">
        <x:v>{"z":35,"IL":0.6}</x:v>
      </x:c>
      <x:c r="F427" t="str">
        <x:v>EXACT</x:v>
      </x:c>
      <x:c r="G427"/>
      <x:c r="H427"/>
      <x:c r="I427"/>
      <x:c r="J427"/>
      <x:c r="K427"/>
      <x:c r="L427"/>
      <x:c r="M427" t="n">
        <x:v>22</x:v>
      </x:c>
      <x:c r="N427"/>
      <x:c r="O427"/>
      <x:c r="P427"/>
      <x:c r="Q427"/>
      <x:c r="R427"/>
      <x:c r="S427" t="n">
        <x:v>22</x:v>
      </x:c>
      <x:c r="T427" t="n">
        <x:v>22</x:v>
      </x:c>
      <x:c r="U427" s="28" t="n">
        <x:f>T427</x:f>
        <x:v>22</x:v>
      </x:c>
      <x:c r="V427" s="32" t="n">
        <x:f>IF(AND(ISNUMBER(S427),ISNUMBER(U427)),ABS(S427-U427),IF(S427=U427,0,1))</x:f>
        <x:v>0</x:v>
      </x:c>
      <x:c r="W427" s="30" t="str">
        <x:v>PASS</x:v>
      </x:c>
      <x:c r="X427" s="28" t="str">
        <x:f>IF(V427&lt;=1E-9,"PASS","FAIL")</x:f>
        <x:v>PASS</x:v>
      </x:c>
      <x:c r="Y427" t="str">
        <x:v>tr.33–34</x:v>
      </x:c>
      <x:c r="Z427" t="str"/>
    </x:row>
    <x:row r="428">
      <x:c r="A428" t="str">
        <x:v>G0425</x:v>
      </x:c>
      <x:c r="B428" t="str">
        <x:v>Bảng 3</x:v>
      </x:c>
      <x:c r="C428" t="str">
        <x:v>clay:IL=0.6</x:v>
      </x:c>
      <x:c r="D428" t="str">
        <x:v>EXACT</x:v>
      </x:c>
      <x:c r="E428" t="str">
        <x:v>{"z":40,"IL":0.6}</x:v>
      </x:c>
      <x:c r="F428" t="str">
        <x:v>EXACT</x:v>
      </x:c>
      <x:c r="G428"/>
      <x:c r="H428"/>
      <x:c r="I428"/>
      <x:c r="J428"/>
      <x:c r="K428"/>
      <x:c r="L428"/>
      <x:c r="M428" t="n">
        <x:v>23</x:v>
      </x:c>
      <x:c r="N428"/>
      <x:c r="O428"/>
      <x:c r="P428"/>
      <x:c r="Q428"/>
      <x:c r="R428"/>
      <x:c r="S428" t="n">
        <x:v>23</x:v>
      </x:c>
      <x:c r="T428" t="n">
        <x:v>23</x:v>
      </x:c>
      <x:c r="U428" s="28" t="n">
        <x:f>T428</x:f>
        <x:v>23</x:v>
      </x:c>
      <x:c r="V428" s="32" t="n">
        <x:f>IF(AND(ISNUMBER(S428),ISNUMBER(U428)),ABS(S428-U428),IF(S428=U428,0,1))</x:f>
        <x:v>0</x:v>
      </x:c>
      <x:c r="W428" s="30" t="str">
        <x:v>PASS</x:v>
      </x:c>
      <x:c r="X428" s="28" t="str">
        <x:f>IF(V428&lt;=1E-9,"PASS","FAIL")</x:f>
        <x:v>PASS</x:v>
      </x:c>
      <x:c r="Y428" t="str">
        <x:v>tr.33–34</x:v>
      </x:c>
      <x:c r="Z428" t="str"/>
    </x:row>
    <x:row r="429">
      <x:c r="A429" t="str">
        <x:v>G0426</x:v>
      </x:c>
      <x:c r="B429" t="str">
        <x:v>Bảng 3</x:v>
      </x:c>
      <x:c r="C429" t="str">
        <x:v>clay:IL=0.7</x:v>
      </x:c>
      <x:c r="D429" t="str">
        <x:v>EXACT</x:v>
      </x:c>
      <x:c r="E429" t="str">
        <x:v>{"z":1,"IL":0.7}</x:v>
      </x:c>
      <x:c r="F429" t="str">
        <x:v>EXACT</x:v>
      </x:c>
      <x:c r="G429"/>
      <x:c r="H429"/>
      <x:c r="I429"/>
      <x:c r="J429"/>
      <x:c r="K429"/>
      <x:c r="L429"/>
      <x:c r="M429" t="n">
        <x:v>4</x:v>
      </x:c>
      <x:c r="N429"/>
      <x:c r="O429"/>
      <x:c r="P429"/>
      <x:c r="Q429"/>
      <x:c r="R429"/>
      <x:c r="S429" t="n">
        <x:v>4</x:v>
      </x:c>
      <x:c r="T429" t="n">
        <x:v>4</x:v>
      </x:c>
      <x:c r="U429" s="28" t="n">
        <x:f>T429</x:f>
        <x:v>4</x:v>
      </x:c>
      <x:c r="V429" s="32" t="n">
        <x:f>IF(AND(ISNUMBER(S429),ISNUMBER(U429)),ABS(S429-U429),IF(S429=U429,0,1))</x:f>
        <x:v>0</x:v>
      </x:c>
      <x:c r="W429" s="30" t="str">
        <x:v>PASS</x:v>
      </x:c>
      <x:c r="X429" s="28" t="str">
        <x:f>IF(V429&lt;=1E-9,"PASS","FAIL")</x:f>
        <x:v>PASS</x:v>
      </x:c>
      <x:c r="Y429" t="str">
        <x:v>tr.33–34</x:v>
      </x:c>
      <x:c r="Z429" t="str"/>
    </x:row>
    <x:row r="430">
      <x:c r="A430" t="str">
        <x:v>G0427</x:v>
      </x:c>
      <x:c r="B430" t="str">
        <x:v>Bảng 3</x:v>
      </x:c>
      <x:c r="C430" t="str">
        <x:v>clay:IL=0.7</x:v>
      </x:c>
      <x:c r="D430" t="str">
        <x:v>EXACT</x:v>
      </x:c>
      <x:c r="E430" t="str">
        <x:v>{"z":2,"IL":0.7}</x:v>
      </x:c>
      <x:c r="F430" t="str">
        <x:v>EXACT</x:v>
      </x:c>
      <x:c r="G430"/>
      <x:c r="H430"/>
      <x:c r="I430"/>
      <x:c r="J430"/>
      <x:c r="K430"/>
      <x:c r="L430"/>
      <x:c r="M430" t="n">
        <x:v>7</x:v>
      </x:c>
      <x:c r="N430"/>
      <x:c r="O430"/>
      <x:c r="P430"/>
      <x:c r="Q430"/>
      <x:c r="R430"/>
      <x:c r="S430" t="n">
        <x:v>7</x:v>
      </x:c>
      <x:c r="T430" t="n">
        <x:v>7</x:v>
      </x:c>
      <x:c r="U430" s="28" t="n">
        <x:f>T430</x:f>
        <x:v>7</x:v>
      </x:c>
      <x:c r="V430" s="32" t="n">
        <x:f>IF(AND(ISNUMBER(S430),ISNUMBER(U430)),ABS(S430-U430),IF(S430=U430,0,1))</x:f>
        <x:v>0</x:v>
      </x:c>
      <x:c r="W430" s="30" t="str">
        <x:v>PASS</x:v>
      </x:c>
      <x:c r="X430" s="28" t="str">
        <x:f>IF(V430&lt;=1E-9,"PASS","FAIL")</x:f>
        <x:v>PASS</x:v>
      </x:c>
      <x:c r="Y430" t="str">
        <x:v>tr.33–34</x:v>
      </x:c>
      <x:c r="Z430" t="str"/>
    </x:row>
    <x:row r="431">
      <x:c r="A431" t="str">
        <x:v>G0428</x:v>
      </x:c>
      <x:c r="B431" t="str">
        <x:v>Bảng 3</x:v>
      </x:c>
      <x:c r="C431" t="str">
        <x:v>clay:IL=0.7</x:v>
      </x:c>
      <x:c r="D431" t="str">
        <x:v>EXACT</x:v>
      </x:c>
      <x:c r="E431" t="str">
        <x:v>{"z":3,"IL":0.7}</x:v>
      </x:c>
      <x:c r="F431" t="str">
        <x:v>EXACT</x:v>
      </x:c>
      <x:c r="G431"/>
      <x:c r="H431"/>
      <x:c r="I431"/>
      <x:c r="J431"/>
      <x:c r="K431"/>
      <x:c r="L431"/>
      <x:c r="M431" t="n">
        <x:v>8</x:v>
      </x:c>
      <x:c r="N431"/>
      <x:c r="O431"/>
      <x:c r="P431"/>
      <x:c r="Q431"/>
      <x:c r="R431"/>
      <x:c r="S431" t="n">
        <x:v>8</x:v>
      </x:c>
      <x:c r="T431" t="n">
        <x:v>8</x:v>
      </x:c>
      <x:c r="U431" s="28" t="n">
        <x:f>T431</x:f>
        <x:v>8</x:v>
      </x:c>
      <x:c r="V431" s="32" t="n">
        <x:f>IF(AND(ISNUMBER(S431),ISNUMBER(U431)),ABS(S431-U431),IF(S431=U431,0,1))</x:f>
        <x:v>0</x:v>
      </x:c>
      <x:c r="W431" s="30" t="str">
        <x:v>PASS</x:v>
      </x:c>
      <x:c r="X431" s="28" t="str">
        <x:f>IF(V431&lt;=1E-9,"PASS","FAIL")</x:f>
        <x:v>PASS</x:v>
      </x:c>
      <x:c r="Y431" t="str">
        <x:v>tr.33–34</x:v>
      </x:c>
      <x:c r="Z431" t="str"/>
    </x:row>
    <x:row r="432">
      <x:c r="A432" t="str">
        <x:v>G0429</x:v>
      </x:c>
      <x:c r="B432" t="str">
        <x:v>Bảng 3</x:v>
      </x:c>
      <x:c r="C432" t="str">
        <x:v>clay:IL=0.7</x:v>
      </x:c>
      <x:c r="D432" t="str">
        <x:v>EXACT</x:v>
      </x:c>
      <x:c r="E432" t="str">
        <x:v>{"z":4,"IL":0.7}</x:v>
      </x:c>
      <x:c r="F432" t="str">
        <x:v>EXACT</x:v>
      </x:c>
      <x:c r="G432"/>
      <x:c r="H432"/>
      <x:c r="I432"/>
      <x:c r="J432"/>
      <x:c r="K432"/>
      <x:c r="L432"/>
      <x:c r="M432" t="n">
        <x:v>9</x:v>
      </x:c>
      <x:c r="N432"/>
      <x:c r="O432"/>
      <x:c r="P432"/>
      <x:c r="Q432"/>
      <x:c r="R432"/>
      <x:c r="S432" t="n">
        <x:v>9</x:v>
      </x:c>
      <x:c r="T432" t="n">
        <x:v>9</x:v>
      </x:c>
      <x:c r="U432" s="28" t="n">
        <x:f>T432</x:f>
        <x:v>9</x:v>
      </x:c>
      <x:c r="V432" s="32" t="n">
        <x:f>IF(AND(ISNUMBER(S432),ISNUMBER(U432)),ABS(S432-U432),IF(S432=U432,0,1))</x:f>
        <x:v>0</x:v>
      </x:c>
      <x:c r="W432" s="30" t="str">
        <x:v>PASS</x:v>
      </x:c>
      <x:c r="X432" s="28" t="str">
        <x:f>IF(V432&lt;=1E-9,"PASS","FAIL")</x:f>
        <x:v>PASS</x:v>
      </x:c>
      <x:c r="Y432" t="str">
        <x:v>tr.33–34</x:v>
      </x:c>
      <x:c r="Z432" t="str"/>
    </x:row>
    <x:row r="433">
      <x:c r="A433" t="str">
        <x:v>G0430</x:v>
      </x:c>
      <x:c r="B433" t="str">
        <x:v>Bảng 3</x:v>
      </x:c>
      <x:c r="C433" t="str">
        <x:v>clay:IL=0.7</x:v>
      </x:c>
      <x:c r="D433" t="str">
        <x:v>EXACT</x:v>
      </x:c>
      <x:c r="E433" t="str">
        <x:v>{"z":5,"IL":0.7}</x:v>
      </x:c>
      <x:c r="F433" t="str">
        <x:v>EXACT</x:v>
      </x:c>
      <x:c r="G433"/>
      <x:c r="H433"/>
      <x:c r="I433"/>
      <x:c r="J433"/>
      <x:c r="K433"/>
      <x:c r="L433"/>
      <x:c r="M433" t="n">
        <x:v>10</x:v>
      </x:c>
      <x:c r="N433"/>
      <x:c r="O433"/>
      <x:c r="P433"/>
      <x:c r="Q433"/>
      <x:c r="R433"/>
      <x:c r="S433" t="n">
        <x:v>10</x:v>
      </x:c>
      <x:c r="T433" t="n">
        <x:v>10</x:v>
      </x:c>
      <x:c r="U433" s="28" t="n">
        <x:f>T433</x:f>
        <x:v>10</x:v>
      </x:c>
      <x:c r="V433" s="32" t="n">
        <x:f>IF(AND(ISNUMBER(S433),ISNUMBER(U433)),ABS(S433-U433),IF(S433=U433,0,1))</x:f>
        <x:v>0</x:v>
      </x:c>
      <x:c r="W433" s="30" t="str">
        <x:v>PASS</x:v>
      </x:c>
      <x:c r="X433" s="28" t="str">
        <x:f>IF(V433&lt;=1E-9,"PASS","FAIL")</x:f>
        <x:v>PASS</x:v>
      </x:c>
      <x:c r="Y433" t="str">
        <x:v>tr.33–34</x:v>
      </x:c>
      <x:c r="Z433" t="str"/>
    </x:row>
    <x:row r="434">
      <x:c r="A434" t="str">
        <x:v>G0431</x:v>
      </x:c>
      <x:c r="B434" t="str">
        <x:v>Bảng 3</x:v>
      </x:c>
      <x:c r="C434" t="str">
        <x:v>clay:IL=0.7</x:v>
      </x:c>
      <x:c r="D434" t="str">
        <x:v>EXACT</x:v>
      </x:c>
      <x:c r="E434" t="str">
        <x:v>{"z":6,"IL":0.7}</x:v>
      </x:c>
      <x:c r="F434" t="str">
        <x:v>EXACT</x:v>
      </x:c>
      <x:c r="G434"/>
      <x:c r="H434"/>
      <x:c r="I434"/>
      <x:c r="J434"/>
      <x:c r="K434"/>
      <x:c r="L434"/>
      <x:c r="M434" t="n">
        <x:v>10</x:v>
      </x:c>
      <x:c r="N434"/>
      <x:c r="O434"/>
      <x:c r="P434"/>
      <x:c r="Q434"/>
      <x:c r="R434"/>
      <x:c r="S434" t="n">
        <x:v>10</x:v>
      </x:c>
      <x:c r="T434" t="n">
        <x:v>10</x:v>
      </x:c>
      <x:c r="U434" s="28" t="n">
        <x:f>T434</x:f>
        <x:v>10</x:v>
      </x:c>
      <x:c r="V434" s="32" t="n">
        <x:f>IF(AND(ISNUMBER(S434),ISNUMBER(U434)),ABS(S434-U434),IF(S434=U434,0,1))</x:f>
        <x:v>0</x:v>
      </x:c>
      <x:c r="W434" s="30" t="str">
        <x:v>PASS</x:v>
      </x:c>
      <x:c r="X434" s="28" t="str">
        <x:f>IF(V434&lt;=1E-9,"PASS","FAIL")</x:f>
        <x:v>PASS</x:v>
      </x:c>
      <x:c r="Y434" t="str">
        <x:v>tr.33–34</x:v>
      </x:c>
      <x:c r="Z434" t="str"/>
    </x:row>
    <x:row r="435">
      <x:c r="A435" t="str">
        <x:v>G0432</x:v>
      </x:c>
      <x:c r="B435" t="str">
        <x:v>Bảng 3</x:v>
      </x:c>
      <x:c r="C435" t="str">
        <x:v>clay:IL=0.7</x:v>
      </x:c>
      <x:c r="D435" t="str">
        <x:v>EXACT</x:v>
      </x:c>
      <x:c r="E435" t="str">
        <x:v>{"z":8,"IL":0.7}</x:v>
      </x:c>
      <x:c r="F435" t="str">
        <x:v>EXACT</x:v>
      </x:c>
      <x:c r="G435"/>
      <x:c r="H435"/>
      <x:c r="I435"/>
      <x:c r="J435"/>
      <x:c r="K435"/>
      <x:c r="L435"/>
      <x:c r="M435" t="n">
        <x:v>10</x:v>
      </x:c>
      <x:c r="N435"/>
      <x:c r="O435"/>
      <x:c r="P435"/>
      <x:c r="Q435"/>
      <x:c r="R435"/>
      <x:c r="S435" t="n">
        <x:v>10</x:v>
      </x:c>
      <x:c r="T435" t="n">
        <x:v>10</x:v>
      </x:c>
      <x:c r="U435" s="28" t="n">
        <x:f>T435</x:f>
        <x:v>10</x:v>
      </x:c>
      <x:c r="V435" s="32" t="n">
        <x:f>IF(AND(ISNUMBER(S435),ISNUMBER(U435)),ABS(S435-U435),IF(S435=U435,0,1))</x:f>
        <x:v>0</x:v>
      </x:c>
      <x:c r="W435" s="30" t="str">
        <x:v>PASS</x:v>
      </x:c>
      <x:c r="X435" s="28" t="str">
        <x:f>IF(V435&lt;=1E-9,"PASS","FAIL")</x:f>
        <x:v>PASS</x:v>
      </x:c>
      <x:c r="Y435" t="str">
        <x:v>tr.33–34</x:v>
      </x:c>
      <x:c r="Z435" t="str"/>
    </x:row>
    <x:row r="436">
      <x:c r="A436" t="str">
        <x:v>G0433</x:v>
      </x:c>
      <x:c r="B436" t="str">
        <x:v>Bảng 3</x:v>
      </x:c>
      <x:c r="C436" t="str">
        <x:v>clay:IL=0.7</x:v>
      </x:c>
      <x:c r="D436" t="str">
        <x:v>EXACT</x:v>
      </x:c>
      <x:c r="E436" t="str">
        <x:v>{"z":10,"IL":0.7}</x:v>
      </x:c>
      <x:c r="F436" t="str">
        <x:v>EXACT</x:v>
      </x:c>
      <x:c r="G436"/>
      <x:c r="H436"/>
      <x:c r="I436"/>
      <x:c r="J436"/>
      <x:c r="K436"/>
      <x:c r="L436"/>
      <x:c r="M436" t="n">
        <x:v>10</x:v>
      </x:c>
      <x:c r="N436"/>
      <x:c r="O436"/>
      <x:c r="P436"/>
      <x:c r="Q436"/>
      <x:c r="R436"/>
      <x:c r="S436" t="n">
        <x:v>10</x:v>
      </x:c>
      <x:c r="T436" t="n">
        <x:v>10</x:v>
      </x:c>
      <x:c r="U436" s="28" t="n">
        <x:f>T436</x:f>
        <x:v>10</x:v>
      </x:c>
      <x:c r="V436" s="32" t="n">
        <x:f>IF(AND(ISNUMBER(S436),ISNUMBER(U436)),ABS(S436-U436),IF(S436=U436,0,1))</x:f>
        <x:v>0</x:v>
      </x:c>
      <x:c r="W436" s="30" t="str">
        <x:v>PASS</x:v>
      </x:c>
      <x:c r="X436" s="28" t="str">
        <x:f>IF(V436&lt;=1E-9,"PASS","FAIL")</x:f>
        <x:v>PASS</x:v>
      </x:c>
      <x:c r="Y436" t="str">
        <x:v>tr.33–34</x:v>
      </x:c>
      <x:c r="Z436" t="str"/>
    </x:row>
    <x:row r="437">
      <x:c r="A437" t="str">
        <x:v>G0434</x:v>
      </x:c>
      <x:c r="B437" t="str">
        <x:v>Bảng 3</x:v>
      </x:c>
      <x:c r="C437" t="str">
        <x:v>clay:IL=0.7</x:v>
      </x:c>
      <x:c r="D437" t="str">
        <x:v>EXACT</x:v>
      </x:c>
      <x:c r="E437" t="str">
        <x:v>{"z":15,"IL":0.7}</x:v>
      </x:c>
      <x:c r="F437" t="str">
        <x:v>EXACT</x:v>
      </x:c>
      <x:c r="G437"/>
      <x:c r="H437"/>
      <x:c r="I437"/>
      <x:c r="J437"/>
      <x:c r="K437"/>
      <x:c r="L437"/>
      <x:c r="M437" t="n">
        <x:v>11</x:v>
      </x:c>
      <x:c r="N437"/>
      <x:c r="O437"/>
      <x:c r="P437"/>
      <x:c r="Q437"/>
      <x:c r="R437"/>
      <x:c r="S437" t="n">
        <x:v>11</x:v>
      </x:c>
      <x:c r="T437" t="n">
        <x:v>11</x:v>
      </x:c>
      <x:c r="U437" s="28" t="n">
        <x:f>T437</x:f>
        <x:v>11</x:v>
      </x:c>
      <x:c r="V437" s="32" t="n">
        <x:f>IF(AND(ISNUMBER(S437),ISNUMBER(U437)),ABS(S437-U437),IF(S437=U437,0,1))</x:f>
        <x:v>0</x:v>
      </x:c>
      <x:c r="W437" s="30" t="str">
        <x:v>PASS</x:v>
      </x:c>
      <x:c r="X437" s="28" t="str">
        <x:f>IF(V437&lt;=1E-9,"PASS","FAIL")</x:f>
        <x:v>PASS</x:v>
      </x:c>
      <x:c r="Y437" t="str">
        <x:v>tr.33–34</x:v>
      </x:c>
      <x:c r="Z437" t="str"/>
    </x:row>
    <x:row r="438">
      <x:c r="A438" t="str">
        <x:v>G0435</x:v>
      </x:c>
      <x:c r="B438" t="str">
        <x:v>Bảng 3</x:v>
      </x:c>
      <x:c r="C438" t="str">
        <x:v>clay:IL=0.7</x:v>
      </x:c>
      <x:c r="D438" t="str">
        <x:v>EXACT</x:v>
      </x:c>
      <x:c r="E438" t="str">
        <x:v>{"z":20,"IL":0.7}</x:v>
      </x:c>
      <x:c r="F438" t="str">
        <x:v>EXACT</x:v>
      </x:c>
      <x:c r="G438"/>
      <x:c r="H438"/>
      <x:c r="I438"/>
      <x:c r="J438"/>
      <x:c r="K438"/>
      <x:c r="L438"/>
      <x:c r="M438" t="n">
        <x:v>12</x:v>
      </x:c>
      <x:c r="N438"/>
      <x:c r="O438"/>
      <x:c r="P438"/>
      <x:c r="Q438"/>
      <x:c r="R438"/>
      <x:c r="S438" t="n">
        <x:v>12</x:v>
      </x:c>
      <x:c r="T438" t="n">
        <x:v>12</x:v>
      </x:c>
      <x:c r="U438" s="28" t="n">
        <x:f>T438</x:f>
        <x:v>12</x:v>
      </x:c>
      <x:c r="V438" s="32" t="n">
        <x:f>IF(AND(ISNUMBER(S438),ISNUMBER(U438)),ABS(S438-U438),IF(S438=U438,0,1))</x:f>
        <x:v>0</x:v>
      </x:c>
      <x:c r="W438" s="30" t="str">
        <x:v>PASS</x:v>
      </x:c>
      <x:c r="X438" s="28" t="str">
        <x:f>IF(V438&lt;=1E-9,"PASS","FAIL")</x:f>
        <x:v>PASS</x:v>
      </x:c>
      <x:c r="Y438" t="str">
        <x:v>tr.33–34</x:v>
      </x:c>
      <x:c r="Z438" t="str"/>
    </x:row>
    <x:row r="439">
      <x:c r="A439" t="str">
        <x:v>G0436</x:v>
      </x:c>
      <x:c r="B439" t="str">
        <x:v>Bảng 3</x:v>
      </x:c>
      <x:c r="C439" t="str">
        <x:v>clay:IL=0.7</x:v>
      </x:c>
      <x:c r="D439" t="str">
        <x:v>EXACT</x:v>
      </x:c>
      <x:c r="E439" t="str">
        <x:v>{"z":25,"IL":0.7}</x:v>
      </x:c>
      <x:c r="F439" t="str">
        <x:v>EXACT</x:v>
      </x:c>
      <x:c r="G439"/>
      <x:c r="H439"/>
      <x:c r="I439"/>
      <x:c r="J439"/>
      <x:c r="K439"/>
      <x:c r="L439"/>
      <x:c r="M439" t="n">
        <x:v>12</x:v>
      </x:c>
      <x:c r="N439"/>
      <x:c r="O439"/>
      <x:c r="P439"/>
      <x:c r="Q439"/>
      <x:c r="R439"/>
      <x:c r="S439" t="n">
        <x:v>12</x:v>
      </x:c>
      <x:c r="T439" t="n">
        <x:v>12</x:v>
      </x:c>
      <x:c r="U439" s="28" t="n">
        <x:f>T439</x:f>
        <x:v>12</x:v>
      </x:c>
      <x:c r="V439" s="32" t="n">
        <x:f>IF(AND(ISNUMBER(S439),ISNUMBER(U439)),ABS(S439-U439),IF(S439=U439,0,1))</x:f>
        <x:v>0</x:v>
      </x:c>
      <x:c r="W439" s="30" t="str">
        <x:v>PASS</x:v>
      </x:c>
      <x:c r="X439" s="28" t="str">
        <x:f>IF(V439&lt;=1E-9,"PASS","FAIL")</x:f>
        <x:v>PASS</x:v>
      </x:c>
      <x:c r="Y439" t="str">
        <x:v>tr.33–34</x:v>
      </x:c>
      <x:c r="Z439" t="str"/>
    </x:row>
    <x:row r="440">
      <x:c r="A440" t="str">
        <x:v>G0437</x:v>
      </x:c>
      <x:c r="B440" t="str">
        <x:v>Bảng 3</x:v>
      </x:c>
      <x:c r="C440" t="str">
        <x:v>clay:IL=0.7</x:v>
      </x:c>
      <x:c r="D440" t="str">
        <x:v>EXACT</x:v>
      </x:c>
      <x:c r="E440" t="str">
        <x:v>{"z":30,"IL":0.7}</x:v>
      </x:c>
      <x:c r="F440" t="str">
        <x:v>EXACT</x:v>
      </x:c>
      <x:c r="G440"/>
      <x:c r="H440"/>
      <x:c r="I440"/>
      <x:c r="J440"/>
      <x:c r="K440"/>
      <x:c r="L440"/>
      <x:c r="M440" t="n">
        <x:v>12</x:v>
      </x:c>
      <x:c r="N440"/>
      <x:c r="O440"/>
      <x:c r="P440"/>
      <x:c r="Q440"/>
      <x:c r="R440"/>
      <x:c r="S440" t="n">
        <x:v>12</x:v>
      </x:c>
      <x:c r="T440" t="n">
        <x:v>12</x:v>
      </x:c>
      <x:c r="U440" s="28" t="n">
        <x:f>T440</x:f>
        <x:v>12</x:v>
      </x:c>
      <x:c r="V440" s="32" t="n">
        <x:f>IF(AND(ISNUMBER(S440),ISNUMBER(U440)),ABS(S440-U440),IF(S440=U440,0,1))</x:f>
        <x:v>0</x:v>
      </x:c>
      <x:c r="W440" s="30" t="str">
        <x:v>PASS</x:v>
      </x:c>
      <x:c r="X440" s="28" t="str">
        <x:f>IF(V440&lt;=1E-9,"PASS","FAIL")</x:f>
        <x:v>PASS</x:v>
      </x:c>
      <x:c r="Y440" t="str">
        <x:v>tr.33–34</x:v>
      </x:c>
      <x:c r="Z440" t="str"/>
    </x:row>
    <x:row r="441">
      <x:c r="A441" t="str">
        <x:v>G0438</x:v>
      </x:c>
      <x:c r="B441" t="str">
        <x:v>Bảng 3</x:v>
      </x:c>
      <x:c r="C441" t="str">
        <x:v>clay:IL=0.7</x:v>
      </x:c>
      <x:c r="D441" t="str">
        <x:v>EXACT</x:v>
      </x:c>
      <x:c r="E441" t="str">
        <x:v>{"z":35,"IL":0.7}</x:v>
      </x:c>
      <x:c r="F441" t="str">
        <x:v>EXACT</x:v>
      </x:c>
      <x:c r="G441"/>
      <x:c r="H441"/>
      <x:c r="I441"/>
      <x:c r="J441"/>
      <x:c r="K441"/>
      <x:c r="L441"/>
      <x:c r="M441" t="n">
        <x:v>13</x:v>
      </x:c>
      <x:c r="N441"/>
      <x:c r="O441"/>
      <x:c r="P441"/>
      <x:c r="Q441"/>
      <x:c r="R441"/>
      <x:c r="S441" t="n">
        <x:v>13</x:v>
      </x:c>
      <x:c r="T441" t="n">
        <x:v>13</x:v>
      </x:c>
      <x:c r="U441" s="28" t="n">
        <x:f>T441</x:f>
        <x:v>13</x:v>
      </x:c>
      <x:c r="V441" s="32" t="n">
        <x:f>IF(AND(ISNUMBER(S441),ISNUMBER(U441)),ABS(S441-U441),IF(S441=U441,0,1))</x:f>
        <x:v>0</x:v>
      </x:c>
      <x:c r="W441" s="30" t="str">
        <x:v>PASS</x:v>
      </x:c>
      <x:c r="X441" s="28" t="str">
        <x:f>IF(V441&lt;=1E-9,"PASS","FAIL")</x:f>
        <x:v>PASS</x:v>
      </x:c>
      <x:c r="Y441" t="str">
        <x:v>tr.33–34</x:v>
      </x:c>
      <x:c r="Z441" t="str"/>
    </x:row>
    <x:row r="442">
      <x:c r="A442" t="str">
        <x:v>G0439</x:v>
      </x:c>
      <x:c r="B442" t="str">
        <x:v>Bảng 3</x:v>
      </x:c>
      <x:c r="C442" t="str">
        <x:v>clay:IL=0.7</x:v>
      </x:c>
      <x:c r="D442" t="str">
        <x:v>EXACT</x:v>
      </x:c>
      <x:c r="E442" t="str">
        <x:v>{"z":40,"IL":0.7}</x:v>
      </x:c>
      <x:c r="F442" t="str">
        <x:v>EXACT</x:v>
      </x:c>
      <x:c r="G442"/>
      <x:c r="H442"/>
      <x:c r="I442"/>
      <x:c r="J442"/>
      <x:c r="K442"/>
      <x:c r="L442"/>
      <x:c r="M442" t="n">
        <x:v>14</x:v>
      </x:c>
      <x:c r="N442"/>
      <x:c r="O442"/>
      <x:c r="P442"/>
      <x:c r="Q442"/>
      <x:c r="R442"/>
      <x:c r="S442" t="n">
        <x:v>14</x:v>
      </x:c>
      <x:c r="T442" t="n">
        <x:v>14</x:v>
      </x:c>
      <x:c r="U442" s="28" t="n">
        <x:f>T442</x:f>
        <x:v>14</x:v>
      </x:c>
      <x:c r="V442" s="32" t="n">
        <x:f>IF(AND(ISNUMBER(S442),ISNUMBER(U442)),ABS(S442-U442),IF(S442=U442,0,1))</x:f>
        <x:v>0</x:v>
      </x:c>
      <x:c r="W442" s="30" t="str">
        <x:v>PASS</x:v>
      </x:c>
      <x:c r="X442" s="28" t="str">
        <x:f>IF(V442&lt;=1E-9,"PASS","FAIL")</x:f>
        <x:v>PASS</x:v>
      </x:c>
      <x:c r="Y442" t="str">
        <x:v>tr.33–34</x:v>
      </x:c>
      <x:c r="Z442" t="str"/>
    </x:row>
    <x:row r="443">
      <x:c r="A443" t="str">
        <x:v>G0440</x:v>
      </x:c>
      <x:c r="B443" t="str">
        <x:v>Bảng 3</x:v>
      </x:c>
      <x:c r="C443" t="str">
        <x:v>clay:IL=0.8</x:v>
      </x:c>
      <x:c r="D443" t="str">
        <x:v>EXACT</x:v>
      </x:c>
      <x:c r="E443" t="str">
        <x:v>{"z":1,"IL":0.8}</x:v>
      </x:c>
      <x:c r="F443" t="str">
        <x:v>EXACT</x:v>
      </x:c>
      <x:c r="G443"/>
      <x:c r="H443"/>
      <x:c r="I443"/>
      <x:c r="J443"/>
      <x:c r="K443"/>
      <x:c r="L443"/>
      <x:c r="M443" t="n">
        <x:v>4</x:v>
      </x:c>
      <x:c r="N443"/>
      <x:c r="O443"/>
      <x:c r="P443"/>
      <x:c r="Q443"/>
      <x:c r="R443"/>
      <x:c r="S443" t="n">
        <x:v>4</x:v>
      </x:c>
      <x:c r="T443" t="n">
        <x:v>4</x:v>
      </x:c>
      <x:c r="U443" s="28" t="n">
        <x:f>T443</x:f>
        <x:v>4</x:v>
      </x:c>
      <x:c r="V443" s="32" t="n">
        <x:f>IF(AND(ISNUMBER(S443),ISNUMBER(U443)),ABS(S443-U443),IF(S443=U443,0,1))</x:f>
        <x:v>0</x:v>
      </x:c>
      <x:c r="W443" s="30" t="str">
        <x:v>PASS</x:v>
      </x:c>
      <x:c r="X443" s="28" t="str">
        <x:f>IF(V443&lt;=1E-9,"PASS","FAIL")</x:f>
        <x:v>PASS</x:v>
      </x:c>
      <x:c r="Y443" t="str">
        <x:v>tr.33–34</x:v>
      </x:c>
      <x:c r="Z443" t="str"/>
    </x:row>
    <x:row r="444">
      <x:c r="A444" t="str">
        <x:v>G0441</x:v>
      </x:c>
      <x:c r="B444" t="str">
        <x:v>Bảng 3</x:v>
      </x:c>
      <x:c r="C444" t="str">
        <x:v>clay:IL=0.8</x:v>
      </x:c>
      <x:c r="D444" t="str">
        <x:v>EXACT</x:v>
      </x:c>
      <x:c r="E444" t="str">
        <x:v>{"z":2,"IL":0.8}</x:v>
      </x:c>
      <x:c r="F444" t="str">
        <x:v>EXACT</x:v>
      </x:c>
      <x:c r="G444"/>
      <x:c r="H444"/>
      <x:c r="I444"/>
      <x:c r="J444"/>
      <x:c r="K444"/>
      <x:c r="L444"/>
      <x:c r="M444" t="n">
        <x:v>5</x:v>
      </x:c>
      <x:c r="N444"/>
      <x:c r="O444"/>
      <x:c r="P444"/>
      <x:c r="Q444"/>
      <x:c r="R444"/>
      <x:c r="S444" t="n">
        <x:v>5</x:v>
      </x:c>
      <x:c r="T444" t="n">
        <x:v>5</x:v>
      </x:c>
      <x:c r="U444" s="28" t="n">
        <x:f>T444</x:f>
        <x:v>5</x:v>
      </x:c>
      <x:c r="V444" s="32" t="n">
        <x:f>IF(AND(ISNUMBER(S444),ISNUMBER(U444)),ABS(S444-U444),IF(S444=U444,0,1))</x:f>
        <x:v>0</x:v>
      </x:c>
      <x:c r="W444" s="30" t="str">
        <x:v>PASS</x:v>
      </x:c>
      <x:c r="X444" s="28" t="str">
        <x:f>IF(V444&lt;=1E-9,"PASS","FAIL")</x:f>
        <x:v>PASS</x:v>
      </x:c>
      <x:c r="Y444" t="str">
        <x:v>tr.33–34</x:v>
      </x:c>
      <x:c r="Z444" t="str"/>
    </x:row>
    <x:row r="445">
      <x:c r="A445" t="str">
        <x:v>G0442</x:v>
      </x:c>
      <x:c r="B445" t="str">
        <x:v>Bảng 3</x:v>
      </x:c>
      <x:c r="C445" t="str">
        <x:v>clay:IL=0.8</x:v>
      </x:c>
      <x:c r="D445" t="str">
        <x:v>EXACT</x:v>
      </x:c>
      <x:c r="E445" t="str">
        <x:v>{"z":3,"IL":0.8}</x:v>
      </x:c>
      <x:c r="F445" t="str">
        <x:v>EXACT</x:v>
      </x:c>
      <x:c r="G445"/>
      <x:c r="H445"/>
      <x:c r="I445"/>
      <x:c r="J445"/>
      <x:c r="K445"/>
      <x:c r="L445"/>
      <x:c r="M445" t="n">
        <x:v>7</x:v>
      </x:c>
      <x:c r="N445"/>
      <x:c r="O445"/>
      <x:c r="P445"/>
      <x:c r="Q445"/>
      <x:c r="R445"/>
      <x:c r="S445" t="n">
        <x:v>7</x:v>
      </x:c>
      <x:c r="T445" t="n">
        <x:v>7</x:v>
      </x:c>
      <x:c r="U445" s="28" t="n">
        <x:f>T445</x:f>
        <x:v>7</x:v>
      </x:c>
      <x:c r="V445" s="32" t="n">
        <x:f>IF(AND(ISNUMBER(S445),ISNUMBER(U445)),ABS(S445-U445),IF(S445=U445,0,1))</x:f>
        <x:v>0</x:v>
      </x:c>
      <x:c r="W445" s="30" t="str">
        <x:v>PASS</x:v>
      </x:c>
      <x:c r="X445" s="28" t="str">
        <x:f>IF(V445&lt;=1E-9,"PASS","FAIL")</x:f>
        <x:v>PASS</x:v>
      </x:c>
      <x:c r="Y445" t="str">
        <x:v>tr.33–34</x:v>
      </x:c>
      <x:c r="Z445" t="str"/>
    </x:row>
    <x:row r="446">
      <x:c r="A446" t="str">
        <x:v>G0443</x:v>
      </x:c>
      <x:c r="B446" t="str">
        <x:v>Bảng 3</x:v>
      </x:c>
      <x:c r="C446" t="str">
        <x:v>clay:IL=0.8</x:v>
      </x:c>
      <x:c r="D446" t="str">
        <x:v>EXACT</x:v>
      </x:c>
      <x:c r="E446" t="str">
        <x:v>{"z":4,"IL":0.8}</x:v>
      </x:c>
      <x:c r="F446" t="str">
        <x:v>EXACT</x:v>
      </x:c>
      <x:c r="G446"/>
      <x:c r="H446"/>
      <x:c r="I446"/>
      <x:c r="J446"/>
      <x:c r="K446"/>
      <x:c r="L446"/>
      <x:c r="M446" t="n">
        <x:v>8</x:v>
      </x:c>
      <x:c r="N446"/>
      <x:c r="O446"/>
      <x:c r="P446"/>
      <x:c r="Q446"/>
      <x:c r="R446"/>
      <x:c r="S446" t="n">
        <x:v>8</x:v>
      </x:c>
      <x:c r="T446" t="n">
        <x:v>8</x:v>
      </x:c>
      <x:c r="U446" s="28" t="n">
        <x:f>T446</x:f>
        <x:v>8</x:v>
      </x:c>
      <x:c r="V446" s="32" t="n">
        <x:f>IF(AND(ISNUMBER(S446),ISNUMBER(U446)),ABS(S446-U446),IF(S446=U446,0,1))</x:f>
        <x:v>0</x:v>
      </x:c>
      <x:c r="W446" s="30" t="str">
        <x:v>PASS</x:v>
      </x:c>
      <x:c r="X446" s="28" t="str">
        <x:f>IF(V446&lt;=1E-9,"PASS","FAIL")</x:f>
        <x:v>PASS</x:v>
      </x:c>
      <x:c r="Y446" t="str">
        <x:v>tr.33–34</x:v>
      </x:c>
      <x:c r="Z446" t="str"/>
    </x:row>
    <x:row r="447">
      <x:c r="A447" t="str">
        <x:v>G0444</x:v>
      </x:c>
      <x:c r="B447" t="str">
        <x:v>Bảng 3</x:v>
      </x:c>
      <x:c r="C447" t="str">
        <x:v>clay:IL=0.8</x:v>
      </x:c>
      <x:c r="D447" t="str">
        <x:v>EXACT</x:v>
      </x:c>
      <x:c r="E447" t="str">
        <x:v>{"z":5,"IL":0.8}</x:v>
      </x:c>
      <x:c r="F447" t="str">
        <x:v>EXACT</x:v>
      </x:c>
      <x:c r="G447"/>
      <x:c r="H447"/>
      <x:c r="I447"/>
      <x:c r="J447"/>
      <x:c r="K447"/>
      <x:c r="L447"/>
      <x:c r="M447" t="n">
        <x:v>8</x:v>
      </x:c>
      <x:c r="N447"/>
      <x:c r="O447"/>
      <x:c r="P447"/>
      <x:c r="Q447"/>
      <x:c r="R447"/>
      <x:c r="S447" t="n">
        <x:v>8</x:v>
      </x:c>
      <x:c r="T447" t="n">
        <x:v>8</x:v>
      </x:c>
      <x:c r="U447" s="28" t="n">
        <x:f>T447</x:f>
        <x:v>8</x:v>
      </x:c>
      <x:c r="V447" s="32" t="n">
        <x:f>IF(AND(ISNUMBER(S447),ISNUMBER(U447)),ABS(S447-U447),IF(S447=U447,0,1))</x:f>
        <x:v>0</x:v>
      </x:c>
      <x:c r="W447" s="30" t="str">
        <x:v>PASS</x:v>
      </x:c>
      <x:c r="X447" s="28" t="str">
        <x:f>IF(V447&lt;=1E-9,"PASS","FAIL")</x:f>
        <x:v>PASS</x:v>
      </x:c>
      <x:c r="Y447" t="str">
        <x:v>tr.33–34</x:v>
      </x:c>
      <x:c r="Z447" t="str"/>
    </x:row>
    <x:row r="448">
      <x:c r="A448" t="str">
        <x:v>G0445</x:v>
      </x:c>
      <x:c r="B448" t="str">
        <x:v>Bảng 3</x:v>
      </x:c>
      <x:c r="C448" t="str">
        <x:v>clay:IL=0.8</x:v>
      </x:c>
      <x:c r="D448" t="str">
        <x:v>EXACT</x:v>
      </x:c>
      <x:c r="E448" t="str">
        <x:v>{"z":6,"IL":0.8}</x:v>
      </x:c>
      <x:c r="F448" t="str">
        <x:v>EXACT</x:v>
      </x:c>
      <x:c r="G448"/>
      <x:c r="H448"/>
      <x:c r="I448"/>
      <x:c r="J448"/>
      <x:c r="K448"/>
      <x:c r="L448"/>
      <x:c r="M448" t="n">
        <x:v>8</x:v>
      </x:c>
      <x:c r="N448"/>
      <x:c r="O448"/>
      <x:c r="P448"/>
      <x:c r="Q448"/>
      <x:c r="R448"/>
      <x:c r="S448" t="n">
        <x:v>8</x:v>
      </x:c>
      <x:c r="T448" t="n">
        <x:v>8</x:v>
      </x:c>
      <x:c r="U448" s="28" t="n">
        <x:f>T448</x:f>
        <x:v>8</x:v>
      </x:c>
      <x:c r="V448" s="32" t="n">
        <x:f>IF(AND(ISNUMBER(S448),ISNUMBER(U448)),ABS(S448-U448),IF(S448=U448,0,1))</x:f>
        <x:v>0</x:v>
      </x:c>
      <x:c r="W448" s="30" t="str">
        <x:v>PASS</x:v>
      </x:c>
      <x:c r="X448" s="28" t="str">
        <x:f>IF(V448&lt;=1E-9,"PASS","FAIL")</x:f>
        <x:v>PASS</x:v>
      </x:c>
      <x:c r="Y448" t="str">
        <x:v>tr.33–34</x:v>
      </x:c>
      <x:c r="Z448" t="str"/>
    </x:row>
    <x:row r="449">
      <x:c r="A449" t="str">
        <x:v>G0446</x:v>
      </x:c>
      <x:c r="B449" t="str">
        <x:v>Bảng 3</x:v>
      </x:c>
      <x:c r="C449" t="str">
        <x:v>clay:IL=0.8</x:v>
      </x:c>
      <x:c r="D449" t="str">
        <x:v>EXACT</x:v>
      </x:c>
      <x:c r="E449" t="str">
        <x:v>{"z":8,"IL":0.8}</x:v>
      </x:c>
      <x:c r="F449" t="str">
        <x:v>EXACT</x:v>
      </x:c>
      <x:c r="G449"/>
      <x:c r="H449"/>
      <x:c r="I449"/>
      <x:c r="J449"/>
      <x:c r="K449"/>
      <x:c r="L449"/>
      <x:c r="M449" t="n">
        <x:v>8</x:v>
      </x:c>
      <x:c r="N449"/>
      <x:c r="O449"/>
      <x:c r="P449"/>
      <x:c r="Q449"/>
      <x:c r="R449"/>
      <x:c r="S449" t="n">
        <x:v>8</x:v>
      </x:c>
      <x:c r="T449" t="n">
        <x:v>8</x:v>
      </x:c>
      <x:c r="U449" s="28" t="n">
        <x:f>T449</x:f>
        <x:v>8</x:v>
      </x:c>
      <x:c r="V449" s="32" t="n">
        <x:f>IF(AND(ISNUMBER(S449),ISNUMBER(U449)),ABS(S449-U449),IF(S449=U449,0,1))</x:f>
        <x:v>0</x:v>
      </x:c>
      <x:c r="W449" s="30" t="str">
        <x:v>PASS</x:v>
      </x:c>
      <x:c r="X449" s="28" t="str">
        <x:f>IF(V449&lt;=1E-9,"PASS","FAIL")</x:f>
        <x:v>PASS</x:v>
      </x:c>
      <x:c r="Y449" t="str">
        <x:v>tr.33–34</x:v>
      </x:c>
      <x:c r="Z449" t="str"/>
    </x:row>
    <x:row r="450">
      <x:c r="A450" t="str">
        <x:v>G0447</x:v>
      </x:c>
      <x:c r="B450" t="str">
        <x:v>Bảng 3</x:v>
      </x:c>
      <x:c r="C450" t="str">
        <x:v>clay:IL=0.8</x:v>
      </x:c>
      <x:c r="D450" t="str">
        <x:v>EXACT</x:v>
      </x:c>
      <x:c r="E450" t="str">
        <x:v>{"z":10,"IL":0.8}</x:v>
      </x:c>
      <x:c r="F450" t="str">
        <x:v>EXACT</x:v>
      </x:c>
      <x:c r="G450"/>
      <x:c r="H450"/>
      <x:c r="I450"/>
      <x:c r="J450"/>
      <x:c r="K450"/>
      <x:c r="L450"/>
      <x:c r="M450" t="n">
        <x:v>8</x:v>
      </x:c>
      <x:c r="N450"/>
      <x:c r="O450"/>
      <x:c r="P450"/>
      <x:c r="Q450"/>
      <x:c r="R450"/>
      <x:c r="S450" t="n">
        <x:v>8</x:v>
      </x:c>
      <x:c r="T450" t="n">
        <x:v>8</x:v>
      </x:c>
      <x:c r="U450" s="28" t="n">
        <x:f>T450</x:f>
        <x:v>8</x:v>
      </x:c>
      <x:c r="V450" s="32" t="n">
        <x:f>IF(AND(ISNUMBER(S450),ISNUMBER(U450)),ABS(S450-U450),IF(S450=U450,0,1))</x:f>
        <x:v>0</x:v>
      </x:c>
      <x:c r="W450" s="30" t="str">
        <x:v>PASS</x:v>
      </x:c>
      <x:c r="X450" s="28" t="str">
        <x:f>IF(V450&lt;=1E-9,"PASS","FAIL")</x:f>
        <x:v>PASS</x:v>
      </x:c>
      <x:c r="Y450" t="str">
        <x:v>tr.33–34</x:v>
      </x:c>
      <x:c r="Z450" t="str"/>
    </x:row>
    <x:row r="451">
      <x:c r="A451" t="str">
        <x:v>G0448</x:v>
      </x:c>
      <x:c r="B451" t="str">
        <x:v>Bảng 3</x:v>
      </x:c>
      <x:c r="C451" t="str">
        <x:v>clay:IL=0.8</x:v>
      </x:c>
      <x:c r="D451" t="str">
        <x:v>EXACT</x:v>
      </x:c>
      <x:c r="E451" t="str">
        <x:v>{"z":15,"IL":0.8}</x:v>
      </x:c>
      <x:c r="F451" t="str">
        <x:v>EXACT</x:v>
      </x:c>
      <x:c r="G451"/>
      <x:c r="H451"/>
      <x:c r="I451"/>
      <x:c r="J451"/>
      <x:c r="K451"/>
      <x:c r="L451"/>
      <x:c r="M451" t="n">
        <x:v>8</x:v>
      </x:c>
      <x:c r="N451"/>
      <x:c r="O451"/>
      <x:c r="P451"/>
      <x:c r="Q451"/>
      <x:c r="R451"/>
      <x:c r="S451" t="n">
        <x:v>8</x:v>
      </x:c>
      <x:c r="T451" t="n">
        <x:v>8</x:v>
      </x:c>
      <x:c r="U451" s="28" t="n">
        <x:f>T451</x:f>
        <x:v>8</x:v>
      </x:c>
      <x:c r="V451" s="32" t="n">
        <x:f>IF(AND(ISNUMBER(S451),ISNUMBER(U451)),ABS(S451-U451),IF(S451=U451,0,1))</x:f>
        <x:v>0</x:v>
      </x:c>
      <x:c r="W451" s="30" t="str">
        <x:v>PASS</x:v>
      </x:c>
      <x:c r="X451" s="28" t="str">
        <x:f>IF(V451&lt;=1E-9,"PASS","FAIL")</x:f>
        <x:v>PASS</x:v>
      </x:c>
      <x:c r="Y451" t="str">
        <x:v>tr.33–34</x:v>
      </x:c>
      <x:c r="Z451" t="str"/>
    </x:row>
    <x:row r="452">
      <x:c r="A452" t="str">
        <x:v>G0449</x:v>
      </x:c>
      <x:c r="B452" t="str">
        <x:v>Bảng 3</x:v>
      </x:c>
      <x:c r="C452" t="str">
        <x:v>clay:IL=0.8</x:v>
      </x:c>
      <x:c r="D452" t="str">
        <x:v>EXACT</x:v>
      </x:c>
      <x:c r="E452" t="str">
        <x:v>{"z":20,"IL":0.8}</x:v>
      </x:c>
      <x:c r="F452" t="str">
        <x:v>EXACT</x:v>
      </x:c>
      <x:c r="G452"/>
      <x:c r="H452"/>
      <x:c r="I452"/>
      <x:c r="J452"/>
      <x:c r="K452"/>
      <x:c r="L452"/>
      <x:c r="M452" t="n">
        <x:v>8</x:v>
      </x:c>
      <x:c r="N452"/>
      <x:c r="O452"/>
      <x:c r="P452"/>
      <x:c r="Q452"/>
      <x:c r="R452"/>
      <x:c r="S452" t="n">
        <x:v>8</x:v>
      </x:c>
      <x:c r="T452" t="n">
        <x:v>8</x:v>
      </x:c>
      <x:c r="U452" s="28" t="n">
        <x:f>T452</x:f>
        <x:v>8</x:v>
      </x:c>
      <x:c r="V452" s="32" t="n">
        <x:f>IF(AND(ISNUMBER(S452),ISNUMBER(U452)),ABS(S452-U452),IF(S452=U452,0,1))</x:f>
        <x:v>0</x:v>
      </x:c>
      <x:c r="W452" s="30" t="str">
        <x:v>PASS</x:v>
      </x:c>
      <x:c r="X452" s="28" t="str">
        <x:f>IF(V452&lt;=1E-9,"PASS","FAIL")</x:f>
        <x:v>PASS</x:v>
      </x:c>
      <x:c r="Y452" t="str">
        <x:v>tr.33–34</x:v>
      </x:c>
      <x:c r="Z452" t="str"/>
    </x:row>
    <x:row r="453">
      <x:c r="A453" t="str">
        <x:v>G0450</x:v>
      </x:c>
      <x:c r="B453" t="str">
        <x:v>Bảng 3</x:v>
      </x:c>
      <x:c r="C453" t="str">
        <x:v>clay:IL=0.8</x:v>
      </x:c>
      <x:c r="D453" t="str">
        <x:v>EXACT</x:v>
      </x:c>
      <x:c r="E453" t="str">
        <x:v>{"z":25,"IL":0.8}</x:v>
      </x:c>
      <x:c r="F453" t="str">
        <x:v>EXACT</x:v>
      </x:c>
      <x:c r="G453"/>
      <x:c r="H453"/>
      <x:c r="I453"/>
      <x:c r="J453"/>
      <x:c r="K453"/>
      <x:c r="L453"/>
      <x:c r="M453" t="n">
        <x:v>8</x:v>
      </x:c>
      <x:c r="N453"/>
      <x:c r="O453"/>
      <x:c r="P453"/>
      <x:c r="Q453"/>
      <x:c r="R453"/>
      <x:c r="S453" t="n">
        <x:v>8</x:v>
      </x:c>
      <x:c r="T453" t="n">
        <x:v>8</x:v>
      </x:c>
      <x:c r="U453" s="28" t="n">
        <x:f>T453</x:f>
        <x:v>8</x:v>
      </x:c>
      <x:c r="V453" s="32" t="n">
        <x:f>IF(AND(ISNUMBER(S453),ISNUMBER(U453)),ABS(S453-U453),IF(S453=U453,0,1))</x:f>
        <x:v>0</x:v>
      </x:c>
      <x:c r="W453" s="30" t="str">
        <x:v>PASS</x:v>
      </x:c>
      <x:c r="X453" s="28" t="str">
        <x:f>IF(V453&lt;=1E-9,"PASS","FAIL")</x:f>
        <x:v>PASS</x:v>
      </x:c>
      <x:c r="Y453" t="str">
        <x:v>tr.33–34</x:v>
      </x:c>
      <x:c r="Z453" t="str"/>
    </x:row>
    <x:row r="454">
      <x:c r="A454" t="str">
        <x:v>G0451</x:v>
      </x:c>
      <x:c r="B454" t="str">
        <x:v>Bảng 3</x:v>
      </x:c>
      <x:c r="C454" t="str">
        <x:v>clay:IL=0.8</x:v>
      </x:c>
      <x:c r="D454" t="str">
        <x:v>EXACT</x:v>
      </x:c>
      <x:c r="E454" t="str">
        <x:v>{"z":30,"IL":0.8}</x:v>
      </x:c>
      <x:c r="F454" t="str">
        <x:v>EXACT</x:v>
      </x:c>
      <x:c r="G454"/>
      <x:c r="H454"/>
      <x:c r="I454"/>
      <x:c r="J454"/>
      <x:c r="K454"/>
      <x:c r="L454"/>
      <x:c r="M454" t="n">
        <x:v>9</x:v>
      </x:c>
      <x:c r="N454"/>
      <x:c r="O454"/>
      <x:c r="P454"/>
      <x:c r="Q454"/>
      <x:c r="R454"/>
      <x:c r="S454" t="n">
        <x:v>9</x:v>
      </x:c>
      <x:c r="T454" t="n">
        <x:v>9</x:v>
      </x:c>
      <x:c r="U454" s="28" t="n">
        <x:f>T454</x:f>
        <x:v>9</x:v>
      </x:c>
      <x:c r="V454" s="32" t="n">
        <x:f>IF(AND(ISNUMBER(S454),ISNUMBER(U454)),ABS(S454-U454),IF(S454=U454,0,1))</x:f>
        <x:v>0</x:v>
      </x:c>
      <x:c r="W454" s="30" t="str">
        <x:v>PASS</x:v>
      </x:c>
      <x:c r="X454" s="28" t="str">
        <x:f>IF(V454&lt;=1E-9,"PASS","FAIL")</x:f>
        <x:v>PASS</x:v>
      </x:c>
      <x:c r="Y454" t="str">
        <x:v>tr.33–34</x:v>
      </x:c>
      <x:c r="Z454" t="str"/>
    </x:row>
    <x:row r="455">
      <x:c r="A455" t="str">
        <x:v>G0452</x:v>
      </x:c>
      <x:c r="B455" t="str">
        <x:v>Bảng 3</x:v>
      </x:c>
      <x:c r="C455" t="str">
        <x:v>clay:IL=0.8</x:v>
      </x:c>
      <x:c r="D455" t="str">
        <x:v>EXACT</x:v>
      </x:c>
      <x:c r="E455" t="str">
        <x:v>{"z":35,"IL":0.8}</x:v>
      </x:c>
      <x:c r="F455" t="str">
        <x:v>EXACT</x:v>
      </x:c>
      <x:c r="G455"/>
      <x:c r="H455"/>
      <x:c r="I455"/>
      <x:c r="J455"/>
      <x:c r="K455"/>
      <x:c r="L455"/>
      <x:c r="M455" t="n">
        <x:v>9</x:v>
      </x:c>
      <x:c r="N455"/>
      <x:c r="O455"/>
      <x:c r="P455"/>
      <x:c r="Q455"/>
      <x:c r="R455"/>
      <x:c r="S455" t="n">
        <x:v>9</x:v>
      </x:c>
      <x:c r="T455" t="n">
        <x:v>9</x:v>
      </x:c>
      <x:c r="U455" s="28" t="n">
        <x:f>T455</x:f>
        <x:v>9</x:v>
      </x:c>
      <x:c r="V455" s="32" t="n">
        <x:f>IF(AND(ISNUMBER(S455),ISNUMBER(U455)),ABS(S455-U455),IF(S455=U455,0,1))</x:f>
        <x:v>0</x:v>
      </x:c>
      <x:c r="W455" s="30" t="str">
        <x:v>PASS</x:v>
      </x:c>
      <x:c r="X455" s="28" t="str">
        <x:f>IF(V455&lt;=1E-9,"PASS","FAIL")</x:f>
        <x:v>PASS</x:v>
      </x:c>
      <x:c r="Y455" t="str">
        <x:v>tr.33–34</x:v>
      </x:c>
      <x:c r="Z455" t="str"/>
    </x:row>
    <x:row r="456">
      <x:c r="A456" t="str">
        <x:v>G0453</x:v>
      </x:c>
      <x:c r="B456" t="str">
        <x:v>Bảng 3</x:v>
      </x:c>
      <x:c r="C456" t="str">
        <x:v>clay:IL=0.8</x:v>
      </x:c>
      <x:c r="D456" t="str">
        <x:v>EXACT</x:v>
      </x:c>
      <x:c r="E456" t="str">
        <x:v>{"z":40,"IL":0.8}</x:v>
      </x:c>
      <x:c r="F456" t="str">
        <x:v>EXACT</x:v>
      </x:c>
      <x:c r="G456"/>
      <x:c r="H456"/>
      <x:c r="I456"/>
      <x:c r="J456"/>
      <x:c r="K456"/>
      <x:c r="L456"/>
      <x:c r="M456" t="n">
        <x:v>9</x:v>
      </x:c>
      <x:c r="N456"/>
      <x:c r="O456"/>
      <x:c r="P456"/>
      <x:c r="Q456"/>
      <x:c r="R456"/>
      <x:c r="S456" t="n">
        <x:v>9</x:v>
      </x:c>
      <x:c r="T456" t="n">
        <x:v>9</x:v>
      </x:c>
      <x:c r="U456" s="28" t="n">
        <x:f>T456</x:f>
        <x:v>9</x:v>
      </x:c>
      <x:c r="V456" s="32" t="n">
        <x:f>IF(AND(ISNUMBER(S456),ISNUMBER(U456)),ABS(S456-U456),IF(S456=U456,0,1))</x:f>
        <x:v>0</x:v>
      </x:c>
      <x:c r="W456" s="30" t="str">
        <x:v>PASS</x:v>
      </x:c>
      <x:c r="X456" s="28" t="str">
        <x:f>IF(V456&lt;=1E-9,"PASS","FAIL")</x:f>
        <x:v>PASS</x:v>
      </x:c>
      <x:c r="Y456" t="str">
        <x:v>tr.33–34</x:v>
      </x:c>
      <x:c r="Z456" t="str"/>
    </x:row>
    <x:row r="457">
      <x:c r="A457" t="str">
        <x:v>G0454</x:v>
      </x:c>
      <x:c r="B457" t="str">
        <x:v>Bảng 3</x:v>
      </x:c>
      <x:c r="C457" t="str">
        <x:v>clay:IL=0.9</x:v>
      </x:c>
      <x:c r="D457" t="str">
        <x:v>EXACT</x:v>
      </x:c>
      <x:c r="E457" t="str">
        <x:v>{"z":1,"IL":0.9}</x:v>
      </x:c>
      <x:c r="F457" t="str">
        <x:v>EXACT</x:v>
      </x:c>
      <x:c r="G457"/>
      <x:c r="H457"/>
      <x:c r="I457"/>
      <x:c r="J457"/>
      <x:c r="K457"/>
      <x:c r="L457"/>
      <x:c r="M457" t="n">
        <x:v>3</x:v>
      </x:c>
      <x:c r="N457"/>
      <x:c r="O457"/>
      <x:c r="P457"/>
      <x:c r="Q457"/>
      <x:c r="R457"/>
      <x:c r="S457" t="n">
        <x:v>3</x:v>
      </x:c>
      <x:c r="T457" t="n">
        <x:v>3</x:v>
      </x:c>
      <x:c r="U457" s="28" t="n">
        <x:f>T457</x:f>
        <x:v>3</x:v>
      </x:c>
      <x:c r="V457" s="32" t="n">
        <x:f>IF(AND(ISNUMBER(S457),ISNUMBER(U457)),ABS(S457-U457),IF(S457=U457,0,1))</x:f>
        <x:v>0</x:v>
      </x:c>
      <x:c r="W457" s="30" t="str">
        <x:v>PASS</x:v>
      </x:c>
      <x:c r="X457" s="28" t="str">
        <x:f>IF(V457&lt;=1E-9,"PASS","FAIL")</x:f>
        <x:v>PASS</x:v>
      </x:c>
      <x:c r="Y457" t="str">
        <x:v>tr.33–34</x:v>
      </x:c>
      <x:c r="Z457" t="str"/>
    </x:row>
    <x:row r="458">
      <x:c r="A458" t="str">
        <x:v>G0455</x:v>
      </x:c>
      <x:c r="B458" t="str">
        <x:v>Bảng 3</x:v>
      </x:c>
      <x:c r="C458" t="str">
        <x:v>clay:IL=0.9</x:v>
      </x:c>
      <x:c r="D458" t="str">
        <x:v>EXACT</x:v>
      </x:c>
      <x:c r="E458" t="str">
        <x:v>{"z":2,"IL":0.9}</x:v>
      </x:c>
      <x:c r="F458" t="str">
        <x:v>EXACT</x:v>
      </x:c>
      <x:c r="G458"/>
      <x:c r="H458"/>
      <x:c r="I458"/>
      <x:c r="J458"/>
      <x:c r="K458"/>
      <x:c r="L458"/>
      <x:c r="M458" t="n">
        <x:v>4</x:v>
      </x:c>
      <x:c r="N458"/>
      <x:c r="O458"/>
      <x:c r="P458"/>
      <x:c r="Q458"/>
      <x:c r="R458"/>
      <x:c r="S458" t="n">
        <x:v>4</x:v>
      </x:c>
      <x:c r="T458" t="n">
        <x:v>4</x:v>
      </x:c>
      <x:c r="U458" s="28" t="n">
        <x:f>T458</x:f>
        <x:v>4</x:v>
      </x:c>
      <x:c r="V458" s="32" t="n">
        <x:f>IF(AND(ISNUMBER(S458),ISNUMBER(U458)),ABS(S458-U458),IF(S458=U458,0,1))</x:f>
        <x:v>0</x:v>
      </x:c>
      <x:c r="W458" s="30" t="str">
        <x:v>PASS</x:v>
      </x:c>
      <x:c r="X458" s="28" t="str">
        <x:f>IF(V458&lt;=1E-9,"PASS","FAIL")</x:f>
        <x:v>PASS</x:v>
      </x:c>
      <x:c r="Y458" t="str">
        <x:v>tr.33–34</x:v>
      </x:c>
      <x:c r="Z458" t="str"/>
    </x:row>
    <x:row r="459">
      <x:c r="A459" t="str">
        <x:v>G0456</x:v>
      </x:c>
      <x:c r="B459" t="str">
        <x:v>Bảng 3</x:v>
      </x:c>
      <x:c r="C459" t="str">
        <x:v>clay:IL=0.9</x:v>
      </x:c>
      <x:c r="D459" t="str">
        <x:v>EXACT</x:v>
      </x:c>
      <x:c r="E459" t="str">
        <x:v>{"z":3,"IL":0.9}</x:v>
      </x:c>
      <x:c r="F459" t="str">
        <x:v>EXACT</x:v>
      </x:c>
      <x:c r="G459"/>
      <x:c r="H459"/>
      <x:c r="I459"/>
      <x:c r="J459"/>
      <x:c r="K459"/>
      <x:c r="L459"/>
      <x:c r="M459" t="n">
        <x:v>6</x:v>
      </x:c>
      <x:c r="N459"/>
      <x:c r="O459"/>
      <x:c r="P459"/>
      <x:c r="Q459"/>
      <x:c r="R459"/>
      <x:c r="S459" t="n">
        <x:v>6</x:v>
      </x:c>
      <x:c r="T459" t="n">
        <x:v>6</x:v>
      </x:c>
      <x:c r="U459" s="28" t="n">
        <x:f>T459</x:f>
        <x:v>6</x:v>
      </x:c>
      <x:c r="V459" s="32" t="n">
        <x:f>IF(AND(ISNUMBER(S459),ISNUMBER(U459)),ABS(S459-U459),IF(S459=U459,0,1))</x:f>
        <x:v>0</x:v>
      </x:c>
      <x:c r="W459" s="30" t="str">
        <x:v>PASS</x:v>
      </x:c>
      <x:c r="X459" s="28" t="str">
        <x:f>IF(V459&lt;=1E-9,"PASS","FAIL")</x:f>
        <x:v>PASS</x:v>
      </x:c>
      <x:c r="Y459" t="str">
        <x:v>tr.33–34</x:v>
      </x:c>
      <x:c r="Z459" t="str"/>
    </x:row>
    <x:row r="460">
      <x:c r="A460" t="str">
        <x:v>G0457</x:v>
      </x:c>
      <x:c r="B460" t="str">
        <x:v>Bảng 3</x:v>
      </x:c>
      <x:c r="C460" t="str">
        <x:v>clay:IL=0.9</x:v>
      </x:c>
      <x:c r="D460" t="str">
        <x:v>EXACT</x:v>
      </x:c>
      <x:c r="E460" t="str">
        <x:v>{"z":4,"IL":0.9}</x:v>
      </x:c>
      <x:c r="F460" t="str">
        <x:v>EXACT</x:v>
      </x:c>
      <x:c r="G460"/>
      <x:c r="H460"/>
      <x:c r="I460"/>
      <x:c r="J460"/>
      <x:c r="K460"/>
      <x:c r="L460"/>
      <x:c r="M460" t="n">
        <x:v>7</x:v>
      </x:c>
      <x:c r="N460"/>
      <x:c r="O460"/>
      <x:c r="P460"/>
      <x:c r="Q460"/>
      <x:c r="R460"/>
      <x:c r="S460" t="n">
        <x:v>7</x:v>
      </x:c>
      <x:c r="T460" t="n">
        <x:v>7</x:v>
      </x:c>
      <x:c r="U460" s="28" t="n">
        <x:f>T460</x:f>
        <x:v>7</x:v>
      </x:c>
      <x:c r="V460" s="32" t="n">
        <x:f>IF(AND(ISNUMBER(S460),ISNUMBER(U460)),ABS(S460-U460),IF(S460=U460,0,1))</x:f>
        <x:v>0</x:v>
      </x:c>
      <x:c r="W460" s="30" t="str">
        <x:v>PASS</x:v>
      </x:c>
      <x:c r="X460" s="28" t="str">
        <x:f>IF(V460&lt;=1E-9,"PASS","FAIL")</x:f>
        <x:v>PASS</x:v>
      </x:c>
      <x:c r="Y460" t="str">
        <x:v>tr.33–34</x:v>
      </x:c>
      <x:c r="Z460" t="str"/>
    </x:row>
    <x:row r="461">
      <x:c r="A461" t="str">
        <x:v>G0458</x:v>
      </x:c>
      <x:c r="B461" t="str">
        <x:v>Bảng 3</x:v>
      </x:c>
      <x:c r="C461" t="str">
        <x:v>clay:IL=0.9</x:v>
      </x:c>
      <x:c r="D461" t="str">
        <x:v>EXACT</x:v>
      </x:c>
      <x:c r="E461" t="str">
        <x:v>{"z":5,"IL":0.9}</x:v>
      </x:c>
      <x:c r="F461" t="str">
        <x:v>EXACT</x:v>
      </x:c>
      <x:c r="G461"/>
      <x:c r="H461"/>
      <x:c r="I461"/>
      <x:c r="J461"/>
      <x:c r="K461"/>
      <x:c r="L461"/>
      <x:c r="M461" t="n">
        <x:v>7</x:v>
      </x:c>
      <x:c r="N461"/>
      <x:c r="O461"/>
      <x:c r="P461"/>
      <x:c r="Q461"/>
      <x:c r="R461"/>
      <x:c r="S461" t="n">
        <x:v>7</x:v>
      </x:c>
      <x:c r="T461" t="n">
        <x:v>7</x:v>
      </x:c>
      <x:c r="U461" s="28" t="n">
        <x:f>T461</x:f>
        <x:v>7</x:v>
      </x:c>
      <x:c r="V461" s="32" t="n">
        <x:f>IF(AND(ISNUMBER(S461),ISNUMBER(U461)),ABS(S461-U461),IF(S461=U461,0,1))</x:f>
        <x:v>0</x:v>
      </x:c>
      <x:c r="W461" s="30" t="str">
        <x:v>PASS</x:v>
      </x:c>
      <x:c r="X461" s="28" t="str">
        <x:f>IF(V461&lt;=1E-9,"PASS","FAIL")</x:f>
        <x:v>PASS</x:v>
      </x:c>
      <x:c r="Y461" t="str">
        <x:v>tr.33–34</x:v>
      </x:c>
      <x:c r="Z461" t="str"/>
    </x:row>
    <x:row r="462">
      <x:c r="A462" t="str">
        <x:v>G0459</x:v>
      </x:c>
      <x:c r="B462" t="str">
        <x:v>Bảng 3</x:v>
      </x:c>
      <x:c r="C462" t="str">
        <x:v>clay:IL=0.9</x:v>
      </x:c>
      <x:c r="D462" t="str">
        <x:v>EXACT</x:v>
      </x:c>
      <x:c r="E462" t="str">
        <x:v>{"z":6,"IL":0.9}</x:v>
      </x:c>
      <x:c r="F462" t="str">
        <x:v>EXACT</x:v>
      </x:c>
      <x:c r="G462"/>
      <x:c r="H462"/>
      <x:c r="I462"/>
      <x:c r="J462"/>
      <x:c r="K462"/>
      <x:c r="L462"/>
      <x:c r="M462" t="n">
        <x:v>7</x:v>
      </x:c>
      <x:c r="N462"/>
      <x:c r="O462"/>
      <x:c r="P462"/>
      <x:c r="Q462"/>
      <x:c r="R462"/>
      <x:c r="S462" t="n">
        <x:v>7</x:v>
      </x:c>
      <x:c r="T462" t="n">
        <x:v>7</x:v>
      </x:c>
      <x:c r="U462" s="28" t="n">
        <x:f>T462</x:f>
        <x:v>7</x:v>
      </x:c>
      <x:c r="V462" s="32" t="n">
        <x:f>IF(AND(ISNUMBER(S462),ISNUMBER(U462)),ABS(S462-U462),IF(S462=U462,0,1))</x:f>
        <x:v>0</x:v>
      </x:c>
      <x:c r="W462" s="30" t="str">
        <x:v>PASS</x:v>
      </x:c>
      <x:c r="X462" s="28" t="str">
        <x:f>IF(V462&lt;=1E-9,"PASS","FAIL")</x:f>
        <x:v>PASS</x:v>
      </x:c>
      <x:c r="Y462" t="str">
        <x:v>tr.33–34</x:v>
      </x:c>
      <x:c r="Z462" t="str"/>
    </x:row>
    <x:row r="463">
      <x:c r="A463" t="str">
        <x:v>G0460</x:v>
      </x:c>
      <x:c r="B463" t="str">
        <x:v>Bảng 3</x:v>
      </x:c>
      <x:c r="C463" t="str">
        <x:v>clay:IL=0.9</x:v>
      </x:c>
      <x:c r="D463" t="str">
        <x:v>EXACT</x:v>
      </x:c>
      <x:c r="E463" t="str">
        <x:v>{"z":8,"IL":0.9}</x:v>
      </x:c>
      <x:c r="F463" t="str">
        <x:v>EXACT</x:v>
      </x:c>
      <x:c r="G463"/>
      <x:c r="H463"/>
      <x:c r="I463"/>
      <x:c r="J463"/>
      <x:c r="K463"/>
      <x:c r="L463"/>
      <x:c r="M463" t="n">
        <x:v>7</x:v>
      </x:c>
      <x:c r="N463"/>
      <x:c r="O463"/>
      <x:c r="P463"/>
      <x:c r="Q463"/>
      <x:c r="R463"/>
      <x:c r="S463" t="n">
        <x:v>7</x:v>
      </x:c>
      <x:c r="T463" t="n">
        <x:v>7</x:v>
      </x:c>
      <x:c r="U463" s="28" t="n">
        <x:f>T463</x:f>
        <x:v>7</x:v>
      </x:c>
      <x:c r="V463" s="32" t="n">
        <x:f>IF(AND(ISNUMBER(S463),ISNUMBER(U463)),ABS(S463-U463),IF(S463=U463,0,1))</x:f>
        <x:v>0</x:v>
      </x:c>
      <x:c r="W463" s="30" t="str">
        <x:v>PASS</x:v>
      </x:c>
      <x:c r="X463" s="28" t="str">
        <x:f>IF(V463&lt;=1E-9,"PASS","FAIL")</x:f>
        <x:v>PASS</x:v>
      </x:c>
      <x:c r="Y463" t="str">
        <x:v>tr.33–34</x:v>
      </x:c>
      <x:c r="Z463" t="str"/>
    </x:row>
    <x:row r="464">
      <x:c r="A464" t="str">
        <x:v>G0461</x:v>
      </x:c>
      <x:c r="B464" t="str">
        <x:v>Bảng 3</x:v>
      </x:c>
      <x:c r="C464" t="str">
        <x:v>clay:IL=0.9</x:v>
      </x:c>
      <x:c r="D464" t="str">
        <x:v>EXACT</x:v>
      </x:c>
      <x:c r="E464" t="str">
        <x:v>{"z":10,"IL":0.9}</x:v>
      </x:c>
      <x:c r="F464" t="str">
        <x:v>EXACT</x:v>
      </x:c>
      <x:c r="G464"/>
      <x:c r="H464"/>
      <x:c r="I464"/>
      <x:c r="J464"/>
      <x:c r="K464"/>
      <x:c r="L464"/>
      <x:c r="M464" t="n">
        <x:v>7</x:v>
      </x:c>
      <x:c r="N464"/>
      <x:c r="O464"/>
      <x:c r="P464"/>
      <x:c r="Q464"/>
      <x:c r="R464"/>
      <x:c r="S464" t="n">
        <x:v>7</x:v>
      </x:c>
      <x:c r="T464" t="n">
        <x:v>7</x:v>
      </x:c>
      <x:c r="U464" s="28" t="n">
        <x:f>T464</x:f>
        <x:v>7</x:v>
      </x:c>
      <x:c r="V464" s="32" t="n">
        <x:f>IF(AND(ISNUMBER(S464),ISNUMBER(U464)),ABS(S464-U464),IF(S464=U464,0,1))</x:f>
        <x:v>0</x:v>
      </x:c>
      <x:c r="W464" s="30" t="str">
        <x:v>PASS</x:v>
      </x:c>
      <x:c r="X464" s="28" t="str">
        <x:f>IF(V464&lt;=1E-9,"PASS","FAIL")</x:f>
        <x:v>PASS</x:v>
      </x:c>
      <x:c r="Y464" t="str">
        <x:v>tr.33–34</x:v>
      </x:c>
      <x:c r="Z464" t="str"/>
    </x:row>
    <x:row r="465">
      <x:c r="A465" t="str">
        <x:v>G0462</x:v>
      </x:c>
      <x:c r="B465" t="str">
        <x:v>Bảng 3</x:v>
      </x:c>
      <x:c r="C465" t="str">
        <x:v>clay:IL=0.9</x:v>
      </x:c>
      <x:c r="D465" t="str">
        <x:v>EXACT</x:v>
      </x:c>
      <x:c r="E465" t="str">
        <x:v>{"z":15,"IL":0.9}</x:v>
      </x:c>
      <x:c r="F465" t="str">
        <x:v>EXACT</x:v>
      </x:c>
      <x:c r="G465"/>
      <x:c r="H465"/>
      <x:c r="I465"/>
      <x:c r="J465"/>
      <x:c r="K465"/>
      <x:c r="L465"/>
      <x:c r="M465" t="n">
        <x:v>7</x:v>
      </x:c>
      <x:c r="N465"/>
      <x:c r="O465"/>
      <x:c r="P465"/>
      <x:c r="Q465"/>
      <x:c r="R465"/>
      <x:c r="S465" t="n">
        <x:v>7</x:v>
      </x:c>
      <x:c r="T465" t="n">
        <x:v>7</x:v>
      </x:c>
      <x:c r="U465" s="28" t="n">
        <x:f>T465</x:f>
        <x:v>7</x:v>
      </x:c>
      <x:c r="V465" s="32" t="n">
        <x:f>IF(AND(ISNUMBER(S465),ISNUMBER(U465)),ABS(S465-U465),IF(S465=U465,0,1))</x:f>
        <x:v>0</x:v>
      </x:c>
      <x:c r="W465" s="30" t="str">
        <x:v>PASS</x:v>
      </x:c>
      <x:c r="X465" s="28" t="str">
        <x:f>IF(V465&lt;=1E-9,"PASS","FAIL")</x:f>
        <x:v>PASS</x:v>
      </x:c>
      <x:c r="Y465" t="str">
        <x:v>tr.33–34</x:v>
      </x:c>
      <x:c r="Z465" t="str"/>
    </x:row>
    <x:row r="466">
      <x:c r="A466" t="str">
        <x:v>G0463</x:v>
      </x:c>
      <x:c r="B466" t="str">
        <x:v>Bảng 3</x:v>
      </x:c>
      <x:c r="C466" t="str">
        <x:v>clay:IL=0.9</x:v>
      </x:c>
      <x:c r="D466" t="str">
        <x:v>EXACT</x:v>
      </x:c>
      <x:c r="E466" t="str">
        <x:v>{"z":20,"IL":0.9}</x:v>
      </x:c>
      <x:c r="F466" t="str">
        <x:v>EXACT</x:v>
      </x:c>
      <x:c r="G466"/>
      <x:c r="H466"/>
      <x:c r="I466"/>
      <x:c r="J466"/>
      <x:c r="K466"/>
      <x:c r="L466"/>
      <x:c r="M466" t="n">
        <x:v>7</x:v>
      </x:c>
      <x:c r="N466"/>
      <x:c r="O466"/>
      <x:c r="P466"/>
      <x:c r="Q466"/>
      <x:c r="R466"/>
      <x:c r="S466" t="n">
        <x:v>7</x:v>
      </x:c>
      <x:c r="T466" t="n">
        <x:v>7</x:v>
      </x:c>
      <x:c r="U466" s="28" t="n">
        <x:f>T466</x:f>
        <x:v>7</x:v>
      </x:c>
      <x:c r="V466" s="32" t="n">
        <x:f>IF(AND(ISNUMBER(S466),ISNUMBER(U466)),ABS(S466-U466),IF(S466=U466,0,1))</x:f>
        <x:v>0</x:v>
      </x:c>
      <x:c r="W466" s="30" t="str">
        <x:v>PASS</x:v>
      </x:c>
      <x:c r="X466" s="28" t="str">
        <x:f>IF(V466&lt;=1E-9,"PASS","FAIL")</x:f>
        <x:v>PASS</x:v>
      </x:c>
      <x:c r="Y466" t="str">
        <x:v>tr.33–34</x:v>
      </x:c>
      <x:c r="Z466" t="str"/>
    </x:row>
    <x:row r="467">
      <x:c r="A467" t="str">
        <x:v>G0464</x:v>
      </x:c>
      <x:c r="B467" t="str">
        <x:v>Bảng 3</x:v>
      </x:c>
      <x:c r="C467" t="str">
        <x:v>clay:IL=0.9</x:v>
      </x:c>
      <x:c r="D467" t="str">
        <x:v>EXACT</x:v>
      </x:c>
      <x:c r="E467" t="str">
        <x:v>{"z":25,"IL":0.9}</x:v>
      </x:c>
      <x:c r="F467" t="str">
        <x:v>EXACT</x:v>
      </x:c>
      <x:c r="G467"/>
      <x:c r="H467"/>
      <x:c r="I467"/>
      <x:c r="J467"/>
      <x:c r="K467"/>
      <x:c r="L467"/>
      <x:c r="M467" t="n">
        <x:v>7</x:v>
      </x:c>
      <x:c r="N467"/>
      <x:c r="O467"/>
      <x:c r="P467"/>
      <x:c r="Q467"/>
      <x:c r="R467"/>
      <x:c r="S467" t="n">
        <x:v>7</x:v>
      </x:c>
      <x:c r="T467" t="n">
        <x:v>7</x:v>
      </x:c>
      <x:c r="U467" s="28" t="n">
        <x:f>T467</x:f>
        <x:v>7</x:v>
      </x:c>
      <x:c r="V467" s="32" t="n">
        <x:f>IF(AND(ISNUMBER(S467),ISNUMBER(U467)),ABS(S467-U467),IF(S467=U467,0,1))</x:f>
        <x:v>0</x:v>
      </x:c>
      <x:c r="W467" s="30" t="str">
        <x:v>PASS</x:v>
      </x:c>
      <x:c r="X467" s="28" t="str">
        <x:f>IF(V467&lt;=1E-9,"PASS","FAIL")</x:f>
        <x:v>PASS</x:v>
      </x:c>
      <x:c r="Y467" t="str">
        <x:v>tr.33–34</x:v>
      </x:c>
      <x:c r="Z467" t="str"/>
    </x:row>
    <x:row r="468">
      <x:c r="A468" t="str">
        <x:v>G0465</x:v>
      </x:c>
      <x:c r="B468" t="str">
        <x:v>Bảng 3</x:v>
      </x:c>
      <x:c r="C468" t="str">
        <x:v>clay:IL=0.9</x:v>
      </x:c>
      <x:c r="D468" t="str">
        <x:v>EXACT</x:v>
      </x:c>
      <x:c r="E468" t="str">
        <x:v>{"z":30,"IL":0.9}</x:v>
      </x:c>
      <x:c r="F468" t="str">
        <x:v>EXACT</x:v>
      </x:c>
      <x:c r="G468"/>
      <x:c r="H468"/>
      <x:c r="I468"/>
      <x:c r="J468"/>
      <x:c r="K468"/>
      <x:c r="L468"/>
      <x:c r="M468" t="n">
        <x:v>8</x:v>
      </x:c>
      <x:c r="N468"/>
      <x:c r="O468"/>
      <x:c r="P468"/>
      <x:c r="Q468"/>
      <x:c r="R468"/>
      <x:c r="S468" t="n">
        <x:v>8</x:v>
      </x:c>
      <x:c r="T468" t="n">
        <x:v>8</x:v>
      </x:c>
      <x:c r="U468" s="28" t="n">
        <x:f>T468</x:f>
        <x:v>8</x:v>
      </x:c>
      <x:c r="V468" s="32" t="n">
        <x:f>IF(AND(ISNUMBER(S468),ISNUMBER(U468)),ABS(S468-U468),IF(S468=U468,0,1))</x:f>
        <x:v>0</x:v>
      </x:c>
      <x:c r="W468" s="30" t="str">
        <x:v>PASS</x:v>
      </x:c>
      <x:c r="X468" s="28" t="str">
        <x:f>IF(V468&lt;=1E-9,"PASS","FAIL")</x:f>
        <x:v>PASS</x:v>
      </x:c>
      <x:c r="Y468" t="str">
        <x:v>tr.33–34</x:v>
      </x:c>
      <x:c r="Z468" t="str"/>
    </x:row>
    <x:row r="469">
      <x:c r="A469" t="str">
        <x:v>G0466</x:v>
      </x:c>
      <x:c r="B469" t="str">
        <x:v>Bảng 3</x:v>
      </x:c>
      <x:c r="C469" t="str">
        <x:v>clay:IL=0.9</x:v>
      </x:c>
      <x:c r="D469" t="str">
        <x:v>EXACT</x:v>
      </x:c>
      <x:c r="E469" t="str">
        <x:v>{"z":35,"IL":0.9}</x:v>
      </x:c>
      <x:c r="F469" t="str">
        <x:v>EXACT</x:v>
      </x:c>
      <x:c r="G469"/>
      <x:c r="H469"/>
      <x:c r="I469"/>
      <x:c r="J469"/>
      <x:c r="K469"/>
      <x:c r="L469"/>
      <x:c r="M469" t="n">
        <x:v>8</x:v>
      </x:c>
      <x:c r="N469"/>
      <x:c r="O469"/>
      <x:c r="P469"/>
      <x:c r="Q469"/>
      <x:c r="R469"/>
      <x:c r="S469" t="n">
        <x:v>8</x:v>
      </x:c>
      <x:c r="T469" t="n">
        <x:v>8</x:v>
      </x:c>
      <x:c r="U469" s="28" t="n">
        <x:f>T469</x:f>
        <x:v>8</x:v>
      </x:c>
      <x:c r="V469" s="32" t="n">
        <x:f>IF(AND(ISNUMBER(S469),ISNUMBER(U469)),ABS(S469-U469),IF(S469=U469,0,1))</x:f>
        <x:v>0</x:v>
      </x:c>
      <x:c r="W469" s="30" t="str">
        <x:v>PASS</x:v>
      </x:c>
      <x:c r="X469" s="28" t="str">
        <x:f>IF(V469&lt;=1E-9,"PASS","FAIL")</x:f>
        <x:v>PASS</x:v>
      </x:c>
      <x:c r="Y469" t="str">
        <x:v>tr.33–34</x:v>
      </x:c>
      <x:c r="Z469" t="str"/>
    </x:row>
    <x:row r="470">
      <x:c r="A470" t="str">
        <x:v>G0467</x:v>
      </x:c>
      <x:c r="B470" t="str">
        <x:v>Bảng 3</x:v>
      </x:c>
      <x:c r="C470" t="str">
        <x:v>clay:IL=0.9</x:v>
      </x:c>
      <x:c r="D470" t="str">
        <x:v>EXACT</x:v>
      </x:c>
      <x:c r="E470" t="str">
        <x:v>{"z":40,"IL":0.9}</x:v>
      </x:c>
      <x:c r="F470" t="str">
        <x:v>EXACT</x:v>
      </x:c>
      <x:c r="G470"/>
      <x:c r="H470"/>
      <x:c r="I470"/>
      <x:c r="J470"/>
      <x:c r="K470"/>
      <x:c r="L470"/>
      <x:c r="M470" t="n">
        <x:v>8</x:v>
      </x:c>
      <x:c r="N470"/>
      <x:c r="O470"/>
      <x:c r="P470"/>
      <x:c r="Q470"/>
      <x:c r="R470"/>
      <x:c r="S470" t="n">
        <x:v>8</x:v>
      </x:c>
      <x:c r="T470" t="n">
        <x:v>8</x:v>
      </x:c>
      <x:c r="U470" s="28" t="n">
        <x:f>T470</x:f>
        <x:v>8</x:v>
      </x:c>
      <x:c r="V470" s="32" t="n">
        <x:f>IF(AND(ISNUMBER(S470),ISNUMBER(U470)),ABS(S470-U470),IF(S470=U470,0,1))</x:f>
        <x:v>0</x:v>
      </x:c>
      <x:c r="W470" s="30" t="str">
        <x:v>PASS</x:v>
      </x:c>
      <x:c r="X470" s="28" t="str">
        <x:f>IF(V470&lt;=1E-9,"PASS","FAIL")</x:f>
        <x:v>PASS</x:v>
      </x:c>
      <x:c r="Y470" t="str">
        <x:v>tr.33–34</x:v>
      </x:c>
      <x:c r="Z470" t="str"/>
    </x:row>
    <x:row r="471">
      <x:c r="A471" t="str">
        <x:v>G0468</x:v>
      </x:c>
      <x:c r="B471" t="str">
        <x:v>Bảng 3</x:v>
      </x:c>
      <x:c r="C471" t="str">
        <x:v>clay:IL=1</x:v>
      </x:c>
      <x:c r="D471" t="str">
        <x:v>EXACT</x:v>
      </x:c>
      <x:c r="E471" t="str">
        <x:v>{"z":1,"IL":1}</x:v>
      </x:c>
      <x:c r="F471" t="str">
        <x:v>EXACT</x:v>
      </x:c>
      <x:c r="G471"/>
      <x:c r="H471"/>
      <x:c r="I471"/>
      <x:c r="J471"/>
      <x:c r="K471"/>
      <x:c r="L471"/>
      <x:c r="M471" t="n">
        <x:v>2</x:v>
      </x:c>
      <x:c r="N471"/>
      <x:c r="O471"/>
      <x:c r="P471"/>
      <x:c r="Q471"/>
      <x:c r="R471"/>
      <x:c r="S471" t="n">
        <x:v>2</x:v>
      </x:c>
      <x:c r="T471" t="n">
        <x:v>2</x:v>
      </x:c>
      <x:c r="U471" s="28" t="n">
        <x:f>T471</x:f>
        <x:v>2</x:v>
      </x:c>
      <x:c r="V471" s="32" t="n">
        <x:f>IF(AND(ISNUMBER(S471),ISNUMBER(U471)),ABS(S471-U471),IF(S471=U471,0,1))</x:f>
        <x:v>0</x:v>
      </x:c>
      <x:c r="W471" s="30" t="str">
        <x:v>PASS</x:v>
      </x:c>
      <x:c r="X471" s="28" t="str">
        <x:f>IF(V471&lt;=1E-9,"PASS","FAIL")</x:f>
        <x:v>PASS</x:v>
      </x:c>
      <x:c r="Y471" t="str">
        <x:v>tr.33–34</x:v>
      </x:c>
      <x:c r="Z471" t="str"/>
    </x:row>
    <x:row r="472">
      <x:c r="A472" t="str">
        <x:v>G0469</x:v>
      </x:c>
      <x:c r="B472" t="str">
        <x:v>Bảng 3</x:v>
      </x:c>
      <x:c r="C472" t="str">
        <x:v>clay:IL=1</x:v>
      </x:c>
      <x:c r="D472" t="str">
        <x:v>EXACT</x:v>
      </x:c>
      <x:c r="E472" t="str">
        <x:v>{"z":2,"IL":1}</x:v>
      </x:c>
      <x:c r="F472" t="str">
        <x:v>EXACT</x:v>
      </x:c>
      <x:c r="G472"/>
      <x:c r="H472"/>
      <x:c r="I472"/>
      <x:c r="J472"/>
      <x:c r="K472"/>
      <x:c r="L472"/>
      <x:c r="M472" t="n">
        <x:v>4</x:v>
      </x:c>
      <x:c r="N472"/>
      <x:c r="O472"/>
      <x:c r="P472"/>
      <x:c r="Q472"/>
      <x:c r="R472"/>
      <x:c r="S472" t="n">
        <x:v>4</x:v>
      </x:c>
      <x:c r="T472" t="n">
        <x:v>4</x:v>
      </x:c>
      <x:c r="U472" s="28" t="n">
        <x:f>T472</x:f>
        <x:v>4</x:v>
      </x:c>
      <x:c r="V472" s="32" t="n">
        <x:f>IF(AND(ISNUMBER(S472),ISNUMBER(U472)),ABS(S472-U472),IF(S472=U472,0,1))</x:f>
        <x:v>0</x:v>
      </x:c>
      <x:c r="W472" s="30" t="str">
        <x:v>PASS</x:v>
      </x:c>
      <x:c r="X472" s="28" t="str">
        <x:f>IF(V472&lt;=1E-9,"PASS","FAIL")</x:f>
        <x:v>PASS</x:v>
      </x:c>
      <x:c r="Y472" t="str">
        <x:v>tr.33–34</x:v>
      </x:c>
      <x:c r="Z472" t="str"/>
    </x:row>
    <x:row r="473">
      <x:c r="A473" t="str">
        <x:v>G0470</x:v>
      </x:c>
      <x:c r="B473" t="str">
        <x:v>Bảng 3</x:v>
      </x:c>
      <x:c r="C473" t="str">
        <x:v>clay:IL=1</x:v>
      </x:c>
      <x:c r="D473" t="str">
        <x:v>EXACT</x:v>
      </x:c>
      <x:c r="E473" t="str">
        <x:v>{"z":3,"IL":1}</x:v>
      </x:c>
      <x:c r="F473" t="str">
        <x:v>EXACT</x:v>
      </x:c>
      <x:c r="G473"/>
      <x:c r="H473"/>
      <x:c r="I473"/>
      <x:c r="J473"/>
      <x:c r="K473"/>
      <x:c r="L473"/>
      <x:c r="M473" t="n">
        <x:v>5</x:v>
      </x:c>
      <x:c r="N473"/>
      <x:c r="O473"/>
      <x:c r="P473"/>
      <x:c r="Q473"/>
      <x:c r="R473"/>
      <x:c r="S473" t="n">
        <x:v>5</x:v>
      </x:c>
      <x:c r="T473" t="n">
        <x:v>5</x:v>
      </x:c>
      <x:c r="U473" s="28" t="n">
        <x:f>T473</x:f>
        <x:v>5</x:v>
      </x:c>
      <x:c r="V473" s="32" t="n">
        <x:f>IF(AND(ISNUMBER(S473),ISNUMBER(U473)),ABS(S473-U473),IF(S473=U473,0,1))</x:f>
        <x:v>0</x:v>
      </x:c>
      <x:c r="W473" s="30" t="str">
        <x:v>PASS</x:v>
      </x:c>
      <x:c r="X473" s="28" t="str">
        <x:f>IF(V473&lt;=1E-9,"PASS","FAIL")</x:f>
        <x:v>PASS</x:v>
      </x:c>
      <x:c r="Y473" t="str">
        <x:v>tr.33–34</x:v>
      </x:c>
      <x:c r="Z473" t="str"/>
    </x:row>
    <x:row r="474">
      <x:c r="A474" t="str">
        <x:v>G0471</x:v>
      </x:c>
      <x:c r="B474" t="str">
        <x:v>Bảng 3</x:v>
      </x:c>
      <x:c r="C474" t="str">
        <x:v>clay:IL=1</x:v>
      </x:c>
      <x:c r="D474" t="str">
        <x:v>EXACT</x:v>
      </x:c>
      <x:c r="E474" t="str">
        <x:v>{"z":4,"IL":1}</x:v>
      </x:c>
      <x:c r="F474" t="str">
        <x:v>EXACT</x:v>
      </x:c>
      <x:c r="G474"/>
      <x:c r="H474"/>
      <x:c r="I474"/>
      <x:c r="J474"/>
      <x:c r="K474"/>
      <x:c r="L474"/>
      <x:c r="M474" t="n">
        <x:v>5</x:v>
      </x:c>
      <x:c r="N474"/>
      <x:c r="O474"/>
      <x:c r="P474"/>
      <x:c r="Q474"/>
      <x:c r="R474"/>
      <x:c r="S474" t="n">
        <x:v>5</x:v>
      </x:c>
      <x:c r="T474" t="n">
        <x:v>5</x:v>
      </x:c>
      <x:c r="U474" s="28" t="n">
        <x:f>T474</x:f>
        <x:v>5</x:v>
      </x:c>
      <x:c r="V474" s="32" t="n">
        <x:f>IF(AND(ISNUMBER(S474),ISNUMBER(U474)),ABS(S474-U474),IF(S474=U474,0,1))</x:f>
        <x:v>0</x:v>
      </x:c>
      <x:c r="W474" s="30" t="str">
        <x:v>PASS</x:v>
      </x:c>
      <x:c r="X474" s="28" t="str">
        <x:f>IF(V474&lt;=1E-9,"PASS","FAIL")</x:f>
        <x:v>PASS</x:v>
      </x:c>
      <x:c r="Y474" t="str">
        <x:v>tr.33–34</x:v>
      </x:c>
      <x:c r="Z474" t="str"/>
    </x:row>
    <x:row r="475">
      <x:c r="A475" t="str">
        <x:v>G0472</x:v>
      </x:c>
      <x:c r="B475" t="str">
        <x:v>Bảng 3</x:v>
      </x:c>
      <x:c r="C475" t="str">
        <x:v>clay:IL=1</x:v>
      </x:c>
      <x:c r="D475" t="str">
        <x:v>EXACT</x:v>
      </x:c>
      <x:c r="E475" t="str">
        <x:v>{"z":5,"IL":1}</x:v>
      </x:c>
      <x:c r="F475" t="str">
        <x:v>EXACT</x:v>
      </x:c>
      <x:c r="G475"/>
      <x:c r="H475"/>
      <x:c r="I475"/>
      <x:c r="J475"/>
      <x:c r="K475"/>
      <x:c r="L475"/>
      <x:c r="M475" t="n">
        <x:v>6</x:v>
      </x:c>
      <x:c r="N475"/>
      <x:c r="O475"/>
      <x:c r="P475"/>
      <x:c r="Q475"/>
      <x:c r="R475"/>
      <x:c r="S475" t="n">
        <x:v>6</x:v>
      </x:c>
      <x:c r="T475" t="n">
        <x:v>6</x:v>
      </x:c>
      <x:c r="U475" s="28" t="n">
        <x:f>T475</x:f>
        <x:v>6</x:v>
      </x:c>
      <x:c r="V475" s="32" t="n">
        <x:f>IF(AND(ISNUMBER(S475),ISNUMBER(U475)),ABS(S475-U475),IF(S475=U475,0,1))</x:f>
        <x:v>0</x:v>
      </x:c>
      <x:c r="W475" s="30" t="str">
        <x:v>PASS</x:v>
      </x:c>
      <x:c r="X475" s="28" t="str">
        <x:f>IF(V475&lt;=1E-9,"PASS","FAIL")</x:f>
        <x:v>PASS</x:v>
      </x:c>
      <x:c r="Y475" t="str">
        <x:v>tr.33–34</x:v>
      </x:c>
      <x:c r="Z475" t="str"/>
    </x:row>
    <x:row r="476">
      <x:c r="A476" t="str">
        <x:v>G0473</x:v>
      </x:c>
      <x:c r="B476" t="str">
        <x:v>Bảng 3</x:v>
      </x:c>
      <x:c r="C476" t="str">
        <x:v>clay:IL=1</x:v>
      </x:c>
      <x:c r="D476" t="str">
        <x:v>EXACT</x:v>
      </x:c>
      <x:c r="E476" t="str">
        <x:v>{"z":6,"IL":1}</x:v>
      </x:c>
      <x:c r="F476" t="str">
        <x:v>EXACT</x:v>
      </x:c>
      <x:c r="G476"/>
      <x:c r="H476"/>
      <x:c r="I476"/>
      <x:c r="J476"/>
      <x:c r="K476"/>
      <x:c r="L476"/>
      <x:c r="M476" t="n">
        <x:v>6</x:v>
      </x:c>
      <x:c r="N476"/>
      <x:c r="O476"/>
      <x:c r="P476"/>
      <x:c r="Q476"/>
      <x:c r="R476"/>
      <x:c r="S476" t="n">
        <x:v>6</x:v>
      </x:c>
      <x:c r="T476" t="n">
        <x:v>6</x:v>
      </x:c>
      <x:c r="U476" s="28" t="n">
        <x:f>T476</x:f>
        <x:v>6</x:v>
      </x:c>
      <x:c r="V476" s="32" t="n">
        <x:f>IF(AND(ISNUMBER(S476),ISNUMBER(U476)),ABS(S476-U476),IF(S476=U476,0,1))</x:f>
        <x:v>0</x:v>
      </x:c>
      <x:c r="W476" s="30" t="str">
        <x:v>PASS</x:v>
      </x:c>
      <x:c r="X476" s="28" t="str">
        <x:f>IF(V476&lt;=1E-9,"PASS","FAIL")</x:f>
        <x:v>PASS</x:v>
      </x:c>
      <x:c r="Y476" t="str">
        <x:v>tr.33–34</x:v>
      </x:c>
      <x:c r="Z476" t="str"/>
    </x:row>
    <x:row r="477">
      <x:c r="A477" t="str">
        <x:v>G0474</x:v>
      </x:c>
      <x:c r="B477" t="str">
        <x:v>Bảng 3</x:v>
      </x:c>
      <x:c r="C477" t="str">
        <x:v>clay:IL=1</x:v>
      </x:c>
      <x:c r="D477" t="str">
        <x:v>EXACT</x:v>
      </x:c>
      <x:c r="E477" t="str">
        <x:v>{"z":8,"IL":1}</x:v>
      </x:c>
      <x:c r="F477" t="str">
        <x:v>EXACT</x:v>
      </x:c>
      <x:c r="G477"/>
      <x:c r="H477"/>
      <x:c r="I477"/>
      <x:c r="J477"/>
      <x:c r="K477"/>
      <x:c r="L477"/>
      <x:c r="M477" t="n">
        <x:v>6</x:v>
      </x:c>
      <x:c r="N477"/>
      <x:c r="O477"/>
      <x:c r="P477"/>
      <x:c r="Q477"/>
      <x:c r="R477"/>
      <x:c r="S477" t="n">
        <x:v>6</x:v>
      </x:c>
      <x:c r="T477" t="n">
        <x:v>6</x:v>
      </x:c>
      <x:c r="U477" s="28" t="n">
        <x:f>T477</x:f>
        <x:v>6</x:v>
      </x:c>
      <x:c r="V477" s="32" t="n">
        <x:f>IF(AND(ISNUMBER(S477),ISNUMBER(U477)),ABS(S477-U477),IF(S477=U477,0,1))</x:f>
        <x:v>0</x:v>
      </x:c>
      <x:c r="W477" s="30" t="str">
        <x:v>PASS</x:v>
      </x:c>
      <x:c r="X477" s="28" t="str">
        <x:f>IF(V477&lt;=1E-9,"PASS","FAIL")</x:f>
        <x:v>PASS</x:v>
      </x:c>
      <x:c r="Y477" t="str">
        <x:v>tr.33–34</x:v>
      </x:c>
      <x:c r="Z477" t="str"/>
    </x:row>
    <x:row r="478">
      <x:c r="A478" t="str">
        <x:v>G0475</x:v>
      </x:c>
      <x:c r="B478" t="str">
        <x:v>Bảng 3</x:v>
      </x:c>
      <x:c r="C478" t="str">
        <x:v>clay:IL=1</x:v>
      </x:c>
      <x:c r="D478" t="str">
        <x:v>EXACT</x:v>
      </x:c>
      <x:c r="E478" t="str">
        <x:v>{"z":10,"IL":1}</x:v>
      </x:c>
      <x:c r="F478" t="str">
        <x:v>EXACT</x:v>
      </x:c>
      <x:c r="G478"/>
      <x:c r="H478"/>
      <x:c r="I478"/>
      <x:c r="J478"/>
      <x:c r="K478"/>
      <x:c r="L478"/>
      <x:c r="M478" t="n">
        <x:v>6</x:v>
      </x:c>
      <x:c r="N478"/>
      <x:c r="O478"/>
      <x:c r="P478"/>
      <x:c r="Q478"/>
      <x:c r="R478"/>
      <x:c r="S478" t="n">
        <x:v>6</x:v>
      </x:c>
      <x:c r="T478" t="n">
        <x:v>6</x:v>
      </x:c>
      <x:c r="U478" s="28" t="n">
        <x:f>T478</x:f>
        <x:v>6</x:v>
      </x:c>
      <x:c r="V478" s="32" t="n">
        <x:f>IF(AND(ISNUMBER(S478),ISNUMBER(U478)),ABS(S478-U478),IF(S478=U478,0,1))</x:f>
        <x:v>0</x:v>
      </x:c>
      <x:c r="W478" s="30" t="str">
        <x:v>PASS</x:v>
      </x:c>
      <x:c r="X478" s="28" t="str">
        <x:f>IF(V478&lt;=1E-9,"PASS","FAIL")</x:f>
        <x:v>PASS</x:v>
      </x:c>
      <x:c r="Y478" t="str">
        <x:v>tr.33–34</x:v>
      </x:c>
      <x:c r="Z478" t="str"/>
    </x:row>
    <x:row r="479">
      <x:c r="A479" t="str">
        <x:v>G0476</x:v>
      </x:c>
      <x:c r="B479" t="str">
        <x:v>Bảng 3</x:v>
      </x:c>
      <x:c r="C479" t="str">
        <x:v>clay:IL=1</x:v>
      </x:c>
      <x:c r="D479" t="str">
        <x:v>EXACT</x:v>
      </x:c>
      <x:c r="E479" t="str">
        <x:v>{"z":15,"IL":1}</x:v>
      </x:c>
      <x:c r="F479" t="str">
        <x:v>EXACT</x:v>
      </x:c>
      <x:c r="G479"/>
      <x:c r="H479"/>
      <x:c r="I479"/>
      <x:c r="J479"/>
      <x:c r="K479"/>
      <x:c r="L479"/>
      <x:c r="M479" t="n">
        <x:v>6</x:v>
      </x:c>
      <x:c r="N479"/>
      <x:c r="O479"/>
      <x:c r="P479"/>
      <x:c r="Q479"/>
      <x:c r="R479"/>
      <x:c r="S479" t="n">
        <x:v>6</x:v>
      </x:c>
      <x:c r="T479" t="n">
        <x:v>6</x:v>
      </x:c>
      <x:c r="U479" s="28" t="n">
        <x:f>T479</x:f>
        <x:v>6</x:v>
      </x:c>
      <x:c r="V479" s="32" t="n">
        <x:f>IF(AND(ISNUMBER(S479),ISNUMBER(U479)),ABS(S479-U479),IF(S479=U479,0,1))</x:f>
        <x:v>0</x:v>
      </x:c>
      <x:c r="W479" s="30" t="str">
        <x:v>PASS</x:v>
      </x:c>
      <x:c r="X479" s="28" t="str">
        <x:f>IF(V479&lt;=1E-9,"PASS","FAIL")</x:f>
        <x:v>PASS</x:v>
      </x:c>
      <x:c r="Y479" t="str">
        <x:v>tr.33–34</x:v>
      </x:c>
      <x:c r="Z479" t="str"/>
    </x:row>
    <x:row r="480">
      <x:c r="A480" t="str">
        <x:v>G0477</x:v>
      </x:c>
      <x:c r="B480" t="str">
        <x:v>Bảng 3</x:v>
      </x:c>
      <x:c r="C480" t="str">
        <x:v>clay:IL=1</x:v>
      </x:c>
      <x:c r="D480" t="str">
        <x:v>EXACT</x:v>
      </x:c>
      <x:c r="E480" t="str">
        <x:v>{"z":20,"IL":1}</x:v>
      </x:c>
      <x:c r="F480" t="str">
        <x:v>EXACT</x:v>
      </x:c>
      <x:c r="G480"/>
      <x:c r="H480"/>
      <x:c r="I480"/>
      <x:c r="J480"/>
      <x:c r="K480"/>
      <x:c r="L480"/>
      <x:c r="M480" t="n">
        <x:v>6</x:v>
      </x:c>
      <x:c r="N480"/>
      <x:c r="O480"/>
      <x:c r="P480"/>
      <x:c r="Q480"/>
      <x:c r="R480"/>
      <x:c r="S480" t="n">
        <x:v>6</x:v>
      </x:c>
      <x:c r="T480" t="n">
        <x:v>6</x:v>
      </x:c>
      <x:c r="U480" s="28" t="n">
        <x:f>T480</x:f>
        <x:v>6</x:v>
      </x:c>
      <x:c r="V480" s="32" t="n">
        <x:f>IF(AND(ISNUMBER(S480),ISNUMBER(U480)),ABS(S480-U480),IF(S480=U480,0,1))</x:f>
        <x:v>0</x:v>
      </x:c>
      <x:c r="W480" s="30" t="str">
        <x:v>PASS</x:v>
      </x:c>
      <x:c r="X480" s="28" t="str">
        <x:f>IF(V480&lt;=1E-9,"PASS","FAIL")</x:f>
        <x:v>PASS</x:v>
      </x:c>
      <x:c r="Y480" t="str">
        <x:v>tr.33–34</x:v>
      </x:c>
      <x:c r="Z480" t="str"/>
    </x:row>
    <x:row r="481">
      <x:c r="A481" t="str">
        <x:v>G0478</x:v>
      </x:c>
      <x:c r="B481" t="str">
        <x:v>Bảng 3</x:v>
      </x:c>
      <x:c r="C481" t="str">
        <x:v>clay:IL=1</x:v>
      </x:c>
      <x:c r="D481" t="str">
        <x:v>EXACT</x:v>
      </x:c>
      <x:c r="E481" t="str">
        <x:v>{"z":25,"IL":1}</x:v>
      </x:c>
      <x:c r="F481" t="str">
        <x:v>EXACT</x:v>
      </x:c>
      <x:c r="G481"/>
      <x:c r="H481"/>
      <x:c r="I481"/>
      <x:c r="J481"/>
      <x:c r="K481"/>
      <x:c r="L481"/>
      <x:c r="M481" t="n">
        <x:v>6</x:v>
      </x:c>
      <x:c r="N481"/>
      <x:c r="O481"/>
      <x:c r="P481"/>
      <x:c r="Q481"/>
      <x:c r="R481"/>
      <x:c r="S481" t="n">
        <x:v>6</x:v>
      </x:c>
      <x:c r="T481" t="n">
        <x:v>6</x:v>
      </x:c>
      <x:c r="U481" s="28" t="n">
        <x:f>T481</x:f>
        <x:v>6</x:v>
      </x:c>
      <x:c r="V481" s="32" t="n">
        <x:f>IF(AND(ISNUMBER(S481),ISNUMBER(U481)),ABS(S481-U481),IF(S481=U481,0,1))</x:f>
        <x:v>0</x:v>
      </x:c>
      <x:c r="W481" s="30" t="str">
        <x:v>PASS</x:v>
      </x:c>
      <x:c r="X481" s="28" t="str">
        <x:f>IF(V481&lt;=1E-9,"PASS","FAIL")</x:f>
        <x:v>PASS</x:v>
      </x:c>
      <x:c r="Y481" t="str">
        <x:v>tr.33–34</x:v>
      </x:c>
      <x:c r="Z481" t="str"/>
    </x:row>
    <x:row r="482">
      <x:c r="A482" t="str">
        <x:v>G0479</x:v>
      </x:c>
      <x:c r="B482" t="str">
        <x:v>Bảng 3</x:v>
      </x:c>
      <x:c r="C482" t="str">
        <x:v>clay:IL=1</x:v>
      </x:c>
      <x:c r="D482" t="str">
        <x:v>EXACT</x:v>
      </x:c>
      <x:c r="E482" t="str">
        <x:v>{"z":30,"IL":1}</x:v>
      </x:c>
      <x:c r="F482" t="str">
        <x:v>EXACT</x:v>
      </x:c>
      <x:c r="G482"/>
      <x:c r="H482"/>
      <x:c r="I482"/>
      <x:c r="J482"/>
      <x:c r="K482"/>
      <x:c r="L482"/>
      <x:c r="M482" t="n">
        <x:v>7</x:v>
      </x:c>
      <x:c r="N482"/>
      <x:c r="O482"/>
      <x:c r="P482"/>
      <x:c r="Q482"/>
      <x:c r="R482"/>
      <x:c r="S482" t="n">
        <x:v>7</x:v>
      </x:c>
      <x:c r="T482" t="n">
        <x:v>7</x:v>
      </x:c>
      <x:c r="U482" s="28" t="n">
        <x:f>T482</x:f>
        <x:v>7</x:v>
      </x:c>
      <x:c r="V482" s="32" t="n">
        <x:f>IF(AND(ISNUMBER(S482),ISNUMBER(U482)),ABS(S482-U482),IF(S482=U482,0,1))</x:f>
        <x:v>0</x:v>
      </x:c>
      <x:c r="W482" s="30" t="str">
        <x:v>PASS</x:v>
      </x:c>
      <x:c r="X482" s="28" t="str">
        <x:f>IF(V482&lt;=1E-9,"PASS","FAIL")</x:f>
        <x:v>PASS</x:v>
      </x:c>
      <x:c r="Y482" t="str">
        <x:v>tr.33–34</x:v>
      </x:c>
      <x:c r="Z482" t="str"/>
    </x:row>
    <x:row r="483">
      <x:c r="A483" t="str">
        <x:v>G0480</x:v>
      </x:c>
      <x:c r="B483" t="str">
        <x:v>Bảng 3</x:v>
      </x:c>
      <x:c r="C483" t="str">
        <x:v>clay:IL=1</x:v>
      </x:c>
      <x:c r="D483" t="str">
        <x:v>EXACT</x:v>
      </x:c>
      <x:c r="E483" t="str">
        <x:v>{"z":35,"IL":1}</x:v>
      </x:c>
      <x:c r="F483" t="str">
        <x:v>EXACT</x:v>
      </x:c>
      <x:c r="G483"/>
      <x:c r="H483"/>
      <x:c r="I483"/>
      <x:c r="J483"/>
      <x:c r="K483"/>
      <x:c r="L483"/>
      <x:c r="M483" t="n">
        <x:v>7</x:v>
      </x:c>
      <x:c r="N483"/>
      <x:c r="O483"/>
      <x:c r="P483"/>
      <x:c r="Q483"/>
      <x:c r="R483"/>
      <x:c r="S483" t="n">
        <x:v>7</x:v>
      </x:c>
      <x:c r="T483" t="n">
        <x:v>7</x:v>
      </x:c>
      <x:c r="U483" s="28" t="n">
        <x:f>T483</x:f>
        <x:v>7</x:v>
      </x:c>
      <x:c r="V483" s="32" t="n">
        <x:f>IF(AND(ISNUMBER(S483),ISNUMBER(U483)),ABS(S483-U483),IF(S483=U483,0,1))</x:f>
        <x:v>0</x:v>
      </x:c>
      <x:c r="W483" s="30" t="str">
        <x:v>PASS</x:v>
      </x:c>
      <x:c r="X483" s="28" t="str">
        <x:f>IF(V483&lt;=1E-9,"PASS","FAIL")</x:f>
        <x:v>PASS</x:v>
      </x:c>
      <x:c r="Y483" t="str">
        <x:v>tr.33–34</x:v>
      </x:c>
      <x:c r="Z483" t="str"/>
    </x:row>
    <x:row r="484">
      <x:c r="A484" t="str">
        <x:v>G0481</x:v>
      </x:c>
      <x:c r="B484" t="str">
        <x:v>Bảng 3</x:v>
      </x:c>
      <x:c r="C484" t="str">
        <x:v>clay:IL=1</x:v>
      </x:c>
      <x:c r="D484" t="str">
        <x:v>EXACT</x:v>
      </x:c>
      <x:c r="E484" t="str">
        <x:v>{"z":40,"IL":1}</x:v>
      </x:c>
      <x:c r="F484" t="str">
        <x:v>EXACT</x:v>
      </x:c>
      <x:c r="G484"/>
      <x:c r="H484"/>
      <x:c r="I484"/>
      <x:c r="J484"/>
      <x:c r="K484"/>
      <x:c r="L484"/>
      <x:c r="M484" t="n">
        <x:v>7</x:v>
      </x:c>
      <x:c r="N484"/>
      <x:c r="O484"/>
      <x:c r="P484"/>
      <x:c r="Q484"/>
      <x:c r="R484"/>
      <x:c r="S484" t="n">
        <x:v>7</x:v>
      </x:c>
      <x:c r="T484" t="n">
        <x:v>7</x:v>
      </x:c>
      <x:c r="U484" s="28" t="n">
        <x:f>T484</x:f>
        <x:v>7</x:v>
      </x:c>
      <x:c r="V484" s="32" t="n">
        <x:f>IF(AND(ISNUMBER(S484),ISNUMBER(U484)),ABS(S484-U484),IF(S484=U484,0,1))</x:f>
        <x:v>0</x:v>
      </x:c>
      <x:c r="W484" s="30" t="str">
        <x:v>PASS</x:v>
      </x:c>
      <x:c r="X484" s="28" t="str">
        <x:f>IF(V484&lt;=1E-9,"PASS","FAIL")</x:f>
        <x:v>PASS</x:v>
      </x:c>
      <x:c r="Y484" t="str">
        <x:v>tr.33–34</x:v>
      </x:c>
      <x:c r="Z484" t="str"/>
    </x:row>
    <x:row r="485">
      <x:c r="A485" t="str">
        <x:v>G0482</x:v>
      </x:c>
      <x:c r="B485" t="str">
        <x:v>Bảng 3</x:v>
      </x:c>
      <x:c r="C485" t="str">
        <x:v>clay</x:v>
      </x:c>
      <x:c r="D485" t="str">
        <x:v>MID-2D</x:v>
      </x:c>
      <x:c r="E485" t="str">
        <x:v>{"z":1.5,"IL":0.25}</x:v>
      </x:c>
      <x:c r="F485" t="str">
        <x:v>BILINEAR-2D</x:v>
      </x:c>
      <x:c r="G485" t="n">
        <x:v>1.5</x:v>
      </x:c>
      <x:c r="H485" t="n">
        <x:v>0.25</x:v>
      </x:c>
      <x:c r="I485" t="n">
        <x:v>1</x:v>
      </x:c>
      <x:c r="J485" t="n">
        <x:v>2</x:v>
      </x:c>
      <x:c r="K485" t="n">
        <x:v>0.2</x:v>
      </x:c>
      <x:c r="L485" t="n">
        <x:v>0.3</x:v>
      </x:c>
      <x:c r="M485"/>
      <x:c r="N485"/>
      <x:c r="O485" t="n">
        <x:v>35</x:v>
      </x:c>
      <x:c r="P485" t="n">
        <x:v>23</x:v>
      </x:c>
      <x:c r="Q485" t="n">
        <x:v>42</x:v>
      </x:c>
      <x:c r="R485" t="n">
        <x:v>30</x:v>
      </x:c>
      <x:c r="S485" t="n">
        <x:v>32.5</x:v>
      </x:c>
      <x:c r="T485" t="n">
        <x:v>32.5</x:v>
      </x:c>
      <x:c r="U485" s="28" t="n">
        <x:f>(O485+(G485-I485)*(Q485-O485)/(J485-I485))+(H485-K485)/(L485-K485)*((P485+(G485-I485)*(R485-P485)/(J485-I485))-(O485+(G485-I485)*(Q485-O485)/(J485-I485)))</x:f>
        <x:v>32.5</x:v>
      </x:c>
      <x:c r="V485" s="32" t="n">
        <x:f>IF(AND(ISNUMBER(S485),ISNUMBER(U485)),ABS(S485-U485),IF(S485=U485,0,1))</x:f>
        <x:v>0</x:v>
      </x:c>
      <x:c r="W485" s="30" t="str">
        <x:v>PASS</x:v>
      </x:c>
      <x:c r="X485" s="28" t="str">
        <x:f>IF(V485&lt;=1E-9,"PASS","FAIL")</x:f>
        <x:v>PASS</x:v>
      </x:c>
      <x:c r="Y485" t="str">
        <x:v>Chú thích 2</x:v>
      </x:c>
      <x:c r="Z485" t="str"/>
    </x:row>
    <x:row r="486">
      <x:c r="A486" t="str">
        <x:v>G0483</x:v>
      </x:c>
      <x:c r="B486" t="str">
        <x:v>Bảng 3</x:v>
      </x:c>
      <x:c r="C486" t="str">
        <x:v>clay</x:v>
      </x:c>
      <x:c r="D486" t="str">
        <x:v>MID-2D</x:v>
      </x:c>
      <x:c r="E486" t="str">
        <x:v>{"z":1.5,"IL":0.35}</x:v>
      </x:c>
      <x:c r="F486" t="str">
        <x:v>BILINEAR-2D</x:v>
      </x:c>
      <x:c r="G486" t="n">
        <x:v>1.5</x:v>
      </x:c>
      <x:c r="H486" t="n">
        <x:v>0.35</x:v>
      </x:c>
      <x:c r="I486" t="n">
        <x:v>1</x:v>
      </x:c>
      <x:c r="J486" t="n">
        <x:v>2</x:v>
      </x:c>
      <x:c r="K486" t="n">
        <x:v>0.3</x:v>
      </x:c>
      <x:c r="L486" t="n">
        <x:v>0.4</x:v>
      </x:c>
      <x:c r="M486"/>
      <x:c r="N486"/>
      <x:c r="O486" t="n">
        <x:v>23</x:v>
      </x:c>
      <x:c r="P486" t="n">
        <x:v>15</x:v>
      </x:c>
      <x:c r="Q486" t="n">
        <x:v>30</x:v>
      </x:c>
      <x:c r="R486" t="n">
        <x:v>21</x:v>
      </x:c>
      <x:c r="S486" t="n">
        <x:v>22.250000000000004</x:v>
      </x:c>
      <x:c r="T486" t="n">
        <x:v>22.250000000000004</x:v>
      </x:c>
      <x:c r="U486" s="28" t="n">
        <x:f>(O486+(G486-I486)*(Q486-O486)/(J486-I486))+(H486-K486)/(L486-K486)*((P486+(G486-I486)*(R486-P486)/(J486-I486))-(O486+(G486-I486)*(Q486-O486)/(J486-I486)))</x:f>
        <x:v>22.250000000000004</x:v>
      </x:c>
      <x:c r="V486" s="32" t="n">
        <x:f>IF(AND(ISNUMBER(S486),ISNUMBER(U486)),ABS(S486-U486),IF(S486=U486,0,1))</x:f>
        <x:v>0</x:v>
      </x:c>
      <x:c r="W486" s="30" t="str">
        <x:v>PASS</x:v>
      </x:c>
      <x:c r="X486" s="28" t="str">
        <x:f>IF(V486&lt;=1E-9,"PASS","FAIL")</x:f>
        <x:v>PASS</x:v>
      </x:c>
      <x:c r="Y486" t="str">
        <x:v>Chú thích 2</x:v>
      </x:c>
      <x:c r="Z486" t="str"/>
    </x:row>
    <x:row r="487">
      <x:c r="A487" t="str">
        <x:v>G0484</x:v>
      </x:c>
      <x:c r="B487" t="str">
        <x:v>Bảng 3</x:v>
      </x:c>
      <x:c r="C487" t="str">
        <x:v>clay</x:v>
      </x:c>
      <x:c r="D487" t="str">
        <x:v>MID-2D</x:v>
      </x:c>
      <x:c r="E487" t="str">
        <x:v>{"z":1.5,"IL":0.45}</x:v>
      </x:c>
      <x:c r="F487" t="str">
        <x:v>BILINEAR-2D</x:v>
      </x:c>
      <x:c r="G487" t="n">
        <x:v>1.5</x:v>
      </x:c>
      <x:c r="H487" t="n">
        <x:v>0.45</x:v>
      </x:c>
      <x:c r="I487" t="n">
        <x:v>1</x:v>
      </x:c>
      <x:c r="J487" t="n">
        <x:v>2</x:v>
      </x:c>
      <x:c r="K487" t="n">
        <x:v>0.4</x:v>
      </x:c>
      <x:c r="L487" t="n">
        <x:v>0.5</x:v>
      </x:c>
      <x:c r="M487"/>
      <x:c r="N487"/>
      <x:c r="O487" t="n">
        <x:v>15</x:v>
      </x:c>
      <x:c r="P487" t="n">
        <x:v>12</x:v>
      </x:c>
      <x:c r="Q487" t="n">
        <x:v>21</x:v>
      </x:c>
      <x:c r="R487" t="n">
        <x:v>17</x:v>
      </x:c>
      <x:c r="S487" t="n">
        <x:v>16.25</x:v>
      </x:c>
      <x:c r="T487" t="n">
        <x:v>16.25</x:v>
      </x:c>
      <x:c r="U487" s="28" t="n">
        <x:f>(O487+(G487-I487)*(Q487-O487)/(J487-I487))+(H487-K487)/(L487-K487)*((P487+(G487-I487)*(R487-P487)/(J487-I487))-(O487+(G487-I487)*(Q487-O487)/(J487-I487)))</x:f>
        <x:v>16.25</x:v>
      </x:c>
      <x:c r="V487" s="32" t="n">
        <x:f>IF(AND(ISNUMBER(S487),ISNUMBER(U487)),ABS(S487-U487),IF(S487=U487,0,1))</x:f>
        <x:v>0</x:v>
      </x:c>
      <x:c r="W487" s="30" t="str">
        <x:v>PASS</x:v>
      </x:c>
      <x:c r="X487" s="28" t="str">
        <x:f>IF(V487&lt;=1E-9,"PASS","FAIL")</x:f>
        <x:v>PASS</x:v>
      </x:c>
      <x:c r="Y487" t="str">
        <x:v>Chú thích 2</x:v>
      </x:c>
      <x:c r="Z487" t="str"/>
    </x:row>
    <x:row r="488">
      <x:c r="A488" t="str">
        <x:v>G0485</x:v>
      </x:c>
      <x:c r="B488" t="str">
        <x:v>Bảng 3</x:v>
      </x:c>
      <x:c r="C488" t="str">
        <x:v>clay</x:v>
      </x:c>
      <x:c r="D488" t="str">
        <x:v>MID-2D</x:v>
      </x:c>
      <x:c r="E488" t="str">
        <x:v>{"z":1.5,"IL":0.55}</x:v>
      </x:c>
      <x:c r="F488" t="str">
        <x:v>BILINEAR-2D</x:v>
      </x:c>
      <x:c r="G488" t="n">
        <x:v>1.5</x:v>
      </x:c>
      <x:c r="H488" t="n">
        <x:v>0.55</x:v>
      </x:c>
      <x:c r="I488" t="n">
        <x:v>1</x:v>
      </x:c>
      <x:c r="J488" t="n">
        <x:v>2</x:v>
      </x:c>
      <x:c r="K488" t="n">
        <x:v>0.5</x:v>
      </x:c>
      <x:c r="L488" t="n">
        <x:v>0.6</x:v>
      </x:c>
      <x:c r="M488"/>
      <x:c r="N488"/>
      <x:c r="O488" t="n">
        <x:v>12</x:v>
      </x:c>
      <x:c r="P488" t="n">
        <x:v>8</x:v>
      </x:c>
      <x:c r="Q488" t="n">
        <x:v>17</x:v>
      </x:c>
      <x:c r="R488" t="n">
        <x:v>12</x:v>
      </x:c>
      <x:c r="S488" t="n">
        <x:v>12.249999999999996</x:v>
      </x:c>
      <x:c r="T488" t="n">
        <x:v>12.249999999999996</x:v>
      </x:c>
      <x:c r="U488" s="28" t="n">
        <x:f>(O488+(G488-I488)*(Q488-O488)/(J488-I488))+(H488-K488)/(L488-K488)*((P488+(G488-I488)*(R488-P488)/(J488-I488))-(O488+(G488-I488)*(Q488-O488)/(J488-I488)))</x:f>
        <x:v>12.249999999999996</x:v>
      </x:c>
      <x:c r="V488" s="32" t="n">
        <x:f>IF(AND(ISNUMBER(S488),ISNUMBER(U488)),ABS(S488-U488),IF(S488=U488,0,1))</x:f>
        <x:v>0</x:v>
      </x:c>
      <x:c r="W488" s="30" t="str">
        <x:v>PASS</x:v>
      </x:c>
      <x:c r="X488" s="28" t="str">
        <x:f>IF(V488&lt;=1E-9,"PASS","FAIL")</x:f>
        <x:v>PASS</x:v>
      </x:c>
      <x:c r="Y488" t="str">
        <x:v>Chú thích 2</x:v>
      </x:c>
      <x:c r="Z488" t="str"/>
    </x:row>
    <x:row r="489">
      <x:c r="A489" t="str">
        <x:v>G0486</x:v>
      </x:c>
      <x:c r="B489" t="str">
        <x:v>Bảng 3</x:v>
      </x:c>
      <x:c r="C489" t="str">
        <x:v>clay</x:v>
      </x:c>
      <x:c r="D489" t="str">
        <x:v>MID-2D</x:v>
      </x:c>
      <x:c r="E489" t="str">
        <x:v>{"z":1.5,"IL":0.6499999999999999}</x:v>
      </x:c>
      <x:c r="F489" t="str">
        <x:v>BILINEAR-2D</x:v>
      </x:c>
      <x:c r="G489" t="n">
        <x:v>1.5</x:v>
      </x:c>
      <x:c r="H489" t="n">
        <x:v>0.6499999999999999</x:v>
      </x:c>
      <x:c r="I489" t="n">
        <x:v>1</x:v>
      </x:c>
      <x:c r="J489" t="n">
        <x:v>2</x:v>
      </x:c>
      <x:c r="K489" t="n">
        <x:v>0.6</x:v>
      </x:c>
      <x:c r="L489" t="n">
        <x:v>0.7</x:v>
      </x:c>
      <x:c r="M489"/>
      <x:c r="N489"/>
      <x:c r="O489" t="n">
        <x:v>8</x:v>
      </x:c>
      <x:c r="P489" t="n">
        <x:v>4</x:v>
      </x:c>
      <x:c r="Q489" t="n">
        <x:v>12</x:v>
      </x:c>
      <x:c r="R489" t="n">
        <x:v>7</x:v>
      </x:c>
      <x:c r="S489" t="n">
        <x:v>7.750000000000003</x:v>
      </x:c>
      <x:c r="T489" t="n">
        <x:v>7.750000000000003</x:v>
      </x:c>
      <x:c r="U489" s="28" t="n">
        <x:f>(O489+(G489-I489)*(Q489-O489)/(J489-I489))+(H489-K489)/(L489-K489)*((P489+(G489-I489)*(R489-P489)/(J489-I489))-(O489+(G489-I489)*(Q489-O489)/(J489-I489)))</x:f>
        <x:v>7.750000000000003</x:v>
      </x:c>
      <x:c r="V489" s="32" t="n">
        <x:f>IF(AND(ISNUMBER(S489),ISNUMBER(U489)),ABS(S489-U489),IF(S489=U489,0,1))</x:f>
        <x:v>0</x:v>
      </x:c>
      <x:c r="W489" s="30" t="str">
        <x:v>PASS</x:v>
      </x:c>
      <x:c r="X489" s="28" t="str">
        <x:f>IF(V489&lt;=1E-9,"PASS","FAIL")</x:f>
        <x:v>PASS</x:v>
      </x:c>
      <x:c r="Y489" t="str">
        <x:v>Chú thích 2</x:v>
      </x:c>
      <x:c r="Z489" t="str"/>
    </x:row>
    <x:row r="490">
      <x:c r="A490" t="str">
        <x:v>G0487</x:v>
      </x:c>
      <x:c r="B490" t="str">
        <x:v>Bảng 3</x:v>
      </x:c>
      <x:c r="C490" t="str">
        <x:v>clay</x:v>
      </x:c>
      <x:c r="D490" t="str">
        <x:v>MID-2D</x:v>
      </x:c>
      <x:c r="E490" t="str">
        <x:v>{"z":1.5,"IL":0.75}</x:v>
      </x:c>
      <x:c r="F490" t="str">
        <x:v>BILINEAR-2D</x:v>
      </x:c>
      <x:c r="G490" t="n">
        <x:v>1.5</x:v>
      </x:c>
      <x:c r="H490" t="n">
        <x:v>0.75</x:v>
      </x:c>
      <x:c r="I490" t="n">
        <x:v>1</x:v>
      </x:c>
      <x:c r="J490" t="n">
        <x:v>2</x:v>
      </x:c>
      <x:c r="K490" t="n">
        <x:v>0.7</x:v>
      </x:c>
      <x:c r="L490" t="n">
        <x:v>0.8</x:v>
      </x:c>
      <x:c r="M490"/>
      <x:c r="N490"/>
      <x:c r="O490" t="n">
        <x:v>4</x:v>
      </x:c>
      <x:c r="P490" t="n">
        <x:v>4</x:v>
      </x:c>
      <x:c r="Q490" t="n">
        <x:v>7</x:v>
      </x:c>
      <x:c r="R490" t="n">
        <x:v>5</x:v>
      </x:c>
      <x:c r="S490" t="n">
        <x:v>5</x:v>
      </x:c>
      <x:c r="T490" t="n">
        <x:v>5</x:v>
      </x:c>
      <x:c r="U490" s="28" t="n">
        <x:f>(O490+(G490-I490)*(Q490-O490)/(J490-I490))+(H490-K490)/(L490-K490)*((P490+(G490-I490)*(R490-P490)/(J490-I490))-(O490+(G490-I490)*(Q490-O490)/(J490-I490)))</x:f>
        <x:v>5</x:v>
      </x:c>
      <x:c r="V490" s="32" t="n">
        <x:f>IF(AND(ISNUMBER(S490),ISNUMBER(U490)),ABS(S490-U490),IF(S490=U490,0,1))</x:f>
        <x:v>0</x:v>
      </x:c>
      <x:c r="W490" s="30" t="str">
        <x:v>PASS</x:v>
      </x:c>
      <x:c r="X490" s="28" t="str">
        <x:f>IF(V490&lt;=1E-9,"PASS","FAIL")</x:f>
        <x:v>PASS</x:v>
      </x:c>
      <x:c r="Y490" t="str">
        <x:v>Chú thích 2</x:v>
      </x:c>
      <x:c r="Z490" t="str"/>
    </x:row>
    <x:row r="491">
      <x:c r="A491" t="str">
        <x:v>G0488</x:v>
      </x:c>
      <x:c r="B491" t="str">
        <x:v>Bảng 3</x:v>
      </x:c>
      <x:c r="C491" t="str">
        <x:v>clay</x:v>
      </x:c>
      <x:c r="D491" t="str">
        <x:v>MID-2D</x:v>
      </x:c>
      <x:c r="E491" t="str">
        <x:v>{"z":1.5,"IL":0.8500000000000001}</x:v>
      </x:c>
      <x:c r="F491" t="str">
        <x:v>BILINEAR-2D</x:v>
      </x:c>
      <x:c r="G491" t="n">
        <x:v>1.5</x:v>
      </x:c>
      <x:c r="H491" t="n">
        <x:v>0.8500000000000001</x:v>
      </x:c>
      <x:c r="I491" t="n">
        <x:v>1</x:v>
      </x:c>
      <x:c r="J491" t="n">
        <x:v>2</x:v>
      </x:c>
      <x:c r="K491" t="n">
        <x:v>0.8</x:v>
      </x:c>
      <x:c r="L491" t="n">
        <x:v>0.9</x:v>
      </x:c>
      <x:c r="M491"/>
      <x:c r="N491"/>
      <x:c r="O491" t="n">
        <x:v>4</x:v>
      </x:c>
      <x:c r="P491" t="n">
        <x:v>3</x:v>
      </x:c>
      <x:c r="Q491" t="n">
        <x:v>5</x:v>
      </x:c>
      <x:c r="R491" t="n">
        <x:v>4</x:v>
      </x:c>
      <x:c r="S491" t="n">
        <x:v>3.9999999999999996</x:v>
      </x:c>
      <x:c r="T491" t="n">
        <x:v>3.9999999999999996</x:v>
      </x:c>
      <x:c r="U491" s="28" t="n">
        <x:f>(O491+(G491-I491)*(Q491-O491)/(J491-I491))+(H491-K491)/(L491-K491)*((P491+(G491-I491)*(R491-P491)/(J491-I491))-(O491+(G491-I491)*(Q491-O491)/(J491-I491)))</x:f>
        <x:v>3.9999999999999996</x:v>
      </x:c>
      <x:c r="V491" s="32" t="n">
        <x:f>IF(AND(ISNUMBER(S491),ISNUMBER(U491)),ABS(S491-U491),IF(S491=U491,0,1))</x:f>
        <x:v>0</x:v>
      </x:c>
      <x:c r="W491" s="30" t="str">
        <x:v>PASS</x:v>
      </x:c>
      <x:c r="X491" s="28" t="str">
        <x:f>IF(V491&lt;=1E-9,"PASS","FAIL")</x:f>
        <x:v>PASS</x:v>
      </x:c>
      <x:c r="Y491" t="str">
        <x:v>Chú thích 2</x:v>
      </x:c>
      <x:c r="Z491" t="str"/>
    </x:row>
    <x:row r="492">
      <x:c r="A492" t="str">
        <x:v>G0489</x:v>
      </x:c>
      <x:c r="B492" t="str">
        <x:v>Bảng 3</x:v>
      </x:c>
      <x:c r="C492" t="str">
        <x:v>clay</x:v>
      </x:c>
      <x:c r="D492" t="str">
        <x:v>MID-2D</x:v>
      </x:c>
      <x:c r="E492" t="str">
        <x:v>{"z":1.5,"IL":0.95}</x:v>
      </x:c>
      <x:c r="F492" t="str">
        <x:v>BILINEAR-2D</x:v>
      </x:c>
      <x:c r="G492" t="n">
        <x:v>1.5</x:v>
      </x:c>
      <x:c r="H492" t="n">
        <x:v>0.95</x:v>
      </x:c>
      <x:c r="I492" t="n">
        <x:v>1</x:v>
      </x:c>
      <x:c r="J492" t="n">
        <x:v>2</x:v>
      </x:c>
      <x:c r="K492" t="n">
        <x:v>0.9</x:v>
      </x:c>
      <x:c r="L492" t="n">
        <x:v>1</x:v>
      </x:c>
      <x:c r="M492"/>
      <x:c r="N492"/>
      <x:c r="O492" t="n">
        <x:v>3</x:v>
      </x:c>
      <x:c r="P492" t="n">
        <x:v>2</x:v>
      </x:c>
      <x:c r="Q492" t="n">
        <x:v>4</x:v>
      </x:c>
      <x:c r="R492" t="n">
        <x:v>4</x:v>
      </x:c>
      <x:c r="S492" t="n">
        <x:v>3.2500000000000004</x:v>
      </x:c>
      <x:c r="T492" t="n">
        <x:v>3.2500000000000004</x:v>
      </x:c>
      <x:c r="U492" s="28" t="n">
        <x:f>(O492+(G492-I492)*(Q492-O492)/(J492-I492))+(H492-K492)/(L492-K492)*((P492+(G492-I492)*(R492-P492)/(J492-I492))-(O492+(G492-I492)*(Q492-O492)/(J492-I492)))</x:f>
        <x:v>3.2500000000000004</x:v>
      </x:c>
      <x:c r="V492" s="32" t="n">
        <x:f>IF(AND(ISNUMBER(S492),ISNUMBER(U492)),ABS(S492-U492),IF(S492=U492,0,1))</x:f>
        <x:v>0</x:v>
      </x:c>
      <x:c r="W492" s="30" t="str">
        <x:v>PASS</x:v>
      </x:c>
      <x:c r="X492" s="28" t="str">
        <x:f>IF(V492&lt;=1E-9,"PASS","FAIL")</x:f>
        <x:v>PASS</x:v>
      </x:c>
      <x:c r="Y492" t="str">
        <x:v>Chú thích 2</x:v>
      </x:c>
      <x:c r="Z492" t="str"/>
    </x:row>
    <x:row r="493">
      <x:c r="A493" t="str">
        <x:v>G0490</x:v>
      </x:c>
      <x:c r="B493" t="str">
        <x:v>Bảng 3</x:v>
      </x:c>
      <x:c r="C493" t="str">
        <x:v>clay</x:v>
      </x:c>
      <x:c r="D493" t="str">
        <x:v>MID-2D</x:v>
      </x:c>
      <x:c r="E493" t="str">
        <x:v>{"z":2.5,"IL":0.25}</x:v>
      </x:c>
      <x:c r="F493" t="str">
        <x:v>BILINEAR-2D</x:v>
      </x:c>
      <x:c r="G493" t="n">
        <x:v>2.5</x:v>
      </x:c>
      <x:c r="H493" t="n">
        <x:v>0.25</x:v>
      </x:c>
      <x:c r="I493" t="n">
        <x:v>2</x:v>
      </x:c>
      <x:c r="J493" t="n">
        <x:v>3</x:v>
      </x:c>
      <x:c r="K493" t="n">
        <x:v>0.2</x:v>
      </x:c>
      <x:c r="L493" t="n">
        <x:v>0.3</x:v>
      </x:c>
      <x:c r="M493"/>
      <x:c r="N493"/>
      <x:c r="O493" t="n">
        <x:v>42</x:v>
      </x:c>
      <x:c r="P493" t="n">
        <x:v>30</x:v>
      </x:c>
      <x:c r="Q493" t="n">
        <x:v>48</x:v>
      </x:c>
      <x:c r="R493" t="n">
        <x:v>35</x:v>
      </x:c>
      <x:c r="S493" t="n">
        <x:v>38.75</x:v>
      </x:c>
      <x:c r="T493" t="n">
        <x:v>38.75</x:v>
      </x:c>
      <x:c r="U493" s="28" t="n">
        <x:f>(O493+(G493-I493)*(Q493-O493)/(J493-I493))+(H493-K493)/(L493-K493)*((P493+(G493-I493)*(R493-P493)/(J493-I493))-(O493+(G493-I493)*(Q493-O493)/(J493-I493)))</x:f>
        <x:v>38.75</x:v>
      </x:c>
      <x:c r="V493" s="32" t="n">
        <x:f>IF(AND(ISNUMBER(S493),ISNUMBER(U493)),ABS(S493-U493),IF(S493=U493,0,1))</x:f>
        <x:v>0</x:v>
      </x:c>
      <x:c r="W493" s="30" t="str">
        <x:v>PASS</x:v>
      </x:c>
      <x:c r="X493" s="28" t="str">
        <x:f>IF(V493&lt;=1E-9,"PASS","FAIL")</x:f>
        <x:v>PASS</x:v>
      </x:c>
      <x:c r="Y493" t="str">
        <x:v>Chú thích 2</x:v>
      </x:c>
      <x:c r="Z493" t="str"/>
    </x:row>
    <x:row r="494">
      <x:c r="A494" t="str">
        <x:v>G0491</x:v>
      </x:c>
      <x:c r="B494" t="str">
        <x:v>Bảng 3</x:v>
      </x:c>
      <x:c r="C494" t="str">
        <x:v>clay</x:v>
      </x:c>
      <x:c r="D494" t="str">
        <x:v>MID-2D</x:v>
      </x:c>
      <x:c r="E494" t="str">
        <x:v>{"z":2.5,"IL":0.35}</x:v>
      </x:c>
      <x:c r="F494" t="str">
        <x:v>BILINEAR-2D</x:v>
      </x:c>
      <x:c r="G494" t="n">
        <x:v>2.5</x:v>
      </x:c>
      <x:c r="H494" t="n">
        <x:v>0.35</x:v>
      </x:c>
      <x:c r="I494" t="n">
        <x:v>2</x:v>
      </x:c>
      <x:c r="J494" t="n">
        <x:v>3</x:v>
      </x:c>
      <x:c r="K494" t="n">
        <x:v>0.3</x:v>
      </x:c>
      <x:c r="L494" t="n">
        <x:v>0.4</x:v>
      </x:c>
      <x:c r="M494"/>
      <x:c r="N494"/>
      <x:c r="O494" t="n">
        <x:v>30</x:v>
      </x:c>
      <x:c r="P494" t="n">
        <x:v>21</x:v>
      </x:c>
      <x:c r="Q494" t="n">
        <x:v>35</x:v>
      </x:c>
      <x:c r="R494" t="n">
        <x:v>25</x:v>
      </x:c>
      <x:c r="S494" t="n">
        <x:v>27.750000000000004</x:v>
      </x:c>
      <x:c r="T494" t="n">
        <x:v>27.750000000000004</x:v>
      </x:c>
      <x:c r="U494" s="28" t="n">
        <x:f>(O494+(G494-I494)*(Q494-O494)/(J494-I494))+(H494-K494)/(L494-K494)*((P494+(G494-I494)*(R494-P494)/(J494-I494))-(O494+(G494-I494)*(Q494-O494)/(J494-I494)))</x:f>
        <x:v>27.750000000000004</x:v>
      </x:c>
      <x:c r="V494" s="32" t="n">
        <x:f>IF(AND(ISNUMBER(S494),ISNUMBER(U494)),ABS(S494-U494),IF(S494=U494,0,1))</x:f>
        <x:v>0</x:v>
      </x:c>
      <x:c r="W494" s="30" t="str">
        <x:v>PASS</x:v>
      </x:c>
      <x:c r="X494" s="28" t="str">
        <x:f>IF(V494&lt;=1E-9,"PASS","FAIL")</x:f>
        <x:v>PASS</x:v>
      </x:c>
      <x:c r="Y494" t="str">
        <x:v>Chú thích 2</x:v>
      </x:c>
      <x:c r="Z494" t="str"/>
    </x:row>
    <x:row r="495">
      <x:c r="A495" t="str">
        <x:v>G0492</x:v>
      </x:c>
      <x:c r="B495" t="str">
        <x:v>Bảng 3</x:v>
      </x:c>
      <x:c r="C495" t="str">
        <x:v>clay</x:v>
      </x:c>
      <x:c r="D495" t="str">
        <x:v>MID-2D</x:v>
      </x:c>
      <x:c r="E495" t="str">
        <x:v>{"z":2.5,"IL":0.45}</x:v>
      </x:c>
      <x:c r="F495" t="str">
        <x:v>BILINEAR-2D</x:v>
      </x:c>
      <x:c r="G495" t="n">
        <x:v>2.5</x:v>
      </x:c>
      <x:c r="H495" t="n">
        <x:v>0.45</x:v>
      </x:c>
      <x:c r="I495" t="n">
        <x:v>2</x:v>
      </x:c>
      <x:c r="J495" t="n">
        <x:v>3</x:v>
      </x:c>
      <x:c r="K495" t="n">
        <x:v>0.4</x:v>
      </x:c>
      <x:c r="L495" t="n">
        <x:v>0.5</x:v>
      </x:c>
      <x:c r="M495"/>
      <x:c r="N495"/>
      <x:c r="O495" t="n">
        <x:v>21</x:v>
      </x:c>
      <x:c r="P495" t="n">
        <x:v>17</x:v>
      </x:c>
      <x:c r="Q495" t="n">
        <x:v>25</x:v>
      </x:c>
      <x:c r="R495" t="n">
        <x:v>20</x:v>
      </x:c>
      <x:c r="S495" t="n">
        <x:v>20.75</x:v>
      </x:c>
      <x:c r="T495" t="n">
        <x:v>20.75</x:v>
      </x:c>
      <x:c r="U495" s="28" t="n">
        <x:f>(O495+(G495-I495)*(Q495-O495)/(J495-I495))+(H495-K495)/(L495-K495)*((P495+(G495-I495)*(R495-P495)/(J495-I495))-(O495+(G495-I495)*(Q495-O495)/(J495-I495)))</x:f>
        <x:v>20.75</x:v>
      </x:c>
      <x:c r="V495" s="32" t="n">
        <x:f>IF(AND(ISNUMBER(S495),ISNUMBER(U495)),ABS(S495-U495),IF(S495=U495,0,1))</x:f>
        <x:v>0</x:v>
      </x:c>
      <x:c r="W495" s="30" t="str">
        <x:v>PASS</x:v>
      </x:c>
      <x:c r="X495" s="28" t="str">
        <x:f>IF(V495&lt;=1E-9,"PASS","FAIL")</x:f>
        <x:v>PASS</x:v>
      </x:c>
      <x:c r="Y495" t="str">
        <x:v>Chú thích 2</x:v>
      </x:c>
      <x:c r="Z495" t="str"/>
    </x:row>
    <x:row r="496">
      <x:c r="A496" t="str">
        <x:v>G0493</x:v>
      </x:c>
      <x:c r="B496" t="str">
        <x:v>Bảng 3</x:v>
      </x:c>
      <x:c r="C496" t="str">
        <x:v>clay</x:v>
      </x:c>
      <x:c r="D496" t="str">
        <x:v>MID-2D</x:v>
      </x:c>
      <x:c r="E496" t="str">
        <x:v>{"z":2.5,"IL":0.55}</x:v>
      </x:c>
      <x:c r="F496" t="str">
        <x:v>BILINEAR-2D</x:v>
      </x:c>
      <x:c r="G496" t="n">
        <x:v>2.5</x:v>
      </x:c>
      <x:c r="H496" t="n">
        <x:v>0.55</x:v>
      </x:c>
      <x:c r="I496" t="n">
        <x:v>2</x:v>
      </x:c>
      <x:c r="J496" t="n">
        <x:v>3</x:v>
      </x:c>
      <x:c r="K496" t="n">
        <x:v>0.5</x:v>
      </x:c>
      <x:c r="L496" t="n">
        <x:v>0.6</x:v>
      </x:c>
      <x:c r="M496"/>
      <x:c r="N496"/>
      <x:c r="O496" t="n">
        <x:v>17</x:v>
      </x:c>
      <x:c r="P496" t="n">
        <x:v>12</x:v>
      </x:c>
      <x:c r="Q496" t="n">
        <x:v>20</x:v>
      </x:c>
      <x:c r="R496" t="n">
        <x:v>14</x:v>
      </x:c>
      <x:c r="S496" t="n">
        <x:v>15.749999999999996</x:v>
      </x:c>
      <x:c r="T496" t="n">
        <x:v>15.749999999999996</x:v>
      </x:c>
      <x:c r="U496" s="28" t="n">
        <x:f>(O496+(G496-I496)*(Q496-O496)/(J496-I496))+(H496-K496)/(L496-K496)*((P496+(G496-I496)*(R496-P496)/(J496-I496))-(O496+(G496-I496)*(Q496-O496)/(J496-I496)))</x:f>
        <x:v>15.749999999999996</x:v>
      </x:c>
      <x:c r="V496" s="32" t="n">
        <x:f>IF(AND(ISNUMBER(S496),ISNUMBER(U496)),ABS(S496-U496),IF(S496=U496,0,1))</x:f>
        <x:v>0</x:v>
      </x:c>
      <x:c r="W496" s="30" t="str">
        <x:v>PASS</x:v>
      </x:c>
      <x:c r="X496" s="28" t="str">
        <x:f>IF(V496&lt;=1E-9,"PASS","FAIL")</x:f>
        <x:v>PASS</x:v>
      </x:c>
      <x:c r="Y496" t="str">
        <x:v>Chú thích 2</x:v>
      </x:c>
      <x:c r="Z496" t="str"/>
    </x:row>
    <x:row r="497">
      <x:c r="A497" t="str">
        <x:v>G0494</x:v>
      </x:c>
      <x:c r="B497" t="str">
        <x:v>Bảng 3</x:v>
      </x:c>
      <x:c r="C497" t="str">
        <x:v>clay</x:v>
      </x:c>
      <x:c r="D497" t="str">
        <x:v>MID-2D</x:v>
      </x:c>
      <x:c r="E497" t="str">
        <x:v>{"z":2.5,"IL":0.6499999999999999}</x:v>
      </x:c>
      <x:c r="F497" t="str">
        <x:v>BILINEAR-2D</x:v>
      </x:c>
      <x:c r="G497" t="n">
        <x:v>2.5</x:v>
      </x:c>
      <x:c r="H497" t="n">
        <x:v>0.6499999999999999</x:v>
      </x:c>
      <x:c r="I497" t="n">
        <x:v>2</x:v>
      </x:c>
      <x:c r="J497" t="n">
        <x:v>3</x:v>
      </x:c>
      <x:c r="K497" t="n">
        <x:v>0.6</x:v>
      </x:c>
      <x:c r="L497" t="n">
        <x:v>0.7</x:v>
      </x:c>
      <x:c r="M497"/>
      <x:c r="N497"/>
      <x:c r="O497" t="n">
        <x:v>12</x:v>
      </x:c>
      <x:c r="P497" t="n">
        <x:v>7</x:v>
      </x:c>
      <x:c r="Q497" t="n">
        <x:v>14</x:v>
      </x:c>
      <x:c r="R497" t="n">
        <x:v>8</x:v>
      </x:c>
      <x:c r="S497" t="n">
        <x:v>10.250000000000004</x:v>
      </x:c>
      <x:c r="T497" t="n">
        <x:v>10.250000000000004</x:v>
      </x:c>
      <x:c r="U497" s="28" t="n">
        <x:f>(O497+(G497-I497)*(Q497-O497)/(J497-I497))+(H497-K497)/(L497-K497)*((P497+(G497-I497)*(R497-P497)/(J497-I497))-(O497+(G497-I497)*(Q497-O497)/(J497-I497)))</x:f>
        <x:v>10.250000000000004</x:v>
      </x:c>
      <x:c r="V497" s="32" t="n">
        <x:f>IF(AND(ISNUMBER(S497),ISNUMBER(U497)),ABS(S497-U497),IF(S497=U497,0,1))</x:f>
        <x:v>0</x:v>
      </x:c>
      <x:c r="W497" s="30" t="str">
        <x:v>PASS</x:v>
      </x:c>
      <x:c r="X497" s="28" t="str">
        <x:f>IF(V497&lt;=1E-9,"PASS","FAIL")</x:f>
        <x:v>PASS</x:v>
      </x:c>
      <x:c r="Y497" t="str">
        <x:v>Chú thích 2</x:v>
      </x:c>
      <x:c r="Z497" t="str"/>
    </x:row>
    <x:row r="498">
      <x:c r="A498" t="str">
        <x:v>G0495</x:v>
      </x:c>
      <x:c r="B498" t="str">
        <x:v>Bảng 3</x:v>
      </x:c>
      <x:c r="C498" t="str">
        <x:v>clay</x:v>
      </x:c>
      <x:c r="D498" t="str">
        <x:v>MID-2D</x:v>
      </x:c>
      <x:c r="E498" t="str">
        <x:v>{"z":2.5,"IL":0.75}</x:v>
      </x:c>
      <x:c r="F498" t="str">
        <x:v>BILINEAR-2D</x:v>
      </x:c>
      <x:c r="G498" t="n">
        <x:v>2.5</x:v>
      </x:c>
      <x:c r="H498" t="n">
        <x:v>0.75</x:v>
      </x:c>
      <x:c r="I498" t="n">
        <x:v>2</x:v>
      </x:c>
      <x:c r="J498" t="n">
        <x:v>3</x:v>
      </x:c>
      <x:c r="K498" t="n">
        <x:v>0.7</x:v>
      </x:c>
      <x:c r="L498" t="n">
        <x:v>0.8</x:v>
      </x:c>
      <x:c r="M498"/>
      <x:c r="N498"/>
      <x:c r="O498" t="n">
        <x:v>7</x:v>
      </x:c>
      <x:c r="P498" t="n">
        <x:v>5</x:v>
      </x:c>
      <x:c r="Q498" t="n">
        <x:v>8</x:v>
      </x:c>
      <x:c r="R498" t="n">
        <x:v>7</x:v>
      </x:c>
      <x:c r="S498" t="n">
        <x:v>6.75</x:v>
      </x:c>
      <x:c r="T498" t="n">
        <x:v>6.75</x:v>
      </x:c>
      <x:c r="U498" s="28" t="n">
        <x:f>(O498+(G498-I498)*(Q498-O498)/(J498-I498))+(H498-K498)/(L498-K498)*((P498+(G498-I498)*(R498-P498)/(J498-I498))-(O498+(G498-I498)*(Q498-O498)/(J498-I498)))</x:f>
        <x:v>6.75</x:v>
      </x:c>
      <x:c r="V498" s="32" t="n">
        <x:f>IF(AND(ISNUMBER(S498),ISNUMBER(U498)),ABS(S498-U498),IF(S498=U498,0,1))</x:f>
        <x:v>0</x:v>
      </x:c>
      <x:c r="W498" s="30" t="str">
        <x:v>PASS</x:v>
      </x:c>
      <x:c r="X498" s="28" t="str">
        <x:f>IF(V498&lt;=1E-9,"PASS","FAIL")</x:f>
        <x:v>PASS</x:v>
      </x:c>
      <x:c r="Y498" t="str">
        <x:v>Chú thích 2</x:v>
      </x:c>
      <x:c r="Z498" t="str"/>
    </x:row>
    <x:row r="499">
      <x:c r="A499" t="str">
        <x:v>G0496</x:v>
      </x:c>
      <x:c r="B499" t="str">
        <x:v>Bảng 3</x:v>
      </x:c>
      <x:c r="C499" t="str">
        <x:v>clay</x:v>
      </x:c>
      <x:c r="D499" t="str">
        <x:v>MID-2D</x:v>
      </x:c>
      <x:c r="E499" t="str">
        <x:v>{"z":2.5,"IL":0.8500000000000001}</x:v>
      </x:c>
      <x:c r="F499" t="str">
        <x:v>BILINEAR-2D</x:v>
      </x:c>
      <x:c r="G499" t="n">
        <x:v>2.5</x:v>
      </x:c>
      <x:c r="H499" t="n">
        <x:v>0.8500000000000001</x:v>
      </x:c>
      <x:c r="I499" t="n">
        <x:v>2</x:v>
      </x:c>
      <x:c r="J499" t="n">
        <x:v>3</x:v>
      </x:c>
      <x:c r="K499" t="n">
        <x:v>0.8</x:v>
      </x:c>
      <x:c r="L499" t="n">
        <x:v>0.9</x:v>
      </x:c>
      <x:c r="M499"/>
      <x:c r="N499"/>
      <x:c r="O499" t="n">
        <x:v>5</x:v>
      </x:c>
      <x:c r="P499" t="n">
        <x:v>4</x:v>
      </x:c>
      <x:c r="Q499" t="n">
        <x:v>7</x:v>
      </x:c>
      <x:c r="R499" t="n">
        <x:v>6</x:v>
      </x:c>
      <x:c r="S499" t="n">
        <x:v>5.499999999999999</x:v>
      </x:c>
      <x:c r="T499" t="n">
        <x:v>5.499999999999999</x:v>
      </x:c>
      <x:c r="U499" s="28" t="n">
        <x:f>(O499+(G499-I499)*(Q499-O499)/(J499-I499))+(H499-K499)/(L499-K499)*((P499+(G499-I499)*(R499-P499)/(J499-I499))-(O499+(G499-I499)*(Q499-O499)/(J499-I499)))</x:f>
        <x:v>5.499999999999999</x:v>
      </x:c>
      <x:c r="V499" s="32" t="n">
        <x:f>IF(AND(ISNUMBER(S499),ISNUMBER(U499)),ABS(S499-U499),IF(S499=U499,0,1))</x:f>
        <x:v>0</x:v>
      </x:c>
      <x:c r="W499" s="30" t="str">
        <x:v>PASS</x:v>
      </x:c>
      <x:c r="X499" s="28" t="str">
        <x:f>IF(V499&lt;=1E-9,"PASS","FAIL")</x:f>
        <x:v>PASS</x:v>
      </x:c>
      <x:c r="Y499" t="str">
        <x:v>Chú thích 2</x:v>
      </x:c>
      <x:c r="Z499" t="str"/>
    </x:row>
    <x:row r="500">
      <x:c r="A500" t="str">
        <x:v>G0497</x:v>
      </x:c>
      <x:c r="B500" t="str">
        <x:v>Bảng 3</x:v>
      </x:c>
      <x:c r="C500" t="str">
        <x:v>clay</x:v>
      </x:c>
      <x:c r="D500" t="str">
        <x:v>MID-2D</x:v>
      </x:c>
      <x:c r="E500" t="str">
        <x:v>{"z":2.5,"IL":0.95}</x:v>
      </x:c>
      <x:c r="F500" t="str">
        <x:v>BILINEAR-2D</x:v>
      </x:c>
      <x:c r="G500" t="n">
        <x:v>2.5</x:v>
      </x:c>
      <x:c r="H500" t="n">
        <x:v>0.95</x:v>
      </x:c>
      <x:c r="I500" t="n">
        <x:v>2</x:v>
      </x:c>
      <x:c r="J500" t="n">
        <x:v>3</x:v>
      </x:c>
      <x:c r="K500" t="n">
        <x:v>0.9</x:v>
      </x:c>
      <x:c r="L500" t="n">
        <x:v>1</x:v>
      </x:c>
      <x:c r="M500"/>
      <x:c r="N500"/>
      <x:c r="O500" t="n">
        <x:v>4</x:v>
      </x:c>
      <x:c r="P500" t="n">
        <x:v>4</x:v>
      </x:c>
      <x:c r="Q500" t="n">
        <x:v>6</x:v>
      </x:c>
      <x:c r="R500" t="n">
        <x:v>5</x:v>
      </x:c>
      <x:c r="S500" t="n">
        <x:v>4.75</x:v>
      </x:c>
      <x:c r="T500" t="n">
        <x:v>4.75</x:v>
      </x:c>
      <x:c r="U500" s="28" t="n">
        <x:f>(O500+(G500-I500)*(Q500-O500)/(J500-I500))+(H500-K500)/(L500-K500)*((P500+(G500-I500)*(R500-P500)/(J500-I500))-(O500+(G500-I500)*(Q500-O500)/(J500-I500)))</x:f>
        <x:v>4.75</x:v>
      </x:c>
      <x:c r="V500" s="32" t="n">
        <x:f>IF(AND(ISNUMBER(S500),ISNUMBER(U500)),ABS(S500-U500),IF(S500=U500,0,1))</x:f>
        <x:v>0</x:v>
      </x:c>
      <x:c r="W500" s="30" t="str">
        <x:v>PASS</x:v>
      </x:c>
      <x:c r="X500" s="28" t="str">
        <x:f>IF(V500&lt;=1E-9,"PASS","FAIL")</x:f>
        <x:v>PASS</x:v>
      </x:c>
      <x:c r="Y500" t="str">
        <x:v>Chú thích 2</x:v>
      </x:c>
      <x:c r="Z500" t="str"/>
    </x:row>
    <x:row r="501">
      <x:c r="A501" t="str">
        <x:v>G0498</x:v>
      </x:c>
      <x:c r="B501" t="str">
        <x:v>Bảng 3</x:v>
      </x:c>
      <x:c r="C501" t="str">
        <x:v>clay</x:v>
      </x:c>
      <x:c r="D501" t="str">
        <x:v>MID-2D</x:v>
      </x:c>
      <x:c r="E501" t="str">
        <x:v>{"z":3.5,"IL":0.25}</x:v>
      </x:c>
      <x:c r="F501" t="str">
        <x:v>BILINEAR-2D</x:v>
      </x:c>
      <x:c r="G501" t="n">
        <x:v>3.5</x:v>
      </x:c>
      <x:c r="H501" t="n">
        <x:v>0.25</x:v>
      </x:c>
      <x:c r="I501" t="n">
        <x:v>3</x:v>
      </x:c>
      <x:c r="J501" t="n">
        <x:v>4</x:v>
      </x:c>
      <x:c r="K501" t="n">
        <x:v>0.2</x:v>
      </x:c>
      <x:c r="L501" t="n">
        <x:v>0.3</x:v>
      </x:c>
      <x:c r="M501"/>
      <x:c r="N501"/>
      <x:c r="O501" t="n">
        <x:v>48</x:v>
      </x:c>
      <x:c r="P501" t="n">
        <x:v>35</x:v>
      </x:c>
      <x:c r="Q501" t="n">
        <x:v>53</x:v>
      </x:c>
      <x:c r="R501" t="n">
        <x:v>38</x:v>
      </x:c>
      <x:c r="S501" t="n">
        <x:v>43.5</x:v>
      </x:c>
      <x:c r="T501" t="n">
        <x:v>43.5</x:v>
      </x:c>
      <x:c r="U501" s="28" t="n">
        <x:f>(O501+(G501-I501)*(Q501-O501)/(J501-I501))+(H501-K501)/(L501-K501)*((P501+(G501-I501)*(R501-P501)/(J501-I501))-(O501+(G501-I501)*(Q501-O501)/(J501-I501)))</x:f>
        <x:v>43.5</x:v>
      </x:c>
      <x:c r="V501" s="32" t="n">
        <x:f>IF(AND(ISNUMBER(S501),ISNUMBER(U501)),ABS(S501-U501),IF(S501=U501,0,1))</x:f>
        <x:v>0</x:v>
      </x:c>
      <x:c r="W501" s="30" t="str">
        <x:v>PASS</x:v>
      </x:c>
      <x:c r="X501" s="28" t="str">
        <x:f>IF(V501&lt;=1E-9,"PASS","FAIL")</x:f>
        <x:v>PASS</x:v>
      </x:c>
      <x:c r="Y501" t="str">
        <x:v>Chú thích 2</x:v>
      </x:c>
      <x:c r="Z501" t="str"/>
    </x:row>
    <x:row r="502">
      <x:c r="A502" t="str">
        <x:v>G0499</x:v>
      </x:c>
      <x:c r="B502" t="str">
        <x:v>Bảng 3</x:v>
      </x:c>
      <x:c r="C502" t="str">
        <x:v>clay</x:v>
      </x:c>
      <x:c r="D502" t="str">
        <x:v>MID-2D</x:v>
      </x:c>
      <x:c r="E502" t="str">
        <x:v>{"z":3.5,"IL":0.35}</x:v>
      </x:c>
      <x:c r="F502" t="str">
        <x:v>BILINEAR-2D</x:v>
      </x:c>
      <x:c r="G502" t="n">
        <x:v>3.5</x:v>
      </x:c>
      <x:c r="H502" t="n">
        <x:v>0.35</x:v>
      </x:c>
      <x:c r="I502" t="n">
        <x:v>3</x:v>
      </x:c>
      <x:c r="J502" t="n">
        <x:v>4</x:v>
      </x:c>
      <x:c r="K502" t="n">
        <x:v>0.3</x:v>
      </x:c>
      <x:c r="L502" t="n">
        <x:v>0.4</x:v>
      </x:c>
      <x:c r="M502"/>
      <x:c r="N502"/>
      <x:c r="O502" t="n">
        <x:v>35</x:v>
      </x:c>
      <x:c r="P502" t="n">
        <x:v>25</x:v>
      </x:c>
      <x:c r="Q502" t="n">
        <x:v>38</x:v>
      </x:c>
      <x:c r="R502" t="n">
        <x:v>27</x:v>
      </x:c>
      <x:c r="S502" t="n">
        <x:v>31.250000000000004</x:v>
      </x:c>
      <x:c r="T502" t="n">
        <x:v>31.250000000000004</x:v>
      </x:c>
      <x:c r="U502" s="28" t="n">
        <x:f>(O502+(G502-I502)*(Q502-O502)/(J502-I502))+(H502-K502)/(L502-K502)*((P502+(G502-I502)*(R502-P502)/(J502-I502))-(O502+(G502-I502)*(Q502-O502)/(J502-I502)))</x:f>
        <x:v>31.250000000000004</x:v>
      </x:c>
      <x:c r="V502" s="32" t="n">
        <x:f>IF(AND(ISNUMBER(S502),ISNUMBER(U502)),ABS(S502-U502),IF(S502=U502,0,1))</x:f>
        <x:v>0</x:v>
      </x:c>
      <x:c r="W502" s="30" t="str">
        <x:v>PASS</x:v>
      </x:c>
      <x:c r="X502" s="28" t="str">
        <x:f>IF(V502&lt;=1E-9,"PASS","FAIL")</x:f>
        <x:v>PASS</x:v>
      </x:c>
      <x:c r="Y502" t="str">
        <x:v>Chú thích 2</x:v>
      </x:c>
      <x:c r="Z502" t="str"/>
    </x:row>
    <x:row r="503">
      <x:c r="A503" t="str">
        <x:v>G0500</x:v>
      </x:c>
      <x:c r="B503" t="str">
        <x:v>Bảng 3</x:v>
      </x:c>
      <x:c r="C503" t="str">
        <x:v>clay</x:v>
      </x:c>
      <x:c r="D503" t="str">
        <x:v>MID-2D</x:v>
      </x:c>
      <x:c r="E503" t="str">
        <x:v>{"z":3.5,"IL":0.45}</x:v>
      </x:c>
      <x:c r="F503" t="str">
        <x:v>BILINEAR-2D</x:v>
      </x:c>
      <x:c r="G503" t="n">
        <x:v>3.5</x:v>
      </x:c>
      <x:c r="H503" t="n">
        <x:v>0.45</x:v>
      </x:c>
      <x:c r="I503" t="n">
        <x:v>3</x:v>
      </x:c>
      <x:c r="J503" t="n">
        <x:v>4</x:v>
      </x:c>
      <x:c r="K503" t="n">
        <x:v>0.4</x:v>
      </x:c>
      <x:c r="L503" t="n">
        <x:v>0.5</x:v>
      </x:c>
      <x:c r="M503"/>
      <x:c r="N503"/>
      <x:c r="O503" t="n">
        <x:v>25</x:v>
      </x:c>
      <x:c r="P503" t="n">
        <x:v>20</x:v>
      </x:c>
      <x:c r="Q503" t="n">
        <x:v>27</x:v>
      </x:c>
      <x:c r="R503" t="n">
        <x:v>22</x:v>
      </x:c>
      <x:c r="S503" t="n">
        <x:v>23.5</x:v>
      </x:c>
      <x:c r="T503" t="n">
        <x:v>23.5</x:v>
      </x:c>
      <x:c r="U503" s="28" t="n">
        <x:f>(O503+(G503-I503)*(Q503-O503)/(J503-I503))+(H503-K503)/(L503-K503)*((P503+(G503-I503)*(R503-P503)/(J503-I503))-(O503+(G503-I503)*(Q503-O503)/(J503-I503)))</x:f>
        <x:v>23.5</x:v>
      </x:c>
      <x:c r="V503" s="32" t="n">
        <x:f>IF(AND(ISNUMBER(S503),ISNUMBER(U503)),ABS(S503-U503),IF(S503=U503,0,1))</x:f>
        <x:v>0</x:v>
      </x:c>
      <x:c r="W503" s="30" t="str">
        <x:v>PASS</x:v>
      </x:c>
      <x:c r="X503" s="28" t="str">
        <x:f>IF(V503&lt;=1E-9,"PASS","FAIL")</x:f>
        <x:v>PASS</x:v>
      </x:c>
      <x:c r="Y503" t="str">
        <x:v>Chú thích 2</x:v>
      </x:c>
      <x:c r="Z503" t="str"/>
    </x:row>
    <x:row r="504">
      <x:c r="A504" t="str">
        <x:v>G0501</x:v>
      </x:c>
      <x:c r="B504" t="str">
        <x:v>Bảng 3</x:v>
      </x:c>
      <x:c r="C504" t="str">
        <x:v>clay</x:v>
      </x:c>
      <x:c r="D504" t="str">
        <x:v>MID-2D</x:v>
      </x:c>
      <x:c r="E504" t="str">
        <x:v>{"z":3.5,"IL":0.55}</x:v>
      </x:c>
      <x:c r="F504" t="str">
        <x:v>BILINEAR-2D</x:v>
      </x:c>
      <x:c r="G504" t="n">
        <x:v>3.5</x:v>
      </x:c>
      <x:c r="H504" t="n">
        <x:v>0.55</x:v>
      </x:c>
      <x:c r="I504" t="n">
        <x:v>3</x:v>
      </x:c>
      <x:c r="J504" t="n">
        <x:v>4</x:v>
      </x:c>
      <x:c r="K504" t="n">
        <x:v>0.5</x:v>
      </x:c>
      <x:c r="L504" t="n">
        <x:v>0.6</x:v>
      </x:c>
      <x:c r="M504"/>
      <x:c r="N504"/>
      <x:c r="O504" t="n">
        <x:v>20</x:v>
      </x:c>
      <x:c r="P504" t="n">
        <x:v>14</x:v>
      </x:c>
      <x:c r="Q504" t="n">
        <x:v>22</x:v>
      </x:c>
      <x:c r="R504" t="n">
        <x:v>16</x:v>
      </x:c>
      <x:c r="S504" t="n">
        <x:v>17.999999999999996</x:v>
      </x:c>
      <x:c r="T504" t="n">
        <x:v>17.999999999999996</x:v>
      </x:c>
      <x:c r="U504" s="28" t="n">
        <x:f>(O504+(G504-I504)*(Q504-O504)/(J504-I504))+(H504-K504)/(L504-K504)*((P504+(G504-I504)*(R504-P504)/(J504-I504))-(O504+(G504-I504)*(Q504-O504)/(J504-I504)))</x:f>
        <x:v>17.999999999999996</x:v>
      </x:c>
      <x:c r="V504" s="32" t="n">
        <x:f>IF(AND(ISNUMBER(S504),ISNUMBER(U504)),ABS(S504-U504),IF(S504=U504,0,1))</x:f>
        <x:v>0</x:v>
      </x:c>
      <x:c r="W504" s="30" t="str">
        <x:v>PASS</x:v>
      </x:c>
      <x:c r="X504" s="28" t="str">
        <x:f>IF(V504&lt;=1E-9,"PASS","FAIL")</x:f>
        <x:v>PASS</x:v>
      </x:c>
      <x:c r="Y504" t="str">
        <x:v>Chú thích 2</x:v>
      </x:c>
      <x:c r="Z504" t="str"/>
    </x:row>
    <x:row r="505">
      <x:c r="A505" t="str">
        <x:v>G0502</x:v>
      </x:c>
      <x:c r="B505" t="str">
        <x:v>Bảng 3</x:v>
      </x:c>
      <x:c r="C505" t="str">
        <x:v>clay</x:v>
      </x:c>
      <x:c r="D505" t="str">
        <x:v>MID-2D</x:v>
      </x:c>
      <x:c r="E505" t="str">
        <x:v>{"z":3.5,"IL":0.6499999999999999}</x:v>
      </x:c>
      <x:c r="F505" t="str">
        <x:v>BILINEAR-2D</x:v>
      </x:c>
      <x:c r="G505" t="n">
        <x:v>3.5</x:v>
      </x:c>
      <x:c r="H505" t="n">
        <x:v>0.6499999999999999</x:v>
      </x:c>
      <x:c r="I505" t="n">
        <x:v>3</x:v>
      </x:c>
      <x:c r="J505" t="n">
        <x:v>4</x:v>
      </x:c>
      <x:c r="K505" t="n">
        <x:v>0.6</x:v>
      </x:c>
      <x:c r="L505" t="n">
        <x:v>0.7</x:v>
      </x:c>
      <x:c r="M505"/>
      <x:c r="N505"/>
      <x:c r="O505" t="n">
        <x:v>14</x:v>
      </x:c>
      <x:c r="P505" t="n">
        <x:v>8</x:v>
      </x:c>
      <x:c r="Q505" t="n">
        <x:v>16</x:v>
      </x:c>
      <x:c r="R505" t="n">
        <x:v>9</x:v>
      </x:c>
      <x:c r="S505" t="n">
        <x:v>11.750000000000004</x:v>
      </x:c>
      <x:c r="T505" t="n">
        <x:v>11.750000000000004</x:v>
      </x:c>
      <x:c r="U505" s="28" t="n">
        <x:f>(O505+(G505-I505)*(Q505-O505)/(J505-I505))+(H505-K505)/(L505-K505)*((P505+(G505-I505)*(R505-P505)/(J505-I505))-(O505+(G505-I505)*(Q505-O505)/(J505-I505)))</x:f>
        <x:v>11.750000000000004</x:v>
      </x:c>
      <x:c r="V505" s="32" t="n">
        <x:f>IF(AND(ISNUMBER(S505),ISNUMBER(U505)),ABS(S505-U505),IF(S505=U505,0,1))</x:f>
        <x:v>0</x:v>
      </x:c>
      <x:c r="W505" s="30" t="str">
        <x:v>PASS</x:v>
      </x:c>
      <x:c r="X505" s="28" t="str">
        <x:f>IF(V505&lt;=1E-9,"PASS","FAIL")</x:f>
        <x:v>PASS</x:v>
      </x:c>
      <x:c r="Y505" t="str">
        <x:v>Chú thích 2</x:v>
      </x:c>
      <x:c r="Z505" t="str"/>
    </x:row>
    <x:row r="506">
      <x:c r="A506" t="str">
        <x:v>G0503</x:v>
      </x:c>
      <x:c r="B506" t="str">
        <x:v>Bảng 3</x:v>
      </x:c>
      <x:c r="C506" t="str">
        <x:v>clay</x:v>
      </x:c>
      <x:c r="D506" t="str">
        <x:v>MID-2D</x:v>
      </x:c>
      <x:c r="E506" t="str">
        <x:v>{"z":3.5,"IL":0.75}</x:v>
      </x:c>
      <x:c r="F506" t="str">
        <x:v>BILINEAR-2D</x:v>
      </x:c>
      <x:c r="G506" t="n">
        <x:v>3.5</x:v>
      </x:c>
      <x:c r="H506" t="n">
        <x:v>0.75</x:v>
      </x:c>
      <x:c r="I506" t="n">
        <x:v>3</x:v>
      </x:c>
      <x:c r="J506" t="n">
        <x:v>4</x:v>
      </x:c>
      <x:c r="K506" t="n">
        <x:v>0.7</x:v>
      </x:c>
      <x:c r="L506" t="n">
        <x:v>0.8</x:v>
      </x:c>
      <x:c r="M506"/>
      <x:c r="N506"/>
      <x:c r="O506" t="n">
        <x:v>8</x:v>
      </x:c>
      <x:c r="P506" t="n">
        <x:v>7</x:v>
      </x:c>
      <x:c r="Q506" t="n">
        <x:v>9</x:v>
      </x:c>
      <x:c r="R506" t="n">
        <x:v>8</x:v>
      </x:c>
      <x:c r="S506" t="n">
        <x:v>8</x:v>
      </x:c>
      <x:c r="T506" t="n">
        <x:v>8</x:v>
      </x:c>
      <x:c r="U506" s="28" t="n">
        <x:f>(O506+(G506-I506)*(Q506-O506)/(J506-I506))+(H506-K506)/(L506-K506)*((P506+(G506-I506)*(R506-P506)/(J506-I506))-(O506+(G506-I506)*(Q506-O506)/(J506-I506)))</x:f>
        <x:v>8</x:v>
      </x:c>
      <x:c r="V506" s="32" t="n">
        <x:f>IF(AND(ISNUMBER(S506),ISNUMBER(U506)),ABS(S506-U506),IF(S506=U506,0,1))</x:f>
        <x:v>0</x:v>
      </x:c>
      <x:c r="W506" s="30" t="str">
        <x:v>PASS</x:v>
      </x:c>
      <x:c r="X506" s="28" t="str">
        <x:f>IF(V506&lt;=1E-9,"PASS","FAIL")</x:f>
        <x:v>PASS</x:v>
      </x:c>
      <x:c r="Y506" t="str">
        <x:v>Chú thích 2</x:v>
      </x:c>
      <x:c r="Z506" t="str"/>
    </x:row>
    <x:row r="507">
      <x:c r="A507" t="str">
        <x:v>G0504</x:v>
      </x:c>
      <x:c r="B507" t="str">
        <x:v>Bảng 3</x:v>
      </x:c>
      <x:c r="C507" t="str">
        <x:v>clay</x:v>
      </x:c>
      <x:c r="D507" t="str">
        <x:v>MID-2D</x:v>
      </x:c>
      <x:c r="E507" t="str">
        <x:v>{"z":3.5,"IL":0.8500000000000001}</x:v>
      </x:c>
      <x:c r="F507" t="str">
        <x:v>BILINEAR-2D</x:v>
      </x:c>
      <x:c r="G507" t="n">
        <x:v>3.5</x:v>
      </x:c>
      <x:c r="H507" t="n">
        <x:v>0.8500000000000001</x:v>
      </x:c>
      <x:c r="I507" t="n">
        <x:v>3</x:v>
      </x:c>
      <x:c r="J507" t="n">
        <x:v>4</x:v>
      </x:c>
      <x:c r="K507" t="n">
        <x:v>0.8</x:v>
      </x:c>
      <x:c r="L507" t="n">
        <x:v>0.9</x:v>
      </x:c>
      <x:c r="M507"/>
      <x:c r="N507"/>
      <x:c r="O507" t="n">
        <x:v>7</x:v>
      </x:c>
      <x:c r="P507" t="n">
        <x:v>6</x:v>
      </x:c>
      <x:c r="Q507" t="n">
        <x:v>8</x:v>
      </x:c>
      <x:c r="R507" t="n">
        <x:v>7</x:v>
      </x:c>
      <x:c r="S507" t="n">
        <x:v>6.999999999999999</x:v>
      </x:c>
      <x:c r="T507" t="n">
        <x:v>6.999999999999999</x:v>
      </x:c>
      <x:c r="U507" s="28" t="n">
        <x:f>(O507+(G507-I507)*(Q507-O507)/(J507-I507))+(H507-K507)/(L507-K507)*((P507+(G507-I507)*(R507-P507)/(J507-I507))-(O507+(G507-I507)*(Q507-O507)/(J507-I507)))</x:f>
        <x:v>6.999999999999999</x:v>
      </x:c>
      <x:c r="V507" s="32" t="n">
        <x:f>IF(AND(ISNUMBER(S507),ISNUMBER(U507)),ABS(S507-U507),IF(S507=U507,0,1))</x:f>
        <x:v>0</x:v>
      </x:c>
      <x:c r="W507" s="30" t="str">
        <x:v>PASS</x:v>
      </x:c>
      <x:c r="X507" s="28" t="str">
        <x:f>IF(V507&lt;=1E-9,"PASS","FAIL")</x:f>
        <x:v>PASS</x:v>
      </x:c>
      <x:c r="Y507" t="str">
        <x:v>Chú thích 2</x:v>
      </x:c>
      <x:c r="Z507" t="str"/>
    </x:row>
    <x:row r="508">
      <x:c r="A508" t="str">
        <x:v>G0505</x:v>
      </x:c>
      <x:c r="B508" t="str">
        <x:v>Bảng 3</x:v>
      </x:c>
      <x:c r="C508" t="str">
        <x:v>clay</x:v>
      </x:c>
      <x:c r="D508" t="str">
        <x:v>MID-2D</x:v>
      </x:c>
      <x:c r="E508" t="str">
        <x:v>{"z":3.5,"IL":0.95}</x:v>
      </x:c>
      <x:c r="F508" t="str">
        <x:v>BILINEAR-2D</x:v>
      </x:c>
      <x:c r="G508" t="n">
        <x:v>3.5</x:v>
      </x:c>
      <x:c r="H508" t="n">
        <x:v>0.95</x:v>
      </x:c>
      <x:c r="I508" t="n">
        <x:v>3</x:v>
      </x:c>
      <x:c r="J508" t="n">
        <x:v>4</x:v>
      </x:c>
      <x:c r="K508" t="n">
        <x:v>0.9</x:v>
      </x:c>
      <x:c r="L508" t="n">
        <x:v>1</x:v>
      </x:c>
      <x:c r="M508"/>
      <x:c r="N508"/>
      <x:c r="O508" t="n">
        <x:v>6</x:v>
      </x:c>
      <x:c r="P508" t="n">
        <x:v>5</x:v>
      </x:c>
      <x:c r="Q508" t="n">
        <x:v>7</x:v>
      </x:c>
      <x:c r="R508" t="n">
        <x:v>5</x:v>
      </x:c>
      <x:c r="S508" t="n">
        <x:v>5.750000000000001</x:v>
      </x:c>
      <x:c r="T508" t="n">
        <x:v>5.750000000000001</x:v>
      </x:c>
      <x:c r="U508" s="28" t="n">
        <x:f>(O508+(G508-I508)*(Q508-O508)/(J508-I508))+(H508-K508)/(L508-K508)*((P508+(G508-I508)*(R508-P508)/(J508-I508))-(O508+(G508-I508)*(Q508-O508)/(J508-I508)))</x:f>
        <x:v>5.750000000000001</x:v>
      </x:c>
      <x:c r="V508" s="32" t="n">
        <x:f>IF(AND(ISNUMBER(S508),ISNUMBER(U508)),ABS(S508-U508),IF(S508=U508,0,1))</x:f>
        <x:v>0</x:v>
      </x:c>
      <x:c r="W508" s="30" t="str">
        <x:v>PASS</x:v>
      </x:c>
      <x:c r="X508" s="28" t="str">
        <x:f>IF(V508&lt;=1E-9,"PASS","FAIL")</x:f>
        <x:v>PASS</x:v>
      </x:c>
      <x:c r="Y508" t="str">
        <x:v>Chú thích 2</x:v>
      </x:c>
      <x:c r="Z508" t="str"/>
    </x:row>
    <x:row r="509">
      <x:c r="A509" t="str">
        <x:v>G0506</x:v>
      </x:c>
      <x:c r="B509" t="str">
        <x:v>Bảng 3</x:v>
      </x:c>
      <x:c r="C509" t="str">
        <x:v>clay</x:v>
      </x:c>
      <x:c r="D509" t="str">
        <x:v>MID-2D</x:v>
      </x:c>
      <x:c r="E509" t="str">
        <x:v>{"z":4.5,"IL":0.25}</x:v>
      </x:c>
      <x:c r="F509" t="str">
        <x:v>BILINEAR-2D</x:v>
      </x:c>
      <x:c r="G509" t="n">
        <x:v>4.5</x:v>
      </x:c>
      <x:c r="H509" t="n">
        <x:v>0.25</x:v>
      </x:c>
      <x:c r="I509" t="n">
        <x:v>4</x:v>
      </x:c>
      <x:c r="J509" t="n">
        <x:v>5</x:v>
      </x:c>
      <x:c r="K509" t="n">
        <x:v>0.2</x:v>
      </x:c>
      <x:c r="L509" t="n">
        <x:v>0.3</x:v>
      </x:c>
      <x:c r="M509"/>
      <x:c r="N509"/>
      <x:c r="O509" t="n">
        <x:v>53</x:v>
      </x:c>
      <x:c r="P509" t="n">
        <x:v>38</x:v>
      </x:c>
      <x:c r="Q509" t="n">
        <x:v>56</x:v>
      </x:c>
      <x:c r="R509" t="n">
        <x:v>40</x:v>
      </x:c>
      <x:c r="S509" t="n">
        <x:v>46.75</x:v>
      </x:c>
      <x:c r="T509" t="n">
        <x:v>46.75</x:v>
      </x:c>
      <x:c r="U509" s="28" t="n">
        <x:f>(O509+(G509-I509)*(Q509-O509)/(J509-I509))+(H509-K509)/(L509-K509)*((P509+(G509-I509)*(R509-P509)/(J509-I509))-(O509+(G509-I509)*(Q509-O509)/(J509-I509)))</x:f>
        <x:v>46.75</x:v>
      </x:c>
      <x:c r="V509" s="32" t="n">
        <x:f>IF(AND(ISNUMBER(S509),ISNUMBER(U509)),ABS(S509-U509),IF(S509=U509,0,1))</x:f>
        <x:v>0</x:v>
      </x:c>
      <x:c r="W509" s="30" t="str">
        <x:v>PASS</x:v>
      </x:c>
      <x:c r="X509" s="28" t="str">
        <x:f>IF(V509&lt;=1E-9,"PASS","FAIL")</x:f>
        <x:v>PASS</x:v>
      </x:c>
      <x:c r="Y509" t="str">
        <x:v>Chú thích 2</x:v>
      </x:c>
      <x:c r="Z509" t="str"/>
    </x:row>
    <x:row r="510">
      <x:c r="A510" t="str">
        <x:v>G0507</x:v>
      </x:c>
      <x:c r="B510" t="str">
        <x:v>Bảng 3</x:v>
      </x:c>
      <x:c r="C510" t="str">
        <x:v>clay</x:v>
      </x:c>
      <x:c r="D510" t="str">
        <x:v>MID-2D</x:v>
      </x:c>
      <x:c r="E510" t="str">
        <x:v>{"z":4.5,"IL":0.35}</x:v>
      </x:c>
      <x:c r="F510" t="str">
        <x:v>BILINEAR-2D</x:v>
      </x:c>
      <x:c r="G510" t="n">
        <x:v>4.5</x:v>
      </x:c>
      <x:c r="H510" t="n">
        <x:v>0.35</x:v>
      </x:c>
      <x:c r="I510" t="n">
        <x:v>4</x:v>
      </x:c>
      <x:c r="J510" t="n">
        <x:v>5</x:v>
      </x:c>
      <x:c r="K510" t="n">
        <x:v>0.3</x:v>
      </x:c>
      <x:c r="L510" t="n">
        <x:v>0.4</x:v>
      </x:c>
      <x:c r="M510"/>
      <x:c r="N510"/>
      <x:c r="O510" t="n">
        <x:v>38</x:v>
      </x:c>
      <x:c r="P510" t="n">
        <x:v>27</x:v>
      </x:c>
      <x:c r="Q510" t="n">
        <x:v>40</x:v>
      </x:c>
      <x:c r="R510" t="n">
        <x:v>29</x:v>
      </x:c>
      <x:c r="S510" t="n">
        <x:v>33.5</x:v>
      </x:c>
      <x:c r="T510" t="n">
        <x:v>33.5</x:v>
      </x:c>
      <x:c r="U510" s="28" t="n">
        <x:f>(O510+(G510-I510)*(Q510-O510)/(J510-I510))+(H510-K510)/(L510-K510)*((P510+(G510-I510)*(R510-P510)/(J510-I510))-(O510+(G510-I510)*(Q510-O510)/(J510-I510)))</x:f>
        <x:v>33.5</x:v>
      </x:c>
      <x:c r="V510" s="32" t="n">
        <x:f>IF(AND(ISNUMBER(S510),ISNUMBER(U510)),ABS(S510-U510),IF(S510=U510,0,1))</x:f>
        <x:v>0</x:v>
      </x:c>
      <x:c r="W510" s="30" t="str">
        <x:v>PASS</x:v>
      </x:c>
      <x:c r="X510" s="28" t="str">
        <x:f>IF(V510&lt;=1E-9,"PASS","FAIL")</x:f>
        <x:v>PASS</x:v>
      </x:c>
      <x:c r="Y510" t="str">
        <x:v>Chú thích 2</x:v>
      </x:c>
      <x:c r="Z510" t="str"/>
    </x:row>
    <x:row r="511">
      <x:c r="A511" t="str">
        <x:v>G0508</x:v>
      </x:c>
      <x:c r="B511" t="str">
        <x:v>Bảng 3</x:v>
      </x:c>
      <x:c r="C511" t="str">
        <x:v>clay</x:v>
      </x:c>
      <x:c r="D511" t="str">
        <x:v>MID-2D</x:v>
      </x:c>
      <x:c r="E511" t="str">
        <x:v>{"z":4.5,"IL":0.45}</x:v>
      </x:c>
      <x:c r="F511" t="str">
        <x:v>BILINEAR-2D</x:v>
      </x:c>
      <x:c r="G511" t="n">
        <x:v>4.5</x:v>
      </x:c>
      <x:c r="H511" t="n">
        <x:v>0.45</x:v>
      </x:c>
      <x:c r="I511" t="n">
        <x:v>4</x:v>
      </x:c>
      <x:c r="J511" t="n">
        <x:v>5</x:v>
      </x:c>
      <x:c r="K511" t="n">
        <x:v>0.4</x:v>
      </x:c>
      <x:c r="L511" t="n">
        <x:v>0.5</x:v>
      </x:c>
      <x:c r="M511"/>
      <x:c r="N511"/>
      <x:c r="O511" t="n">
        <x:v>27</x:v>
      </x:c>
      <x:c r="P511" t="n">
        <x:v>22</x:v>
      </x:c>
      <x:c r="Q511" t="n">
        <x:v>29</x:v>
      </x:c>
      <x:c r="R511" t="n">
        <x:v>24</x:v>
      </x:c>
      <x:c r="S511" t="n">
        <x:v>25.5</x:v>
      </x:c>
      <x:c r="T511" t="n">
        <x:v>25.5</x:v>
      </x:c>
      <x:c r="U511" s="28" t="n">
        <x:f>(O511+(G511-I511)*(Q511-O511)/(J511-I511))+(H511-K511)/(L511-K511)*((P511+(G511-I511)*(R511-P511)/(J511-I511))-(O511+(G511-I511)*(Q511-O511)/(J511-I511)))</x:f>
        <x:v>25.5</x:v>
      </x:c>
      <x:c r="V511" s="32" t="n">
        <x:f>IF(AND(ISNUMBER(S511),ISNUMBER(U511)),ABS(S511-U511),IF(S511=U511,0,1))</x:f>
        <x:v>0</x:v>
      </x:c>
      <x:c r="W511" s="30" t="str">
        <x:v>PASS</x:v>
      </x:c>
      <x:c r="X511" s="28" t="str">
        <x:f>IF(V511&lt;=1E-9,"PASS","FAIL")</x:f>
        <x:v>PASS</x:v>
      </x:c>
      <x:c r="Y511" t="str">
        <x:v>Chú thích 2</x:v>
      </x:c>
      <x:c r="Z511" t="str"/>
    </x:row>
    <x:row r="512">
      <x:c r="A512" t="str">
        <x:v>G0509</x:v>
      </x:c>
      <x:c r="B512" t="str">
        <x:v>Bảng 3</x:v>
      </x:c>
      <x:c r="C512" t="str">
        <x:v>clay</x:v>
      </x:c>
      <x:c r="D512" t="str">
        <x:v>MID-2D</x:v>
      </x:c>
      <x:c r="E512" t="str">
        <x:v>{"z":4.5,"IL":0.55}</x:v>
      </x:c>
      <x:c r="F512" t="str">
        <x:v>BILINEAR-2D</x:v>
      </x:c>
      <x:c r="G512" t="n">
        <x:v>4.5</x:v>
      </x:c>
      <x:c r="H512" t="n">
        <x:v>0.55</x:v>
      </x:c>
      <x:c r="I512" t="n">
        <x:v>4</x:v>
      </x:c>
      <x:c r="J512" t="n">
        <x:v>5</x:v>
      </x:c>
      <x:c r="K512" t="n">
        <x:v>0.5</x:v>
      </x:c>
      <x:c r="L512" t="n">
        <x:v>0.6</x:v>
      </x:c>
      <x:c r="M512"/>
      <x:c r="N512"/>
      <x:c r="O512" t="n">
        <x:v>22</x:v>
      </x:c>
      <x:c r="P512" t="n">
        <x:v>16</x:v>
      </x:c>
      <x:c r="Q512" t="n">
        <x:v>24</x:v>
      </x:c>
      <x:c r="R512" t="n">
        <x:v>17</x:v>
      </x:c>
      <x:c r="S512" t="n">
        <x:v>19.749999999999996</x:v>
      </x:c>
      <x:c r="T512" t="n">
        <x:v>19.749999999999996</x:v>
      </x:c>
      <x:c r="U512" s="28" t="n">
        <x:f>(O512+(G512-I512)*(Q512-O512)/(J512-I512))+(H512-K512)/(L512-K512)*((P512+(G512-I512)*(R512-P512)/(J512-I512))-(O512+(G512-I512)*(Q512-O512)/(J512-I512)))</x:f>
        <x:v>19.749999999999996</x:v>
      </x:c>
      <x:c r="V512" s="32" t="n">
        <x:f>IF(AND(ISNUMBER(S512),ISNUMBER(U512)),ABS(S512-U512),IF(S512=U512,0,1))</x:f>
        <x:v>0</x:v>
      </x:c>
      <x:c r="W512" s="30" t="str">
        <x:v>PASS</x:v>
      </x:c>
      <x:c r="X512" s="28" t="str">
        <x:f>IF(V512&lt;=1E-9,"PASS","FAIL")</x:f>
        <x:v>PASS</x:v>
      </x:c>
      <x:c r="Y512" t="str">
        <x:v>Chú thích 2</x:v>
      </x:c>
      <x:c r="Z512" t="str"/>
    </x:row>
    <x:row r="513">
      <x:c r="A513" t="str">
        <x:v>G0510</x:v>
      </x:c>
      <x:c r="B513" t="str">
        <x:v>Bảng 3</x:v>
      </x:c>
      <x:c r="C513" t="str">
        <x:v>clay</x:v>
      </x:c>
      <x:c r="D513" t="str">
        <x:v>MID-2D</x:v>
      </x:c>
      <x:c r="E513" t="str">
        <x:v>{"z":4.5,"IL":0.6499999999999999}</x:v>
      </x:c>
      <x:c r="F513" t="str">
        <x:v>BILINEAR-2D</x:v>
      </x:c>
      <x:c r="G513" t="n">
        <x:v>4.5</x:v>
      </x:c>
      <x:c r="H513" t="n">
        <x:v>0.6499999999999999</x:v>
      </x:c>
      <x:c r="I513" t="n">
        <x:v>4</x:v>
      </x:c>
      <x:c r="J513" t="n">
        <x:v>5</x:v>
      </x:c>
      <x:c r="K513" t="n">
        <x:v>0.6</x:v>
      </x:c>
      <x:c r="L513" t="n">
        <x:v>0.7</x:v>
      </x:c>
      <x:c r="M513"/>
      <x:c r="N513"/>
      <x:c r="O513" t="n">
        <x:v>16</x:v>
      </x:c>
      <x:c r="P513" t="n">
        <x:v>9</x:v>
      </x:c>
      <x:c r="Q513" t="n">
        <x:v>17</x:v>
      </x:c>
      <x:c r="R513" t="n">
        <x:v>10</x:v>
      </x:c>
      <x:c r="S513" t="n">
        <x:v>13.000000000000004</x:v>
      </x:c>
      <x:c r="T513" t="n">
        <x:v>13.000000000000004</x:v>
      </x:c>
      <x:c r="U513" s="28" t="n">
        <x:f>(O513+(G513-I513)*(Q513-O513)/(J513-I513))+(H513-K513)/(L513-K513)*((P513+(G513-I513)*(R513-P513)/(J513-I513))-(O513+(G513-I513)*(Q513-O513)/(J513-I513)))</x:f>
        <x:v>13.000000000000004</x:v>
      </x:c>
      <x:c r="V513" s="32" t="n">
        <x:f>IF(AND(ISNUMBER(S513),ISNUMBER(U513)),ABS(S513-U513),IF(S513=U513,0,1))</x:f>
        <x:v>0</x:v>
      </x:c>
      <x:c r="W513" s="30" t="str">
        <x:v>PASS</x:v>
      </x:c>
      <x:c r="X513" s="28" t="str">
        <x:f>IF(V513&lt;=1E-9,"PASS","FAIL")</x:f>
        <x:v>PASS</x:v>
      </x:c>
      <x:c r="Y513" t="str">
        <x:v>Chú thích 2</x:v>
      </x:c>
      <x:c r="Z513" t="str"/>
    </x:row>
    <x:row r="514">
      <x:c r="A514" t="str">
        <x:v>G0511</x:v>
      </x:c>
      <x:c r="B514" t="str">
        <x:v>Bảng 3</x:v>
      </x:c>
      <x:c r="C514" t="str">
        <x:v>clay</x:v>
      </x:c>
      <x:c r="D514" t="str">
        <x:v>MID-2D</x:v>
      </x:c>
      <x:c r="E514" t="str">
        <x:v>{"z":4.5,"IL":0.75}</x:v>
      </x:c>
      <x:c r="F514" t="str">
        <x:v>BILINEAR-2D</x:v>
      </x:c>
      <x:c r="G514" t="n">
        <x:v>4.5</x:v>
      </x:c>
      <x:c r="H514" t="n">
        <x:v>0.75</x:v>
      </x:c>
      <x:c r="I514" t="n">
        <x:v>4</x:v>
      </x:c>
      <x:c r="J514" t="n">
        <x:v>5</x:v>
      </x:c>
      <x:c r="K514" t="n">
        <x:v>0.7</x:v>
      </x:c>
      <x:c r="L514" t="n">
        <x:v>0.8</x:v>
      </x:c>
      <x:c r="M514"/>
      <x:c r="N514"/>
      <x:c r="O514" t="n">
        <x:v>9</x:v>
      </x:c>
      <x:c r="P514" t="n">
        <x:v>8</x:v>
      </x:c>
      <x:c r="Q514" t="n">
        <x:v>10</x:v>
      </x:c>
      <x:c r="R514" t="n">
        <x:v>8</x:v>
      </x:c>
      <x:c r="S514" t="n">
        <x:v>8.75</x:v>
      </x:c>
      <x:c r="T514" t="n">
        <x:v>8.75</x:v>
      </x:c>
      <x:c r="U514" s="28" t="n">
        <x:f>(O514+(G514-I514)*(Q514-O514)/(J514-I514))+(H514-K514)/(L514-K514)*((P514+(G514-I514)*(R514-P514)/(J514-I514))-(O514+(G514-I514)*(Q514-O514)/(J514-I514)))</x:f>
        <x:v>8.75</x:v>
      </x:c>
      <x:c r="V514" s="32" t="n">
        <x:f>IF(AND(ISNUMBER(S514),ISNUMBER(U514)),ABS(S514-U514),IF(S514=U514,0,1))</x:f>
        <x:v>0</x:v>
      </x:c>
      <x:c r="W514" s="30" t="str">
        <x:v>PASS</x:v>
      </x:c>
      <x:c r="X514" s="28" t="str">
        <x:f>IF(V514&lt;=1E-9,"PASS","FAIL")</x:f>
        <x:v>PASS</x:v>
      </x:c>
      <x:c r="Y514" t="str">
        <x:v>Chú thích 2</x:v>
      </x:c>
      <x:c r="Z514" t="str"/>
    </x:row>
    <x:row r="515">
      <x:c r="A515" t="str">
        <x:v>G0512</x:v>
      </x:c>
      <x:c r="B515" t="str">
        <x:v>Bảng 3</x:v>
      </x:c>
      <x:c r="C515" t="str">
        <x:v>clay</x:v>
      </x:c>
      <x:c r="D515" t="str">
        <x:v>MID-2D</x:v>
      </x:c>
      <x:c r="E515" t="str">
        <x:v>{"z":4.5,"IL":0.8500000000000001}</x:v>
      </x:c>
      <x:c r="F515" t="str">
        <x:v>BILINEAR-2D</x:v>
      </x:c>
      <x:c r="G515" t="n">
        <x:v>4.5</x:v>
      </x:c>
      <x:c r="H515" t="n">
        <x:v>0.8500000000000001</x:v>
      </x:c>
      <x:c r="I515" t="n">
        <x:v>4</x:v>
      </x:c>
      <x:c r="J515" t="n">
        <x:v>5</x:v>
      </x:c>
      <x:c r="K515" t="n">
        <x:v>0.8</x:v>
      </x:c>
      <x:c r="L515" t="n">
        <x:v>0.9</x:v>
      </x:c>
      <x:c r="M515"/>
      <x:c r="N515"/>
      <x:c r="O515" t="n">
        <x:v>8</x:v>
      </x:c>
      <x:c r="P515" t="n">
        <x:v>7</x:v>
      </x:c>
      <x:c r="Q515" t="n">
        <x:v>8</x:v>
      </x:c>
      <x:c r="R515" t="n">
        <x:v>7</x:v>
      </x:c>
      <x:c r="S515" t="n">
        <x:v>7.499999999999999</x:v>
      </x:c>
      <x:c r="T515" t="n">
        <x:v>7.499999999999999</x:v>
      </x:c>
      <x:c r="U515" s="28" t="n">
        <x:f>(O515+(G515-I515)*(Q515-O515)/(J515-I515))+(H515-K515)/(L515-K515)*((P515+(G515-I515)*(R515-P515)/(J515-I515))-(O515+(G515-I515)*(Q515-O515)/(J515-I515)))</x:f>
        <x:v>7.499999999999999</x:v>
      </x:c>
      <x:c r="V515" s="32" t="n">
        <x:f>IF(AND(ISNUMBER(S515),ISNUMBER(U515)),ABS(S515-U515),IF(S515=U515,0,1))</x:f>
        <x:v>0</x:v>
      </x:c>
      <x:c r="W515" s="30" t="str">
        <x:v>PASS</x:v>
      </x:c>
      <x:c r="X515" s="28" t="str">
        <x:f>IF(V515&lt;=1E-9,"PASS","FAIL")</x:f>
        <x:v>PASS</x:v>
      </x:c>
      <x:c r="Y515" t="str">
        <x:v>Chú thích 2</x:v>
      </x:c>
      <x:c r="Z515" t="str"/>
    </x:row>
    <x:row r="516">
      <x:c r="A516" t="str">
        <x:v>G0513</x:v>
      </x:c>
      <x:c r="B516" t="str">
        <x:v>Bảng 3</x:v>
      </x:c>
      <x:c r="C516" t="str">
        <x:v>clay</x:v>
      </x:c>
      <x:c r="D516" t="str">
        <x:v>MID-2D</x:v>
      </x:c>
      <x:c r="E516" t="str">
        <x:v>{"z":4.5,"IL":0.95}</x:v>
      </x:c>
      <x:c r="F516" t="str">
        <x:v>BILINEAR-2D</x:v>
      </x:c>
      <x:c r="G516" t="n">
        <x:v>4.5</x:v>
      </x:c>
      <x:c r="H516" t="n">
        <x:v>0.95</x:v>
      </x:c>
      <x:c r="I516" t="n">
        <x:v>4</x:v>
      </x:c>
      <x:c r="J516" t="n">
        <x:v>5</x:v>
      </x:c>
      <x:c r="K516" t="n">
        <x:v>0.9</x:v>
      </x:c>
      <x:c r="L516" t="n">
        <x:v>1</x:v>
      </x:c>
      <x:c r="M516"/>
      <x:c r="N516"/>
      <x:c r="O516" t="n">
        <x:v>7</x:v>
      </x:c>
      <x:c r="P516" t="n">
        <x:v>5</x:v>
      </x:c>
      <x:c r="Q516" t="n">
        <x:v>7</x:v>
      </x:c>
      <x:c r="R516" t="n">
        <x:v>6</x:v>
      </x:c>
      <x:c r="S516" t="n">
        <x:v>6.250000000000001</x:v>
      </x:c>
      <x:c r="T516" t="n">
        <x:v>6.250000000000001</x:v>
      </x:c>
      <x:c r="U516" s="28" t="n">
        <x:f>(O516+(G516-I516)*(Q516-O516)/(J516-I516))+(H516-K516)/(L516-K516)*((P516+(G516-I516)*(R516-P516)/(J516-I516))-(O516+(G516-I516)*(Q516-O516)/(J516-I516)))</x:f>
        <x:v>6.250000000000001</x:v>
      </x:c>
      <x:c r="V516" s="32" t="n">
        <x:f>IF(AND(ISNUMBER(S516),ISNUMBER(U516)),ABS(S516-U516),IF(S516=U516,0,1))</x:f>
        <x:v>0</x:v>
      </x:c>
      <x:c r="W516" s="30" t="str">
        <x:v>PASS</x:v>
      </x:c>
      <x:c r="X516" s="28" t="str">
        <x:f>IF(V516&lt;=1E-9,"PASS","FAIL")</x:f>
        <x:v>PASS</x:v>
      </x:c>
      <x:c r="Y516" t="str">
        <x:v>Chú thích 2</x:v>
      </x:c>
      <x:c r="Z516" t="str"/>
    </x:row>
    <x:row r="517">
      <x:c r="A517" t="str">
        <x:v>G0514</x:v>
      </x:c>
      <x:c r="B517" t="str">
        <x:v>Bảng 3</x:v>
      </x:c>
      <x:c r="C517" t="str">
        <x:v>clay</x:v>
      </x:c>
      <x:c r="D517" t="str">
        <x:v>MID-2D</x:v>
      </x:c>
      <x:c r="E517" t="str">
        <x:v>{"z":5.5,"IL":0.25}</x:v>
      </x:c>
      <x:c r="F517" t="str">
        <x:v>BILINEAR-2D</x:v>
      </x:c>
      <x:c r="G517" t="n">
        <x:v>5.5</x:v>
      </x:c>
      <x:c r="H517" t="n">
        <x:v>0.25</x:v>
      </x:c>
      <x:c r="I517" t="n">
        <x:v>5</x:v>
      </x:c>
      <x:c r="J517" t="n">
        <x:v>6</x:v>
      </x:c>
      <x:c r="K517" t="n">
        <x:v>0.2</x:v>
      </x:c>
      <x:c r="L517" t="n">
        <x:v>0.3</x:v>
      </x:c>
      <x:c r="M517"/>
      <x:c r="N517"/>
      <x:c r="O517" t="n">
        <x:v>56</x:v>
      </x:c>
      <x:c r="P517" t="n">
        <x:v>40</x:v>
      </x:c>
      <x:c r="Q517" t="n">
        <x:v>58</x:v>
      </x:c>
      <x:c r="R517" t="n">
        <x:v>42</x:v>
      </x:c>
      <x:c r="S517" t="n">
        <x:v>49</x:v>
      </x:c>
      <x:c r="T517" t="n">
        <x:v>49</x:v>
      </x:c>
      <x:c r="U517" s="28" t="n">
        <x:f>(O517+(G517-I517)*(Q517-O517)/(J517-I517))+(H517-K517)/(L517-K517)*((P517+(G517-I517)*(R517-P517)/(J517-I517))-(O517+(G517-I517)*(Q517-O517)/(J517-I517)))</x:f>
        <x:v>49</x:v>
      </x:c>
      <x:c r="V517" s="32" t="n">
        <x:f>IF(AND(ISNUMBER(S517),ISNUMBER(U517)),ABS(S517-U517),IF(S517=U517,0,1))</x:f>
        <x:v>0</x:v>
      </x:c>
      <x:c r="W517" s="30" t="str">
        <x:v>PASS</x:v>
      </x:c>
      <x:c r="X517" s="28" t="str">
        <x:f>IF(V517&lt;=1E-9,"PASS","FAIL")</x:f>
        <x:v>PASS</x:v>
      </x:c>
      <x:c r="Y517" t="str">
        <x:v>Chú thích 2</x:v>
      </x:c>
      <x:c r="Z517" t="str"/>
    </x:row>
    <x:row r="518">
      <x:c r="A518" t="str">
        <x:v>G0515</x:v>
      </x:c>
      <x:c r="B518" t="str">
        <x:v>Bảng 3</x:v>
      </x:c>
      <x:c r="C518" t="str">
        <x:v>clay</x:v>
      </x:c>
      <x:c r="D518" t="str">
        <x:v>MID-2D</x:v>
      </x:c>
      <x:c r="E518" t="str">
        <x:v>{"z":5.5,"IL":0.35}</x:v>
      </x:c>
      <x:c r="F518" t="str">
        <x:v>BILINEAR-2D</x:v>
      </x:c>
      <x:c r="G518" t="n">
        <x:v>5.5</x:v>
      </x:c>
      <x:c r="H518" t="n">
        <x:v>0.35</x:v>
      </x:c>
      <x:c r="I518" t="n">
        <x:v>5</x:v>
      </x:c>
      <x:c r="J518" t="n">
        <x:v>6</x:v>
      </x:c>
      <x:c r="K518" t="n">
        <x:v>0.3</x:v>
      </x:c>
      <x:c r="L518" t="n">
        <x:v>0.4</x:v>
      </x:c>
      <x:c r="M518"/>
      <x:c r="N518"/>
      <x:c r="O518" t="n">
        <x:v>40</x:v>
      </x:c>
      <x:c r="P518" t="n">
        <x:v>29</x:v>
      </x:c>
      <x:c r="Q518" t="n">
        <x:v>42</x:v>
      </x:c>
      <x:c r="R518" t="n">
        <x:v>31</x:v>
      </x:c>
      <x:c r="S518" t="n">
        <x:v>35.5</x:v>
      </x:c>
      <x:c r="T518" t="n">
        <x:v>35.5</x:v>
      </x:c>
      <x:c r="U518" s="28" t="n">
        <x:f>(O518+(G518-I518)*(Q518-O518)/(J518-I518))+(H518-K518)/(L518-K518)*((P518+(G518-I518)*(R518-P518)/(J518-I518))-(O518+(G518-I518)*(Q518-O518)/(J518-I518)))</x:f>
        <x:v>35.5</x:v>
      </x:c>
      <x:c r="V518" s="32" t="n">
        <x:f>IF(AND(ISNUMBER(S518),ISNUMBER(U518)),ABS(S518-U518),IF(S518=U518,0,1))</x:f>
        <x:v>0</x:v>
      </x:c>
      <x:c r="W518" s="30" t="str">
        <x:v>PASS</x:v>
      </x:c>
      <x:c r="X518" s="28" t="str">
        <x:f>IF(V518&lt;=1E-9,"PASS","FAIL")</x:f>
        <x:v>PASS</x:v>
      </x:c>
      <x:c r="Y518" t="str">
        <x:v>Chú thích 2</x:v>
      </x:c>
      <x:c r="Z518" t="str"/>
    </x:row>
    <x:row r="519">
      <x:c r="A519" t="str">
        <x:v>G0516</x:v>
      </x:c>
      <x:c r="B519" t="str">
        <x:v>Bảng 3</x:v>
      </x:c>
      <x:c r="C519" t="str">
        <x:v>clay</x:v>
      </x:c>
      <x:c r="D519" t="str">
        <x:v>MID-2D</x:v>
      </x:c>
      <x:c r="E519" t="str">
        <x:v>{"z":5.5,"IL":0.45}</x:v>
      </x:c>
      <x:c r="F519" t="str">
        <x:v>BILINEAR-2D</x:v>
      </x:c>
      <x:c r="G519" t="n">
        <x:v>5.5</x:v>
      </x:c>
      <x:c r="H519" t="n">
        <x:v>0.45</x:v>
      </x:c>
      <x:c r="I519" t="n">
        <x:v>5</x:v>
      </x:c>
      <x:c r="J519" t="n">
        <x:v>6</x:v>
      </x:c>
      <x:c r="K519" t="n">
        <x:v>0.4</x:v>
      </x:c>
      <x:c r="L519" t="n">
        <x:v>0.5</x:v>
      </x:c>
      <x:c r="M519"/>
      <x:c r="N519"/>
      <x:c r="O519" t="n">
        <x:v>29</x:v>
      </x:c>
      <x:c r="P519" t="n">
        <x:v>24</x:v>
      </x:c>
      <x:c r="Q519" t="n">
        <x:v>31</x:v>
      </x:c>
      <x:c r="R519" t="n">
        <x:v>25</x:v>
      </x:c>
      <x:c r="S519" t="n">
        <x:v>27.25</x:v>
      </x:c>
      <x:c r="T519" t="n">
        <x:v>27.25</x:v>
      </x:c>
      <x:c r="U519" s="28" t="n">
        <x:f>(O519+(G519-I519)*(Q519-O519)/(J519-I519))+(H519-K519)/(L519-K519)*((P519+(G519-I519)*(R519-P519)/(J519-I519))-(O519+(G519-I519)*(Q519-O519)/(J519-I519)))</x:f>
        <x:v>27.25</x:v>
      </x:c>
      <x:c r="V519" s="32" t="n">
        <x:f>IF(AND(ISNUMBER(S519),ISNUMBER(U519)),ABS(S519-U519),IF(S519=U519,0,1))</x:f>
        <x:v>0</x:v>
      </x:c>
      <x:c r="W519" s="30" t="str">
        <x:v>PASS</x:v>
      </x:c>
      <x:c r="X519" s="28" t="str">
        <x:f>IF(V519&lt;=1E-9,"PASS","FAIL")</x:f>
        <x:v>PASS</x:v>
      </x:c>
      <x:c r="Y519" t="str">
        <x:v>Chú thích 2</x:v>
      </x:c>
      <x:c r="Z519" t="str"/>
    </x:row>
    <x:row r="520">
      <x:c r="A520" t="str">
        <x:v>G0517</x:v>
      </x:c>
      <x:c r="B520" t="str">
        <x:v>Bảng 3</x:v>
      </x:c>
      <x:c r="C520" t="str">
        <x:v>clay</x:v>
      </x:c>
      <x:c r="D520" t="str">
        <x:v>MID-2D</x:v>
      </x:c>
      <x:c r="E520" t="str">
        <x:v>{"z":5.5,"IL":0.55}</x:v>
      </x:c>
      <x:c r="F520" t="str">
        <x:v>BILINEAR-2D</x:v>
      </x:c>
      <x:c r="G520" t="n">
        <x:v>5.5</x:v>
      </x:c>
      <x:c r="H520" t="n">
        <x:v>0.55</x:v>
      </x:c>
      <x:c r="I520" t="n">
        <x:v>5</x:v>
      </x:c>
      <x:c r="J520" t="n">
        <x:v>6</x:v>
      </x:c>
      <x:c r="K520" t="n">
        <x:v>0.5</x:v>
      </x:c>
      <x:c r="L520" t="n">
        <x:v>0.6</x:v>
      </x:c>
      <x:c r="M520"/>
      <x:c r="N520"/>
      <x:c r="O520" t="n">
        <x:v>24</x:v>
      </x:c>
      <x:c r="P520" t="n">
        <x:v>17</x:v>
      </x:c>
      <x:c r="Q520" t="n">
        <x:v>25</x:v>
      </x:c>
      <x:c r="R520" t="n">
        <x:v>18</x:v>
      </x:c>
      <x:c r="S520" t="n">
        <x:v>20.999999999999996</x:v>
      </x:c>
      <x:c r="T520" t="n">
        <x:v>20.999999999999996</x:v>
      </x:c>
      <x:c r="U520" s="28" t="n">
        <x:f>(O520+(G520-I520)*(Q520-O520)/(J520-I520))+(H520-K520)/(L520-K520)*((P520+(G520-I520)*(R520-P520)/(J520-I520))-(O520+(G520-I520)*(Q520-O520)/(J520-I520)))</x:f>
        <x:v>20.999999999999996</x:v>
      </x:c>
      <x:c r="V520" s="32" t="n">
        <x:f>IF(AND(ISNUMBER(S520),ISNUMBER(U520)),ABS(S520-U520),IF(S520=U520,0,1))</x:f>
        <x:v>0</x:v>
      </x:c>
      <x:c r="W520" s="30" t="str">
        <x:v>PASS</x:v>
      </x:c>
      <x:c r="X520" s="28" t="str">
        <x:f>IF(V520&lt;=1E-9,"PASS","FAIL")</x:f>
        <x:v>PASS</x:v>
      </x:c>
      <x:c r="Y520" t="str">
        <x:v>Chú thích 2</x:v>
      </x:c>
      <x:c r="Z520" t="str"/>
    </x:row>
    <x:row r="521">
      <x:c r="A521" t="str">
        <x:v>G0518</x:v>
      </x:c>
      <x:c r="B521" t="str">
        <x:v>Bảng 3</x:v>
      </x:c>
      <x:c r="C521" t="str">
        <x:v>clay</x:v>
      </x:c>
      <x:c r="D521" t="str">
        <x:v>MID-2D</x:v>
      </x:c>
      <x:c r="E521" t="str">
        <x:v>{"z":5.5,"IL":0.6499999999999999}</x:v>
      </x:c>
      <x:c r="F521" t="str">
        <x:v>BILINEAR-2D</x:v>
      </x:c>
      <x:c r="G521" t="n">
        <x:v>5.5</x:v>
      </x:c>
      <x:c r="H521" t="n">
        <x:v>0.6499999999999999</x:v>
      </x:c>
      <x:c r="I521" t="n">
        <x:v>5</x:v>
      </x:c>
      <x:c r="J521" t="n">
        <x:v>6</x:v>
      </x:c>
      <x:c r="K521" t="n">
        <x:v>0.6</x:v>
      </x:c>
      <x:c r="L521" t="n">
        <x:v>0.7</x:v>
      </x:c>
      <x:c r="M521"/>
      <x:c r="N521"/>
      <x:c r="O521" t="n">
        <x:v>17</x:v>
      </x:c>
      <x:c r="P521" t="n">
        <x:v>10</x:v>
      </x:c>
      <x:c r="Q521" t="n">
        <x:v>18</x:v>
      </x:c>
      <x:c r="R521" t="n">
        <x:v>10</x:v>
      </x:c>
      <x:c r="S521" t="n">
        <x:v>13.750000000000004</x:v>
      </x:c>
      <x:c r="T521" t="n">
        <x:v>13.750000000000004</x:v>
      </x:c>
      <x:c r="U521" s="28" t="n">
        <x:f>(O521+(G521-I521)*(Q521-O521)/(J521-I521))+(H521-K521)/(L521-K521)*((P521+(G521-I521)*(R521-P521)/(J521-I521))-(O521+(G521-I521)*(Q521-O521)/(J521-I521)))</x:f>
        <x:v>13.750000000000004</x:v>
      </x:c>
      <x:c r="V521" s="32" t="n">
        <x:f>IF(AND(ISNUMBER(S521),ISNUMBER(U521)),ABS(S521-U521),IF(S521=U521,0,1))</x:f>
        <x:v>0</x:v>
      </x:c>
      <x:c r="W521" s="30" t="str">
        <x:v>PASS</x:v>
      </x:c>
      <x:c r="X521" s="28" t="str">
        <x:f>IF(V521&lt;=1E-9,"PASS","FAIL")</x:f>
        <x:v>PASS</x:v>
      </x:c>
      <x:c r="Y521" t="str">
        <x:v>Chú thích 2</x:v>
      </x:c>
      <x:c r="Z521" t="str"/>
    </x:row>
    <x:row r="522">
      <x:c r="A522" t="str">
        <x:v>G0519</x:v>
      </x:c>
      <x:c r="B522" t="str">
        <x:v>Bảng 3</x:v>
      </x:c>
      <x:c r="C522" t="str">
        <x:v>clay</x:v>
      </x:c>
      <x:c r="D522" t="str">
        <x:v>MID-2D</x:v>
      </x:c>
      <x:c r="E522" t="str">
        <x:v>{"z":5.5,"IL":0.75}</x:v>
      </x:c>
      <x:c r="F522" t="str">
        <x:v>BILINEAR-2D</x:v>
      </x:c>
      <x:c r="G522" t="n">
        <x:v>5.5</x:v>
      </x:c>
      <x:c r="H522" t="n">
        <x:v>0.75</x:v>
      </x:c>
      <x:c r="I522" t="n">
        <x:v>5</x:v>
      </x:c>
      <x:c r="J522" t="n">
        <x:v>6</x:v>
      </x:c>
      <x:c r="K522" t="n">
        <x:v>0.7</x:v>
      </x:c>
      <x:c r="L522" t="n">
        <x:v>0.8</x:v>
      </x:c>
      <x:c r="M522"/>
      <x:c r="N522"/>
      <x:c r="O522" t="n">
        <x:v>10</x:v>
      </x:c>
      <x:c r="P522" t="n">
        <x:v>8</x:v>
      </x:c>
      <x:c r="Q522" t="n">
        <x:v>10</x:v>
      </x:c>
      <x:c r="R522" t="n">
        <x:v>8</x:v>
      </x:c>
      <x:c r="S522" t="n">
        <x:v>9</x:v>
      </x:c>
      <x:c r="T522" t="n">
        <x:v>9</x:v>
      </x:c>
      <x:c r="U522" s="28" t="n">
        <x:f>(O522+(G522-I522)*(Q522-O522)/(J522-I522))+(H522-K522)/(L522-K522)*((P522+(G522-I522)*(R522-P522)/(J522-I522))-(O522+(G522-I522)*(Q522-O522)/(J522-I522)))</x:f>
        <x:v>9</x:v>
      </x:c>
      <x:c r="V522" s="32" t="n">
        <x:f>IF(AND(ISNUMBER(S522),ISNUMBER(U522)),ABS(S522-U522),IF(S522=U522,0,1))</x:f>
        <x:v>0</x:v>
      </x:c>
      <x:c r="W522" s="30" t="str">
        <x:v>PASS</x:v>
      </x:c>
      <x:c r="X522" s="28" t="str">
        <x:f>IF(V522&lt;=1E-9,"PASS","FAIL")</x:f>
        <x:v>PASS</x:v>
      </x:c>
      <x:c r="Y522" t="str">
        <x:v>Chú thích 2</x:v>
      </x:c>
      <x:c r="Z522" t="str"/>
    </x:row>
    <x:row r="523">
      <x:c r="A523" t="str">
        <x:v>G0520</x:v>
      </x:c>
      <x:c r="B523" t="str">
        <x:v>Bảng 3</x:v>
      </x:c>
      <x:c r="C523" t="str">
        <x:v>clay</x:v>
      </x:c>
      <x:c r="D523" t="str">
        <x:v>MID-2D</x:v>
      </x:c>
      <x:c r="E523" t="str">
        <x:v>{"z":5.5,"IL":0.8500000000000001}</x:v>
      </x:c>
      <x:c r="F523" t="str">
        <x:v>BILINEAR-2D</x:v>
      </x:c>
      <x:c r="G523" t="n">
        <x:v>5.5</x:v>
      </x:c>
      <x:c r="H523" t="n">
        <x:v>0.8500000000000001</x:v>
      </x:c>
      <x:c r="I523" t="n">
        <x:v>5</x:v>
      </x:c>
      <x:c r="J523" t="n">
        <x:v>6</x:v>
      </x:c>
      <x:c r="K523" t="n">
        <x:v>0.8</x:v>
      </x:c>
      <x:c r="L523" t="n">
        <x:v>0.9</x:v>
      </x:c>
      <x:c r="M523"/>
      <x:c r="N523"/>
      <x:c r="O523" t="n">
        <x:v>8</x:v>
      </x:c>
      <x:c r="P523" t="n">
        <x:v>7</x:v>
      </x:c>
      <x:c r="Q523" t="n">
        <x:v>8</x:v>
      </x:c>
      <x:c r="R523" t="n">
        <x:v>7</x:v>
      </x:c>
      <x:c r="S523" t="n">
        <x:v>7.499999999999999</x:v>
      </x:c>
      <x:c r="T523" t="n">
        <x:v>7.499999999999999</x:v>
      </x:c>
      <x:c r="U523" s="28" t="n">
        <x:f>(O523+(G523-I523)*(Q523-O523)/(J523-I523))+(H523-K523)/(L523-K523)*((P523+(G523-I523)*(R523-P523)/(J523-I523))-(O523+(G523-I523)*(Q523-O523)/(J523-I523)))</x:f>
        <x:v>7.499999999999999</x:v>
      </x:c>
      <x:c r="V523" s="32" t="n">
        <x:f>IF(AND(ISNUMBER(S523),ISNUMBER(U523)),ABS(S523-U523),IF(S523=U523,0,1))</x:f>
        <x:v>0</x:v>
      </x:c>
      <x:c r="W523" s="30" t="str">
        <x:v>PASS</x:v>
      </x:c>
      <x:c r="X523" s="28" t="str">
        <x:f>IF(V523&lt;=1E-9,"PASS","FAIL")</x:f>
        <x:v>PASS</x:v>
      </x:c>
      <x:c r="Y523" t="str">
        <x:v>Chú thích 2</x:v>
      </x:c>
      <x:c r="Z523" t="str"/>
    </x:row>
    <x:row r="524">
      <x:c r="A524" t="str">
        <x:v>G0521</x:v>
      </x:c>
      <x:c r="B524" t="str">
        <x:v>Bảng 3</x:v>
      </x:c>
      <x:c r="C524" t="str">
        <x:v>clay</x:v>
      </x:c>
      <x:c r="D524" t="str">
        <x:v>MID-2D</x:v>
      </x:c>
      <x:c r="E524" t="str">
        <x:v>{"z":5.5,"IL":0.95}</x:v>
      </x:c>
      <x:c r="F524" t="str">
        <x:v>BILINEAR-2D</x:v>
      </x:c>
      <x:c r="G524" t="n">
        <x:v>5.5</x:v>
      </x:c>
      <x:c r="H524" t="n">
        <x:v>0.95</x:v>
      </x:c>
      <x:c r="I524" t="n">
        <x:v>5</x:v>
      </x:c>
      <x:c r="J524" t="n">
        <x:v>6</x:v>
      </x:c>
      <x:c r="K524" t="n">
        <x:v>0.9</x:v>
      </x:c>
      <x:c r="L524" t="n">
        <x:v>1</x:v>
      </x:c>
      <x:c r="M524"/>
      <x:c r="N524"/>
      <x:c r="O524" t="n">
        <x:v>7</x:v>
      </x:c>
      <x:c r="P524" t="n">
        <x:v>6</x:v>
      </x:c>
      <x:c r="Q524" t="n">
        <x:v>7</x:v>
      </x:c>
      <x:c r="R524" t="n">
        <x:v>6</x:v>
      </x:c>
      <x:c r="S524" t="n">
        <x:v>6.500000000000001</x:v>
      </x:c>
      <x:c r="T524" t="n">
        <x:v>6.500000000000001</x:v>
      </x:c>
      <x:c r="U524" s="28" t="n">
        <x:f>(O524+(G524-I524)*(Q524-O524)/(J524-I524))+(H524-K524)/(L524-K524)*((P524+(G524-I524)*(R524-P524)/(J524-I524))-(O524+(G524-I524)*(Q524-O524)/(J524-I524)))</x:f>
        <x:v>6.500000000000001</x:v>
      </x:c>
      <x:c r="V524" s="32" t="n">
        <x:f>IF(AND(ISNUMBER(S524),ISNUMBER(U524)),ABS(S524-U524),IF(S524=U524,0,1))</x:f>
        <x:v>0</x:v>
      </x:c>
      <x:c r="W524" s="30" t="str">
        <x:v>PASS</x:v>
      </x:c>
      <x:c r="X524" s="28" t="str">
        <x:f>IF(V524&lt;=1E-9,"PASS","FAIL")</x:f>
        <x:v>PASS</x:v>
      </x:c>
      <x:c r="Y524" t="str">
        <x:v>Chú thích 2</x:v>
      </x:c>
      <x:c r="Z524" t="str"/>
    </x:row>
    <x:row r="525">
      <x:c r="A525" t="str">
        <x:v>G0522</x:v>
      </x:c>
      <x:c r="B525" t="str">
        <x:v>Bảng 3</x:v>
      </x:c>
      <x:c r="C525" t="str">
        <x:v>clay</x:v>
      </x:c>
      <x:c r="D525" t="str">
        <x:v>MID-2D</x:v>
      </x:c>
      <x:c r="E525" t="str">
        <x:v>{"z":7,"IL":0.25}</x:v>
      </x:c>
      <x:c r="F525" t="str">
        <x:v>BILINEAR-2D</x:v>
      </x:c>
      <x:c r="G525" t="n">
        <x:v>7</x:v>
      </x:c>
      <x:c r="H525" t="n">
        <x:v>0.25</x:v>
      </x:c>
      <x:c r="I525" t="n">
        <x:v>6</x:v>
      </x:c>
      <x:c r="J525" t="n">
        <x:v>8</x:v>
      </x:c>
      <x:c r="K525" t="n">
        <x:v>0.2</x:v>
      </x:c>
      <x:c r="L525" t="n">
        <x:v>0.3</x:v>
      </x:c>
      <x:c r="M525"/>
      <x:c r="N525"/>
      <x:c r="O525" t="n">
        <x:v>58</x:v>
      </x:c>
      <x:c r="P525" t="n">
        <x:v>42</x:v>
      </x:c>
      <x:c r="Q525" t="n">
        <x:v>62</x:v>
      </x:c>
      <x:c r="R525" t="n">
        <x:v>44</x:v>
      </x:c>
      <x:c r="S525" t="n">
        <x:v>51.5</x:v>
      </x:c>
      <x:c r="T525" t="n">
        <x:v>51.5</x:v>
      </x:c>
      <x:c r="U525" s="28" t="n">
        <x:f>(O525+(G525-I525)*(Q525-O525)/(J525-I525))+(H525-K525)/(L525-K525)*((P525+(G525-I525)*(R525-P525)/(J525-I525))-(O525+(G525-I525)*(Q525-O525)/(J525-I525)))</x:f>
        <x:v>51.5</x:v>
      </x:c>
      <x:c r="V525" s="32" t="n">
        <x:f>IF(AND(ISNUMBER(S525),ISNUMBER(U525)),ABS(S525-U525),IF(S525=U525,0,1))</x:f>
        <x:v>0</x:v>
      </x:c>
      <x:c r="W525" s="30" t="str">
        <x:v>PASS</x:v>
      </x:c>
      <x:c r="X525" s="28" t="str">
        <x:f>IF(V525&lt;=1E-9,"PASS","FAIL")</x:f>
        <x:v>PASS</x:v>
      </x:c>
      <x:c r="Y525" t="str">
        <x:v>Chú thích 2</x:v>
      </x:c>
      <x:c r="Z525" t="str"/>
    </x:row>
    <x:row r="526">
      <x:c r="A526" t="str">
        <x:v>G0523</x:v>
      </x:c>
      <x:c r="B526" t="str">
        <x:v>Bảng 3</x:v>
      </x:c>
      <x:c r="C526" t="str">
        <x:v>clay</x:v>
      </x:c>
      <x:c r="D526" t="str">
        <x:v>MID-2D</x:v>
      </x:c>
      <x:c r="E526" t="str">
        <x:v>{"z":7,"IL":0.35}</x:v>
      </x:c>
      <x:c r="F526" t="str">
        <x:v>BILINEAR-2D</x:v>
      </x:c>
      <x:c r="G526" t="n">
        <x:v>7</x:v>
      </x:c>
      <x:c r="H526" t="n">
        <x:v>0.35</x:v>
      </x:c>
      <x:c r="I526" t="n">
        <x:v>6</x:v>
      </x:c>
      <x:c r="J526" t="n">
        <x:v>8</x:v>
      </x:c>
      <x:c r="K526" t="n">
        <x:v>0.3</x:v>
      </x:c>
      <x:c r="L526" t="n">
        <x:v>0.4</x:v>
      </x:c>
      <x:c r="M526"/>
      <x:c r="N526"/>
      <x:c r="O526" t="n">
        <x:v>42</x:v>
      </x:c>
      <x:c r="P526" t="n">
        <x:v>31</x:v>
      </x:c>
      <x:c r="Q526" t="n">
        <x:v>44</x:v>
      </x:c>
      <x:c r="R526" t="n">
        <x:v>33</x:v>
      </x:c>
      <x:c r="S526" t="n">
        <x:v>37.5</x:v>
      </x:c>
      <x:c r="T526" t="n">
        <x:v>37.5</x:v>
      </x:c>
      <x:c r="U526" s="28" t="n">
        <x:f>(O526+(G526-I526)*(Q526-O526)/(J526-I526))+(H526-K526)/(L526-K526)*((P526+(G526-I526)*(R526-P526)/(J526-I526))-(O526+(G526-I526)*(Q526-O526)/(J526-I526)))</x:f>
        <x:v>37.5</x:v>
      </x:c>
      <x:c r="V526" s="32" t="n">
        <x:f>IF(AND(ISNUMBER(S526),ISNUMBER(U526)),ABS(S526-U526),IF(S526=U526,0,1))</x:f>
        <x:v>0</x:v>
      </x:c>
      <x:c r="W526" s="30" t="str">
        <x:v>PASS</x:v>
      </x:c>
      <x:c r="X526" s="28" t="str">
        <x:f>IF(V526&lt;=1E-9,"PASS","FAIL")</x:f>
        <x:v>PASS</x:v>
      </x:c>
      <x:c r="Y526" t="str">
        <x:v>Chú thích 2</x:v>
      </x:c>
      <x:c r="Z526" t="str"/>
    </x:row>
    <x:row r="527">
      <x:c r="A527" t="str">
        <x:v>G0524</x:v>
      </x:c>
      <x:c r="B527" t="str">
        <x:v>Bảng 3</x:v>
      </x:c>
      <x:c r="C527" t="str">
        <x:v>clay</x:v>
      </x:c>
      <x:c r="D527" t="str">
        <x:v>MID-2D</x:v>
      </x:c>
      <x:c r="E527" t="str">
        <x:v>{"z":7,"IL":0.45}</x:v>
      </x:c>
      <x:c r="F527" t="str">
        <x:v>BILINEAR-2D</x:v>
      </x:c>
      <x:c r="G527" t="n">
        <x:v>7</x:v>
      </x:c>
      <x:c r="H527" t="n">
        <x:v>0.45</x:v>
      </x:c>
      <x:c r="I527" t="n">
        <x:v>6</x:v>
      </x:c>
      <x:c r="J527" t="n">
        <x:v>8</x:v>
      </x:c>
      <x:c r="K527" t="n">
        <x:v>0.4</x:v>
      </x:c>
      <x:c r="L527" t="n">
        <x:v>0.5</x:v>
      </x:c>
      <x:c r="M527"/>
      <x:c r="N527"/>
      <x:c r="O527" t="n">
        <x:v>31</x:v>
      </x:c>
      <x:c r="P527" t="n">
        <x:v>25</x:v>
      </x:c>
      <x:c r="Q527" t="n">
        <x:v>33</x:v>
      </x:c>
      <x:c r="R527" t="n">
        <x:v>26</x:v>
      </x:c>
      <x:c r="S527" t="n">
        <x:v>28.75</x:v>
      </x:c>
      <x:c r="T527" t="n">
        <x:v>28.75</x:v>
      </x:c>
      <x:c r="U527" s="28" t="n">
        <x:f>(O527+(G527-I527)*(Q527-O527)/(J527-I527))+(H527-K527)/(L527-K527)*((P527+(G527-I527)*(R527-P527)/(J527-I527))-(O527+(G527-I527)*(Q527-O527)/(J527-I527)))</x:f>
        <x:v>28.75</x:v>
      </x:c>
      <x:c r="V527" s="32" t="n">
        <x:f>IF(AND(ISNUMBER(S527),ISNUMBER(U527)),ABS(S527-U527),IF(S527=U527,0,1))</x:f>
        <x:v>0</x:v>
      </x:c>
      <x:c r="W527" s="30" t="str">
        <x:v>PASS</x:v>
      </x:c>
      <x:c r="X527" s="28" t="str">
        <x:f>IF(V527&lt;=1E-9,"PASS","FAIL")</x:f>
        <x:v>PASS</x:v>
      </x:c>
      <x:c r="Y527" t="str">
        <x:v>Chú thích 2</x:v>
      </x:c>
      <x:c r="Z527" t="str"/>
    </x:row>
    <x:row r="528">
      <x:c r="A528" t="str">
        <x:v>G0525</x:v>
      </x:c>
      <x:c r="B528" t="str">
        <x:v>Bảng 3</x:v>
      </x:c>
      <x:c r="C528" t="str">
        <x:v>clay</x:v>
      </x:c>
      <x:c r="D528" t="str">
        <x:v>MID-2D</x:v>
      </x:c>
      <x:c r="E528" t="str">
        <x:v>{"z":7,"IL":0.55}</x:v>
      </x:c>
      <x:c r="F528" t="str">
        <x:v>BILINEAR-2D</x:v>
      </x:c>
      <x:c r="G528" t="n">
        <x:v>7</x:v>
      </x:c>
      <x:c r="H528" t="n">
        <x:v>0.55</x:v>
      </x:c>
      <x:c r="I528" t="n">
        <x:v>6</x:v>
      </x:c>
      <x:c r="J528" t="n">
        <x:v>8</x:v>
      </x:c>
      <x:c r="K528" t="n">
        <x:v>0.5</x:v>
      </x:c>
      <x:c r="L528" t="n">
        <x:v>0.6</x:v>
      </x:c>
      <x:c r="M528"/>
      <x:c r="N528"/>
      <x:c r="O528" t="n">
        <x:v>25</x:v>
      </x:c>
      <x:c r="P528" t="n">
        <x:v>18</x:v>
      </x:c>
      <x:c r="Q528" t="n">
        <x:v>26</x:v>
      </x:c>
      <x:c r="R528" t="n">
        <x:v>19</x:v>
      </x:c>
      <x:c r="S528" t="n">
        <x:v>21.999999999999996</x:v>
      </x:c>
      <x:c r="T528" t="n">
        <x:v>21.999999999999996</x:v>
      </x:c>
      <x:c r="U528" s="28" t="n">
        <x:f>(O528+(G528-I528)*(Q528-O528)/(J528-I528))+(H528-K528)/(L528-K528)*((P528+(G528-I528)*(R528-P528)/(J528-I528))-(O528+(G528-I528)*(Q528-O528)/(J528-I528)))</x:f>
        <x:v>21.999999999999996</x:v>
      </x:c>
      <x:c r="V528" s="32" t="n">
        <x:f>IF(AND(ISNUMBER(S528),ISNUMBER(U528)),ABS(S528-U528),IF(S528=U528,0,1))</x:f>
        <x:v>0</x:v>
      </x:c>
      <x:c r="W528" s="30" t="str">
        <x:v>PASS</x:v>
      </x:c>
      <x:c r="X528" s="28" t="str">
        <x:f>IF(V528&lt;=1E-9,"PASS","FAIL")</x:f>
        <x:v>PASS</x:v>
      </x:c>
      <x:c r="Y528" t="str">
        <x:v>Chú thích 2</x:v>
      </x:c>
      <x:c r="Z528" t="str"/>
    </x:row>
    <x:row r="529">
      <x:c r="A529" t="str">
        <x:v>G0526</x:v>
      </x:c>
      <x:c r="B529" t="str">
        <x:v>Bảng 3</x:v>
      </x:c>
      <x:c r="C529" t="str">
        <x:v>clay</x:v>
      </x:c>
      <x:c r="D529" t="str">
        <x:v>MID-2D</x:v>
      </x:c>
      <x:c r="E529" t="str">
        <x:v>{"z":7,"IL":0.6499999999999999}</x:v>
      </x:c>
      <x:c r="F529" t="str">
        <x:v>BILINEAR-2D</x:v>
      </x:c>
      <x:c r="G529" t="n">
        <x:v>7</x:v>
      </x:c>
      <x:c r="H529" t="n">
        <x:v>0.6499999999999999</x:v>
      </x:c>
      <x:c r="I529" t="n">
        <x:v>6</x:v>
      </x:c>
      <x:c r="J529" t="n">
        <x:v>8</x:v>
      </x:c>
      <x:c r="K529" t="n">
        <x:v>0.6</x:v>
      </x:c>
      <x:c r="L529" t="n">
        <x:v>0.7</x:v>
      </x:c>
      <x:c r="M529"/>
      <x:c r="N529"/>
      <x:c r="O529" t="n">
        <x:v>18</x:v>
      </x:c>
      <x:c r="P529" t="n">
        <x:v>10</x:v>
      </x:c>
      <x:c r="Q529" t="n">
        <x:v>19</x:v>
      </x:c>
      <x:c r="R529" t="n">
        <x:v>10</x:v>
      </x:c>
      <x:c r="S529" t="n">
        <x:v>14.250000000000004</x:v>
      </x:c>
      <x:c r="T529" t="n">
        <x:v>14.250000000000004</x:v>
      </x:c>
      <x:c r="U529" s="28" t="n">
        <x:f>(O529+(G529-I529)*(Q529-O529)/(J529-I529))+(H529-K529)/(L529-K529)*((P529+(G529-I529)*(R529-P529)/(J529-I529))-(O529+(G529-I529)*(Q529-O529)/(J529-I529)))</x:f>
        <x:v>14.250000000000004</x:v>
      </x:c>
      <x:c r="V529" s="32" t="n">
        <x:f>IF(AND(ISNUMBER(S529),ISNUMBER(U529)),ABS(S529-U529),IF(S529=U529,0,1))</x:f>
        <x:v>0</x:v>
      </x:c>
      <x:c r="W529" s="30" t="str">
        <x:v>PASS</x:v>
      </x:c>
      <x:c r="X529" s="28" t="str">
        <x:f>IF(V529&lt;=1E-9,"PASS","FAIL")</x:f>
        <x:v>PASS</x:v>
      </x:c>
      <x:c r="Y529" t="str">
        <x:v>Chú thích 2</x:v>
      </x:c>
      <x:c r="Z529" t="str"/>
    </x:row>
    <x:row r="530">
      <x:c r="A530" t="str">
        <x:v>G0527</x:v>
      </x:c>
      <x:c r="B530" t="str">
        <x:v>Bảng 3</x:v>
      </x:c>
      <x:c r="C530" t="str">
        <x:v>clay</x:v>
      </x:c>
      <x:c r="D530" t="str">
        <x:v>MID-2D</x:v>
      </x:c>
      <x:c r="E530" t="str">
        <x:v>{"z":7,"IL":0.75}</x:v>
      </x:c>
      <x:c r="F530" t="str">
        <x:v>BILINEAR-2D</x:v>
      </x:c>
      <x:c r="G530" t="n">
        <x:v>7</x:v>
      </x:c>
      <x:c r="H530" t="n">
        <x:v>0.75</x:v>
      </x:c>
      <x:c r="I530" t="n">
        <x:v>6</x:v>
      </x:c>
      <x:c r="J530" t="n">
        <x:v>8</x:v>
      </x:c>
      <x:c r="K530" t="n">
        <x:v>0.7</x:v>
      </x:c>
      <x:c r="L530" t="n">
        <x:v>0.8</x:v>
      </x:c>
      <x:c r="M530"/>
      <x:c r="N530"/>
      <x:c r="O530" t="n">
        <x:v>10</x:v>
      </x:c>
      <x:c r="P530" t="n">
        <x:v>8</x:v>
      </x:c>
      <x:c r="Q530" t="n">
        <x:v>10</x:v>
      </x:c>
      <x:c r="R530" t="n">
        <x:v>8</x:v>
      </x:c>
      <x:c r="S530" t="n">
        <x:v>9</x:v>
      </x:c>
      <x:c r="T530" t="n">
        <x:v>9</x:v>
      </x:c>
      <x:c r="U530" s="28" t="n">
        <x:f>(O530+(G530-I530)*(Q530-O530)/(J530-I530))+(H530-K530)/(L530-K530)*((P530+(G530-I530)*(R530-P530)/(J530-I530))-(O530+(G530-I530)*(Q530-O530)/(J530-I530)))</x:f>
        <x:v>9</x:v>
      </x:c>
      <x:c r="V530" s="32" t="n">
        <x:f>IF(AND(ISNUMBER(S530),ISNUMBER(U530)),ABS(S530-U530),IF(S530=U530,0,1))</x:f>
        <x:v>0</x:v>
      </x:c>
      <x:c r="W530" s="30" t="str">
        <x:v>PASS</x:v>
      </x:c>
      <x:c r="X530" s="28" t="str">
        <x:f>IF(V530&lt;=1E-9,"PASS","FAIL")</x:f>
        <x:v>PASS</x:v>
      </x:c>
      <x:c r="Y530" t="str">
        <x:v>Chú thích 2</x:v>
      </x:c>
      <x:c r="Z530" t="str"/>
    </x:row>
    <x:row r="531">
      <x:c r="A531" t="str">
        <x:v>G0528</x:v>
      </x:c>
      <x:c r="B531" t="str">
        <x:v>Bảng 3</x:v>
      </x:c>
      <x:c r="C531" t="str">
        <x:v>clay</x:v>
      </x:c>
      <x:c r="D531" t="str">
        <x:v>MID-2D</x:v>
      </x:c>
      <x:c r="E531" t="str">
        <x:v>{"z":7,"IL":0.8500000000000001}</x:v>
      </x:c>
      <x:c r="F531" t="str">
        <x:v>BILINEAR-2D</x:v>
      </x:c>
      <x:c r="G531" t="n">
        <x:v>7</x:v>
      </x:c>
      <x:c r="H531" t="n">
        <x:v>0.8500000000000001</x:v>
      </x:c>
      <x:c r="I531" t="n">
        <x:v>6</x:v>
      </x:c>
      <x:c r="J531" t="n">
        <x:v>8</x:v>
      </x:c>
      <x:c r="K531" t="n">
        <x:v>0.8</x:v>
      </x:c>
      <x:c r="L531" t="n">
        <x:v>0.9</x:v>
      </x:c>
      <x:c r="M531"/>
      <x:c r="N531"/>
      <x:c r="O531" t="n">
        <x:v>8</x:v>
      </x:c>
      <x:c r="P531" t="n">
        <x:v>7</x:v>
      </x:c>
      <x:c r="Q531" t="n">
        <x:v>8</x:v>
      </x:c>
      <x:c r="R531" t="n">
        <x:v>7</x:v>
      </x:c>
      <x:c r="S531" t="n">
        <x:v>7.499999999999999</x:v>
      </x:c>
      <x:c r="T531" t="n">
        <x:v>7.499999999999999</x:v>
      </x:c>
      <x:c r="U531" s="28" t="n">
        <x:f>(O531+(G531-I531)*(Q531-O531)/(J531-I531))+(H531-K531)/(L531-K531)*((P531+(G531-I531)*(R531-P531)/(J531-I531))-(O531+(G531-I531)*(Q531-O531)/(J531-I531)))</x:f>
        <x:v>7.499999999999999</x:v>
      </x:c>
      <x:c r="V531" s="32" t="n">
        <x:f>IF(AND(ISNUMBER(S531),ISNUMBER(U531)),ABS(S531-U531),IF(S531=U531,0,1))</x:f>
        <x:v>0</x:v>
      </x:c>
      <x:c r="W531" s="30" t="str">
        <x:v>PASS</x:v>
      </x:c>
      <x:c r="X531" s="28" t="str">
        <x:f>IF(V531&lt;=1E-9,"PASS","FAIL")</x:f>
        <x:v>PASS</x:v>
      </x:c>
      <x:c r="Y531" t="str">
        <x:v>Chú thích 2</x:v>
      </x:c>
      <x:c r="Z531" t="str"/>
    </x:row>
    <x:row r="532">
      <x:c r="A532" t="str">
        <x:v>G0529</x:v>
      </x:c>
      <x:c r="B532" t="str">
        <x:v>Bảng 3</x:v>
      </x:c>
      <x:c r="C532" t="str">
        <x:v>clay</x:v>
      </x:c>
      <x:c r="D532" t="str">
        <x:v>MID-2D</x:v>
      </x:c>
      <x:c r="E532" t="str">
        <x:v>{"z":7,"IL":0.95}</x:v>
      </x:c>
      <x:c r="F532" t="str">
        <x:v>BILINEAR-2D</x:v>
      </x:c>
      <x:c r="G532" t="n">
        <x:v>7</x:v>
      </x:c>
      <x:c r="H532" t="n">
        <x:v>0.95</x:v>
      </x:c>
      <x:c r="I532" t="n">
        <x:v>6</x:v>
      </x:c>
      <x:c r="J532" t="n">
        <x:v>8</x:v>
      </x:c>
      <x:c r="K532" t="n">
        <x:v>0.9</x:v>
      </x:c>
      <x:c r="L532" t="n">
        <x:v>1</x:v>
      </x:c>
      <x:c r="M532"/>
      <x:c r="N532"/>
      <x:c r="O532" t="n">
        <x:v>7</x:v>
      </x:c>
      <x:c r="P532" t="n">
        <x:v>6</x:v>
      </x:c>
      <x:c r="Q532" t="n">
        <x:v>7</x:v>
      </x:c>
      <x:c r="R532" t="n">
        <x:v>6</x:v>
      </x:c>
      <x:c r="S532" t="n">
        <x:v>6.500000000000001</x:v>
      </x:c>
      <x:c r="T532" t="n">
        <x:v>6.500000000000001</x:v>
      </x:c>
      <x:c r="U532" s="28" t="n">
        <x:f>(O532+(G532-I532)*(Q532-O532)/(J532-I532))+(H532-K532)/(L532-K532)*((P532+(G532-I532)*(R532-P532)/(J532-I532))-(O532+(G532-I532)*(Q532-O532)/(J532-I532)))</x:f>
        <x:v>6.500000000000001</x:v>
      </x:c>
      <x:c r="V532" s="32" t="n">
        <x:f>IF(AND(ISNUMBER(S532),ISNUMBER(U532)),ABS(S532-U532),IF(S532=U532,0,1))</x:f>
        <x:v>0</x:v>
      </x:c>
      <x:c r="W532" s="30" t="str">
        <x:v>PASS</x:v>
      </x:c>
      <x:c r="X532" s="28" t="str">
        <x:f>IF(V532&lt;=1E-9,"PASS","FAIL")</x:f>
        <x:v>PASS</x:v>
      </x:c>
      <x:c r="Y532" t="str">
        <x:v>Chú thích 2</x:v>
      </x:c>
      <x:c r="Z532" t="str"/>
    </x:row>
    <x:row r="533">
      <x:c r="A533" t="str">
        <x:v>G0530</x:v>
      </x:c>
      <x:c r="B533" t="str">
        <x:v>Bảng 3</x:v>
      </x:c>
      <x:c r="C533" t="str">
        <x:v>clay</x:v>
      </x:c>
      <x:c r="D533" t="str">
        <x:v>MID-2D</x:v>
      </x:c>
      <x:c r="E533" t="str">
        <x:v>{"z":9,"IL":0.25}</x:v>
      </x:c>
      <x:c r="F533" t="str">
        <x:v>BILINEAR-2D</x:v>
      </x:c>
      <x:c r="G533" t="n">
        <x:v>9</x:v>
      </x:c>
      <x:c r="H533" t="n">
        <x:v>0.25</x:v>
      </x:c>
      <x:c r="I533" t="n">
        <x:v>8</x:v>
      </x:c>
      <x:c r="J533" t="n">
        <x:v>10</x:v>
      </x:c>
      <x:c r="K533" t="n">
        <x:v>0.2</x:v>
      </x:c>
      <x:c r="L533" t="n">
        <x:v>0.3</x:v>
      </x:c>
      <x:c r="M533"/>
      <x:c r="N533"/>
      <x:c r="O533" t="n">
        <x:v>62</x:v>
      </x:c>
      <x:c r="P533" t="n">
        <x:v>44</x:v>
      </x:c>
      <x:c r="Q533" t="n">
        <x:v>65</x:v>
      </x:c>
      <x:c r="R533" t="n">
        <x:v>46</x:v>
      </x:c>
      <x:c r="S533" t="n">
        <x:v>54.25</x:v>
      </x:c>
      <x:c r="T533" t="n">
        <x:v>54.25</x:v>
      </x:c>
      <x:c r="U533" s="28" t="n">
        <x:f>(O533+(G533-I533)*(Q533-O533)/(J533-I533))+(H533-K533)/(L533-K533)*((P533+(G533-I533)*(R533-P533)/(J533-I533))-(O533+(G533-I533)*(Q533-O533)/(J533-I533)))</x:f>
        <x:v>54.25</x:v>
      </x:c>
      <x:c r="V533" s="32" t="n">
        <x:f>IF(AND(ISNUMBER(S533),ISNUMBER(U533)),ABS(S533-U533),IF(S533=U533,0,1))</x:f>
        <x:v>0</x:v>
      </x:c>
      <x:c r="W533" s="30" t="str">
        <x:v>PASS</x:v>
      </x:c>
      <x:c r="X533" s="28" t="str">
        <x:f>IF(V533&lt;=1E-9,"PASS","FAIL")</x:f>
        <x:v>PASS</x:v>
      </x:c>
      <x:c r="Y533" t="str">
        <x:v>Chú thích 2</x:v>
      </x:c>
      <x:c r="Z533" t="str"/>
    </x:row>
    <x:row r="534">
      <x:c r="A534" t="str">
        <x:v>G0531</x:v>
      </x:c>
      <x:c r="B534" t="str">
        <x:v>Bảng 3</x:v>
      </x:c>
      <x:c r="C534" t="str">
        <x:v>clay</x:v>
      </x:c>
      <x:c r="D534" t="str">
        <x:v>MID-2D</x:v>
      </x:c>
      <x:c r="E534" t="str">
        <x:v>{"z":9,"IL":0.35}</x:v>
      </x:c>
      <x:c r="F534" t="str">
        <x:v>BILINEAR-2D</x:v>
      </x:c>
      <x:c r="G534" t="n">
        <x:v>9</x:v>
      </x:c>
      <x:c r="H534" t="n">
        <x:v>0.35</x:v>
      </x:c>
      <x:c r="I534" t="n">
        <x:v>8</x:v>
      </x:c>
      <x:c r="J534" t="n">
        <x:v>10</x:v>
      </x:c>
      <x:c r="K534" t="n">
        <x:v>0.3</x:v>
      </x:c>
      <x:c r="L534" t="n">
        <x:v>0.4</x:v>
      </x:c>
      <x:c r="M534"/>
      <x:c r="N534"/>
      <x:c r="O534" t="n">
        <x:v>44</x:v>
      </x:c>
      <x:c r="P534" t="n">
        <x:v>33</x:v>
      </x:c>
      <x:c r="Q534" t="n">
        <x:v>46</x:v>
      </x:c>
      <x:c r="R534" t="n">
        <x:v>34</x:v>
      </x:c>
      <x:c r="S534" t="n">
        <x:v>39.25</x:v>
      </x:c>
      <x:c r="T534" t="n">
        <x:v>39.25</x:v>
      </x:c>
      <x:c r="U534" s="28" t="n">
        <x:f>(O534+(G534-I534)*(Q534-O534)/(J534-I534))+(H534-K534)/(L534-K534)*((P534+(G534-I534)*(R534-P534)/(J534-I534))-(O534+(G534-I534)*(Q534-O534)/(J534-I534)))</x:f>
        <x:v>39.25</x:v>
      </x:c>
      <x:c r="V534" s="32" t="n">
        <x:f>IF(AND(ISNUMBER(S534),ISNUMBER(U534)),ABS(S534-U534),IF(S534=U534,0,1))</x:f>
        <x:v>0</x:v>
      </x:c>
      <x:c r="W534" s="30" t="str">
        <x:v>PASS</x:v>
      </x:c>
      <x:c r="X534" s="28" t="str">
        <x:f>IF(V534&lt;=1E-9,"PASS","FAIL")</x:f>
        <x:v>PASS</x:v>
      </x:c>
      <x:c r="Y534" t="str">
        <x:v>Chú thích 2</x:v>
      </x:c>
      <x:c r="Z534" t="str"/>
    </x:row>
    <x:row r="535">
      <x:c r="A535" t="str">
        <x:v>G0532</x:v>
      </x:c>
      <x:c r="B535" t="str">
        <x:v>Bảng 3</x:v>
      </x:c>
      <x:c r="C535" t="str">
        <x:v>clay</x:v>
      </x:c>
      <x:c r="D535" t="str">
        <x:v>MID-2D</x:v>
      </x:c>
      <x:c r="E535" t="str">
        <x:v>{"z":9,"IL":0.45}</x:v>
      </x:c>
      <x:c r="F535" t="str">
        <x:v>BILINEAR-2D</x:v>
      </x:c>
      <x:c r="G535" t="n">
        <x:v>9</x:v>
      </x:c>
      <x:c r="H535" t="n">
        <x:v>0.45</x:v>
      </x:c>
      <x:c r="I535" t="n">
        <x:v>8</x:v>
      </x:c>
      <x:c r="J535" t="n">
        <x:v>10</x:v>
      </x:c>
      <x:c r="K535" t="n">
        <x:v>0.4</x:v>
      </x:c>
      <x:c r="L535" t="n">
        <x:v>0.5</x:v>
      </x:c>
      <x:c r="M535"/>
      <x:c r="N535"/>
      <x:c r="O535" t="n">
        <x:v>33</x:v>
      </x:c>
      <x:c r="P535" t="n">
        <x:v>26</x:v>
      </x:c>
      <x:c r="Q535" t="n">
        <x:v>34</x:v>
      </x:c>
      <x:c r="R535" t="n">
        <x:v>27</x:v>
      </x:c>
      <x:c r="S535" t="n">
        <x:v>30</x:v>
      </x:c>
      <x:c r="T535" t="n">
        <x:v>30</x:v>
      </x:c>
      <x:c r="U535" s="28" t="n">
        <x:f>(O535+(G535-I535)*(Q535-O535)/(J535-I535))+(H535-K535)/(L535-K535)*((P535+(G535-I535)*(R535-P535)/(J535-I535))-(O535+(G535-I535)*(Q535-O535)/(J535-I535)))</x:f>
        <x:v>30</x:v>
      </x:c>
      <x:c r="V535" s="32" t="n">
        <x:f>IF(AND(ISNUMBER(S535),ISNUMBER(U535)),ABS(S535-U535),IF(S535=U535,0,1))</x:f>
        <x:v>0</x:v>
      </x:c>
      <x:c r="W535" s="30" t="str">
        <x:v>PASS</x:v>
      </x:c>
      <x:c r="X535" s="28" t="str">
        <x:f>IF(V535&lt;=1E-9,"PASS","FAIL")</x:f>
        <x:v>PASS</x:v>
      </x:c>
      <x:c r="Y535" t="str">
        <x:v>Chú thích 2</x:v>
      </x:c>
      <x:c r="Z535" t="str"/>
    </x:row>
    <x:row r="536">
      <x:c r="A536" t="str">
        <x:v>G0533</x:v>
      </x:c>
      <x:c r="B536" t="str">
        <x:v>Bảng 3</x:v>
      </x:c>
      <x:c r="C536" t="str">
        <x:v>clay</x:v>
      </x:c>
      <x:c r="D536" t="str">
        <x:v>MID-2D</x:v>
      </x:c>
      <x:c r="E536" t="str">
        <x:v>{"z":9,"IL":0.55}</x:v>
      </x:c>
      <x:c r="F536" t="str">
        <x:v>BILINEAR-2D</x:v>
      </x:c>
      <x:c r="G536" t="n">
        <x:v>9</x:v>
      </x:c>
      <x:c r="H536" t="n">
        <x:v>0.55</x:v>
      </x:c>
      <x:c r="I536" t="n">
        <x:v>8</x:v>
      </x:c>
      <x:c r="J536" t="n">
        <x:v>10</x:v>
      </x:c>
      <x:c r="K536" t="n">
        <x:v>0.5</x:v>
      </x:c>
      <x:c r="L536" t="n">
        <x:v>0.6</x:v>
      </x:c>
      <x:c r="M536"/>
      <x:c r="N536"/>
      <x:c r="O536" t="n">
        <x:v>26</x:v>
      </x:c>
      <x:c r="P536" t="n">
        <x:v>19</x:v>
      </x:c>
      <x:c r="Q536" t="n">
        <x:v>27</x:v>
      </x:c>
      <x:c r="R536" t="n">
        <x:v>19</x:v>
      </x:c>
      <x:c r="S536" t="n">
        <x:v>22.749999999999996</x:v>
      </x:c>
      <x:c r="T536" t="n">
        <x:v>22.749999999999996</x:v>
      </x:c>
      <x:c r="U536" s="28" t="n">
        <x:f>(O536+(G536-I536)*(Q536-O536)/(J536-I536))+(H536-K536)/(L536-K536)*((P536+(G536-I536)*(R536-P536)/(J536-I536))-(O536+(G536-I536)*(Q536-O536)/(J536-I536)))</x:f>
        <x:v>22.749999999999996</x:v>
      </x:c>
      <x:c r="V536" s="32" t="n">
        <x:f>IF(AND(ISNUMBER(S536),ISNUMBER(U536)),ABS(S536-U536),IF(S536=U536,0,1))</x:f>
        <x:v>0</x:v>
      </x:c>
      <x:c r="W536" s="30" t="str">
        <x:v>PASS</x:v>
      </x:c>
      <x:c r="X536" s="28" t="str">
        <x:f>IF(V536&lt;=1E-9,"PASS","FAIL")</x:f>
        <x:v>PASS</x:v>
      </x:c>
      <x:c r="Y536" t="str">
        <x:v>Chú thích 2</x:v>
      </x:c>
      <x:c r="Z536" t="str"/>
    </x:row>
    <x:row r="537">
      <x:c r="A537" t="str">
        <x:v>G0534</x:v>
      </x:c>
      <x:c r="B537" t="str">
        <x:v>Bảng 3</x:v>
      </x:c>
      <x:c r="C537" t="str">
        <x:v>clay</x:v>
      </x:c>
      <x:c r="D537" t="str">
        <x:v>MID-2D</x:v>
      </x:c>
      <x:c r="E537" t="str">
        <x:v>{"z":9,"IL":0.6499999999999999}</x:v>
      </x:c>
      <x:c r="F537" t="str">
        <x:v>BILINEAR-2D</x:v>
      </x:c>
      <x:c r="G537" t="n">
        <x:v>9</x:v>
      </x:c>
      <x:c r="H537" t="n">
        <x:v>0.6499999999999999</x:v>
      </x:c>
      <x:c r="I537" t="n">
        <x:v>8</x:v>
      </x:c>
      <x:c r="J537" t="n">
        <x:v>10</x:v>
      </x:c>
      <x:c r="K537" t="n">
        <x:v>0.6</x:v>
      </x:c>
      <x:c r="L537" t="n">
        <x:v>0.7</x:v>
      </x:c>
      <x:c r="M537"/>
      <x:c r="N537"/>
      <x:c r="O537" t="n">
        <x:v>19</x:v>
      </x:c>
      <x:c r="P537" t="n">
        <x:v>10</x:v>
      </x:c>
      <x:c r="Q537" t="n">
        <x:v>19</x:v>
      </x:c>
      <x:c r="R537" t="n">
        <x:v>10</x:v>
      </x:c>
      <x:c r="S537" t="n">
        <x:v>14.500000000000005</x:v>
      </x:c>
      <x:c r="T537" t="n">
        <x:v>14.500000000000005</x:v>
      </x:c>
      <x:c r="U537" s="28" t="n">
        <x:f>(O537+(G537-I537)*(Q537-O537)/(J537-I537))+(H537-K537)/(L537-K537)*((P537+(G537-I537)*(R537-P537)/(J537-I537))-(O537+(G537-I537)*(Q537-O537)/(J537-I537)))</x:f>
        <x:v>14.500000000000005</x:v>
      </x:c>
      <x:c r="V537" s="32" t="n">
        <x:f>IF(AND(ISNUMBER(S537),ISNUMBER(U537)),ABS(S537-U537),IF(S537=U537,0,1))</x:f>
        <x:v>0</x:v>
      </x:c>
      <x:c r="W537" s="30" t="str">
        <x:v>PASS</x:v>
      </x:c>
      <x:c r="X537" s="28" t="str">
        <x:f>IF(V537&lt;=1E-9,"PASS","FAIL")</x:f>
        <x:v>PASS</x:v>
      </x:c>
      <x:c r="Y537" t="str">
        <x:v>Chú thích 2</x:v>
      </x:c>
      <x:c r="Z537" t="str"/>
    </x:row>
    <x:row r="538">
      <x:c r="A538" t="str">
        <x:v>G0535</x:v>
      </x:c>
      <x:c r="B538" t="str">
        <x:v>Bảng 3</x:v>
      </x:c>
      <x:c r="C538" t="str">
        <x:v>clay</x:v>
      </x:c>
      <x:c r="D538" t="str">
        <x:v>MID-2D</x:v>
      </x:c>
      <x:c r="E538" t="str">
        <x:v>{"z":9,"IL":0.75}</x:v>
      </x:c>
      <x:c r="F538" t="str">
        <x:v>BILINEAR-2D</x:v>
      </x:c>
      <x:c r="G538" t="n">
        <x:v>9</x:v>
      </x:c>
      <x:c r="H538" t="n">
        <x:v>0.75</x:v>
      </x:c>
      <x:c r="I538" t="n">
        <x:v>8</x:v>
      </x:c>
      <x:c r="J538" t="n">
        <x:v>10</x:v>
      </x:c>
      <x:c r="K538" t="n">
        <x:v>0.7</x:v>
      </x:c>
      <x:c r="L538" t="n">
        <x:v>0.8</x:v>
      </x:c>
      <x:c r="M538"/>
      <x:c r="N538"/>
      <x:c r="O538" t="n">
        <x:v>10</x:v>
      </x:c>
      <x:c r="P538" t="n">
        <x:v>8</x:v>
      </x:c>
      <x:c r="Q538" t="n">
        <x:v>10</x:v>
      </x:c>
      <x:c r="R538" t="n">
        <x:v>8</x:v>
      </x:c>
      <x:c r="S538" t="n">
        <x:v>9</x:v>
      </x:c>
      <x:c r="T538" t="n">
        <x:v>9</x:v>
      </x:c>
      <x:c r="U538" s="28" t="n">
        <x:f>(O538+(G538-I538)*(Q538-O538)/(J538-I538))+(H538-K538)/(L538-K538)*((P538+(G538-I538)*(R538-P538)/(J538-I538))-(O538+(G538-I538)*(Q538-O538)/(J538-I538)))</x:f>
        <x:v>9</x:v>
      </x:c>
      <x:c r="V538" s="32" t="n">
        <x:f>IF(AND(ISNUMBER(S538),ISNUMBER(U538)),ABS(S538-U538),IF(S538=U538,0,1))</x:f>
        <x:v>0</x:v>
      </x:c>
      <x:c r="W538" s="30" t="str">
        <x:v>PASS</x:v>
      </x:c>
      <x:c r="X538" s="28" t="str">
        <x:f>IF(V538&lt;=1E-9,"PASS","FAIL")</x:f>
        <x:v>PASS</x:v>
      </x:c>
      <x:c r="Y538" t="str">
        <x:v>Chú thích 2</x:v>
      </x:c>
      <x:c r="Z538" t="str"/>
    </x:row>
    <x:row r="539">
      <x:c r="A539" t="str">
        <x:v>G0536</x:v>
      </x:c>
      <x:c r="B539" t="str">
        <x:v>Bảng 3</x:v>
      </x:c>
      <x:c r="C539" t="str">
        <x:v>clay</x:v>
      </x:c>
      <x:c r="D539" t="str">
        <x:v>MID-2D</x:v>
      </x:c>
      <x:c r="E539" t="str">
        <x:v>{"z":9,"IL":0.8500000000000001}</x:v>
      </x:c>
      <x:c r="F539" t="str">
        <x:v>BILINEAR-2D</x:v>
      </x:c>
      <x:c r="G539" t="n">
        <x:v>9</x:v>
      </x:c>
      <x:c r="H539" t="n">
        <x:v>0.8500000000000001</x:v>
      </x:c>
      <x:c r="I539" t="n">
        <x:v>8</x:v>
      </x:c>
      <x:c r="J539" t="n">
        <x:v>10</x:v>
      </x:c>
      <x:c r="K539" t="n">
        <x:v>0.8</x:v>
      </x:c>
      <x:c r="L539" t="n">
        <x:v>0.9</x:v>
      </x:c>
      <x:c r="M539"/>
      <x:c r="N539"/>
      <x:c r="O539" t="n">
        <x:v>8</x:v>
      </x:c>
      <x:c r="P539" t="n">
        <x:v>7</x:v>
      </x:c>
      <x:c r="Q539" t="n">
        <x:v>8</x:v>
      </x:c>
      <x:c r="R539" t="n">
        <x:v>7</x:v>
      </x:c>
      <x:c r="S539" t="n">
        <x:v>7.499999999999999</x:v>
      </x:c>
      <x:c r="T539" t="n">
        <x:v>7.499999999999999</x:v>
      </x:c>
      <x:c r="U539" s="28" t="n">
        <x:f>(O539+(G539-I539)*(Q539-O539)/(J539-I539))+(H539-K539)/(L539-K539)*((P539+(G539-I539)*(R539-P539)/(J539-I539))-(O539+(G539-I539)*(Q539-O539)/(J539-I539)))</x:f>
        <x:v>7.499999999999999</x:v>
      </x:c>
      <x:c r="V539" s="32" t="n">
        <x:f>IF(AND(ISNUMBER(S539),ISNUMBER(U539)),ABS(S539-U539),IF(S539=U539,0,1))</x:f>
        <x:v>0</x:v>
      </x:c>
      <x:c r="W539" s="30" t="str">
        <x:v>PASS</x:v>
      </x:c>
      <x:c r="X539" s="28" t="str">
        <x:f>IF(V539&lt;=1E-9,"PASS","FAIL")</x:f>
        <x:v>PASS</x:v>
      </x:c>
      <x:c r="Y539" t="str">
        <x:v>Chú thích 2</x:v>
      </x:c>
      <x:c r="Z539" t="str"/>
    </x:row>
    <x:row r="540">
      <x:c r="A540" t="str">
        <x:v>G0537</x:v>
      </x:c>
      <x:c r="B540" t="str">
        <x:v>Bảng 3</x:v>
      </x:c>
      <x:c r="C540" t="str">
        <x:v>clay</x:v>
      </x:c>
      <x:c r="D540" t="str">
        <x:v>MID-2D</x:v>
      </x:c>
      <x:c r="E540" t="str">
        <x:v>{"z":9,"IL":0.95}</x:v>
      </x:c>
      <x:c r="F540" t="str">
        <x:v>BILINEAR-2D</x:v>
      </x:c>
      <x:c r="G540" t="n">
        <x:v>9</x:v>
      </x:c>
      <x:c r="H540" t="n">
        <x:v>0.95</x:v>
      </x:c>
      <x:c r="I540" t="n">
        <x:v>8</x:v>
      </x:c>
      <x:c r="J540" t="n">
        <x:v>10</x:v>
      </x:c>
      <x:c r="K540" t="n">
        <x:v>0.9</x:v>
      </x:c>
      <x:c r="L540" t="n">
        <x:v>1</x:v>
      </x:c>
      <x:c r="M540"/>
      <x:c r="N540"/>
      <x:c r="O540" t="n">
        <x:v>7</x:v>
      </x:c>
      <x:c r="P540" t="n">
        <x:v>6</x:v>
      </x:c>
      <x:c r="Q540" t="n">
        <x:v>7</x:v>
      </x:c>
      <x:c r="R540" t="n">
        <x:v>6</x:v>
      </x:c>
      <x:c r="S540" t="n">
        <x:v>6.500000000000001</x:v>
      </x:c>
      <x:c r="T540" t="n">
        <x:v>6.500000000000001</x:v>
      </x:c>
      <x:c r="U540" s="28" t="n">
        <x:f>(O540+(G540-I540)*(Q540-O540)/(J540-I540))+(H540-K540)/(L540-K540)*((P540+(G540-I540)*(R540-P540)/(J540-I540))-(O540+(G540-I540)*(Q540-O540)/(J540-I540)))</x:f>
        <x:v>6.500000000000001</x:v>
      </x:c>
      <x:c r="V540" s="32" t="n">
        <x:f>IF(AND(ISNUMBER(S540),ISNUMBER(U540)),ABS(S540-U540),IF(S540=U540,0,1))</x:f>
        <x:v>0</x:v>
      </x:c>
      <x:c r="W540" s="30" t="str">
        <x:v>PASS</x:v>
      </x:c>
      <x:c r="X540" s="28" t="str">
        <x:f>IF(V540&lt;=1E-9,"PASS","FAIL")</x:f>
        <x:v>PASS</x:v>
      </x:c>
      <x:c r="Y540" t="str">
        <x:v>Chú thích 2</x:v>
      </x:c>
      <x:c r="Z540" t="str"/>
    </x:row>
    <x:row r="541">
      <x:c r="A541" t="str">
        <x:v>G0538</x:v>
      </x:c>
      <x:c r="B541" t="str">
        <x:v>Bảng 3</x:v>
      </x:c>
      <x:c r="C541" t="str">
        <x:v>clay</x:v>
      </x:c>
      <x:c r="D541" t="str">
        <x:v>MID-2D</x:v>
      </x:c>
      <x:c r="E541" t="str">
        <x:v>{"z":12.5,"IL":0.25}</x:v>
      </x:c>
      <x:c r="F541" t="str">
        <x:v>BILINEAR-2D</x:v>
      </x:c>
      <x:c r="G541" t="n">
        <x:v>12.5</x:v>
      </x:c>
      <x:c r="H541" t="n">
        <x:v>0.25</x:v>
      </x:c>
      <x:c r="I541" t="n">
        <x:v>10</x:v>
      </x:c>
      <x:c r="J541" t="n">
        <x:v>15</x:v>
      </x:c>
      <x:c r="K541" t="n">
        <x:v>0.2</x:v>
      </x:c>
      <x:c r="L541" t="n">
        <x:v>0.3</x:v>
      </x:c>
      <x:c r="M541"/>
      <x:c r="N541"/>
      <x:c r="O541" t="n">
        <x:v>65</x:v>
      </x:c>
      <x:c r="P541" t="n">
        <x:v>46</x:v>
      </x:c>
      <x:c r="Q541" t="n">
        <x:v>72</x:v>
      </x:c>
      <x:c r="R541" t="n">
        <x:v>51</x:v>
      </x:c>
      <x:c r="S541" t="n">
        <x:v>58.5</x:v>
      </x:c>
      <x:c r="T541" t="n">
        <x:v>58.5</x:v>
      </x:c>
      <x:c r="U541" s="28" t="n">
        <x:f>(O541+(G541-I541)*(Q541-O541)/(J541-I541))+(H541-K541)/(L541-K541)*((P541+(G541-I541)*(R541-P541)/(J541-I541))-(O541+(G541-I541)*(Q541-O541)/(J541-I541)))</x:f>
        <x:v>58.5</x:v>
      </x:c>
      <x:c r="V541" s="32" t="n">
        <x:f>IF(AND(ISNUMBER(S541),ISNUMBER(U541)),ABS(S541-U541),IF(S541=U541,0,1))</x:f>
        <x:v>0</x:v>
      </x:c>
      <x:c r="W541" s="30" t="str">
        <x:v>PASS</x:v>
      </x:c>
      <x:c r="X541" s="28" t="str">
        <x:f>IF(V541&lt;=1E-9,"PASS","FAIL")</x:f>
        <x:v>PASS</x:v>
      </x:c>
      <x:c r="Y541" t="str">
        <x:v>Chú thích 2</x:v>
      </x:c>
      <x:c r="Z541" t="str"/>
    </x:row>
    <x:row r="542">
      <x:c r="A542" t="str">
        <x:v>G0539</x:v>
      </x:c>
      <x:c r="B542" t="str">
        <x:v>Bảng 3</x:v>
      </x:c>
      <x:c r="C542" t="str">
        <x:v>clay</x:v>
      </x:c>
      <x:c r="D542" t="str">
        <x:v>MID-2D</x:v>
      </x:c>
      <x:c r="E542" t="str">
        <x:v>{"z":12.5,"IL":0.35}</x:v>
      </x:c>
      <x:c r="F542" t="str">
        <x:v>BILINEAR-2D</x:v>
      </x:c>
      <x:c r="G542" t="n">
        <x:v>12.5</x:v>
      </x:c>
      <x:c r="H542" t="n">
        <x:v>0.35</x:v>
      </x:c>
      <x:c r="I542" t="n">
        <x:v>10</x:v>
      </x:c>
      <x:c r="J542" t="n">
        <x:v>15</x:v>
      </x:c>
      <x:c r="K542" t="n">
        <x:v>0.3</x:v>
      </x:c>
      <x:c r="L542" t="n">
        <x:v>0.4</x:v>
      </x:c>
      <x:c r="M542"/>
      <x:c r="N542"/>
      <x:c r="O542" t="n">
        <x:v>46</x:v>
      </x:c>
      <x:c r="P542" t="n">
        <x:v>34</x:v>
      </x:c>
      <x:c r="Q542" t="n">
        <x:v>51</x:v>
      </x:c>
      <x:c r="R542" t="n">
        <x:v>38</x:v>
      </x:c>
      <x:c r="S542" t="n">
        <x:v>42.25</x:v>
      </x:c>
      <x:c r="T542" t="n">
        <x:v>42.25</x:v>
      </x:c>
      <x:c r="U542" s="28" t="n">
        <x:f>(O542+(G542-I542)*(Q542-O542)/(J542-I542))+(H542-K542)/(L542-K542)*((P542+(G542-I542)*(R542-P542)/(J542-I542))-(O542+(G542-I542)*(Q542-O542)/(J542-I542)))</x:f>
        <x:v>42.25</x:v>
      </x:c>
      <x:c r="V542" s="32" t="n">
        <x:f>IF(AND(ISNUMBER(S542),ISNUMBER(U542)),ABS(S542-U542),IF(S542=U542,0,1))</x:f>
        <x:v>0</x:v>
      </x:c>
      <x:c r="W542" s="30" t="str">
        <x:v>PASS</x:v>
      </x:c>
      <x:c r="X542" s="28" t="str">
        <x:f>IF(V542&lt;=1E-9,"PASS","FAIL")</x:f>
        <x:v>PASS</x:v>
      </x:c>
      <x:c r="Y542" t="str">
        <x:v>Chú thích 2</x:v>
      </x:c>
      <x:c r="Z542" t="str"/>
    </x:row>
    <x:row r="543">
      <x:c r="A543" t="str">
        <x:v>G0540</x:v>
      </x:c>
      <x:c r="B543" t="str">
        <x:v>Bảng 3</x:v>
      </x:c>
      <x:c r="C543" t="str">
        <x:v>clay</x:v>
      </x:c>
      <x:c r="D543" t="str">
        <x:v>MID-2D</x:v>
      </x:c>
      <x:c r="E543" t="str">
        <x:v>{"z":12.5,"IL":0.45}</x:v>
      </x:c>
      <x:c r="F543" t="str">
        <x:v>BILINEAR-2D</x:v>
      </x:c>
      <x:c r="G543" t="n">
        <x:v>12.5</x:v>
      </x:c>
      <x:c r="H543" t="n">
        <x:v>0.45</x:v>
      </x:c>
      <x:c r="I543" t="n">
        <x:v>10</x:v>
      </x:c>
      <x:c r="J543" t="n">
        <x:v>15</x:v>
      </x:c>
      <x:c r="K543" t="n">
        <x:v>0.4</x:v>
      </x:c>
      <x:c r="L543" t="n">
        <x:v>0.5</x:v>
      </x:c>
      <x:c r="M543"/>
      <x:c r="N543"/>
      <x:c r="O543" t="n">
        <x:v>34</x:v>
      </x:c>
      <x:c r="P543" t="n">
        <x:v>27</x:v>
      </x:c>
      <x:c r="Q543" t="n">
        <x:v>38</x:v>
      </x:c>
      <x:c r="R543" t="n">
        <x:v>28</x:v>
      </x:c>
      <x:c r="S543" t="n">
        <x:v>31.75</x:v>
      </x:c>
      <x:c r="T543" t="n">
        <x:v>31.75</x:v>
      </x:c>
      <x:c r="U543" s="28" t="n">
        <x:f>(O543+(G543-I543)*(Q543-O543)/(J543-I543))+(H543-K543)/(L543-K543)*((P543+(G543-I543)*(R543-P543)/(J543-I543))-(O543+(G543-I543)*(Q543-O543)/(J543-I543)))</x:f>
        <x:v>31.75</x:v>
      </x:c>
      <x:c r="V543" s="32" t="n">
        <x:f>IF(AND(ISNUMBER(S543),ISNUMBER(U543)),ABS(S543-U543),IF(S543=U543,0,1))</x:f>
        <x:v>0</x:v>
      </x:c>
      <x:c r="W543" s="30" t="str">
        <x:v>PASS</x:v>
      </x:c>
      <x:c r="X543" s="28" t="str">
        <x:f>IF(V543&lt;=1E-9,"PASS","FAIL")</x:f>
        <x:v>PASS</x:v>
      </x:c>
      <x:c r="Y543" t="str">
        <x:v>Chú thích 2</x:v>
      </x:c>
      <x:c r="Z543" t="str"/>
    </x:row>
    <x:row r="544">
      <x:c r="A544" t="str">
        <x:v>G0541</x:v>
      </x:c>
      <x:c r="B544" t="str">
        <x:v>Bảng 3</x:v>
      </x:c>
      <x:c r="C544" t="str">
        <x:v>clay</x:v>
      </x:c>
      <x:c r="D544" t="str">
        <x:v>MID-2D</x:v>
      </x:c>
      <x:c r="E544" t="str">
        <x:v>{"z":12.5,"IL":0.55}</x:v>
      </x:c>
      <x:c r="F544" t="str">
        <x:v>BILINEAR-2D</x:v>
      </x:c>
      <x:c r="G544" t="n">
        <x:v>12.5</x:v>
      </x:c>
      <x:c r="H544" t="n">
        <x:v>0.55</x:v>
      </x:c>
      <x:c r="I544" t="n">
        <x:v>10</x:v>
      </x:c>
      <x:c r="J544" t="n">
        <x:v>15</x:v>
      </x:c>
      <x:c r="K544" t="n">
        <x:v>0.5</x:v>
      </x:c>
      <x:c r="L544" t="n">
        <x:v>0.6</x:v>
      </x:c>
      <x:c r="M544"/>
      <x:c r="N544"/>
      <x:c r="O544" t="n">
        <x:v>27</x:v>
      </x:c>
      <x:c r="P544" t="n">
        <x:v>19</x:v>
      </x:c>
      <x:c r="Q544" t="n">
        <x:v>28</x:v>
      </x:c>
      <x:c r="R544" t="n">
        <x:v>20</x:v>
      </x:c>
      <x:c r="S544" t="n">
        <x:v>23.499999999999996</x:v>
      </x:c>
      <x:c r="T544" t="n">
        <x:v>23.499999999999996</x:v>
      </x:c>
      <x:c r="U544" s="28" t="n">
        <x:f>(O544+(G544-I544)*(Q544-O544)/(J544-I544))+(H544-K544)/(L544-K544)*((P544+(G544-I544)*(R544-P544)/(J544-I544))-(O544+(G544-I544)*(Q544-O544)/(J544-I544)))</x:f>
        <x:v>23.499999999999996</x:v>
      </x:c>
      <x:c r="V544" s="32" t="n">
        <x:f>IF(AND(ISNUMBER(S544),ISNUMBER(U544)),ABS(S544-U544),IF(S544=U544,0,1))</x:f>
        <x:v>0</x:v>
      </x:c>
      <x:c r="W544" s="30" t="str">
        <x:v>PASS</x:v>
      </x:c>
      <x:c r="X544" s="28" t="str">
        <x:f>IF(V544&lt;=1E-9,"PASS","FAIL")</x:f>
        <x:v>PASS</x:v>
      </x:c>
      <x:c r="Y544" t="str">
        <x:v>Chú thích 2</x:v>
      </x:c>
      <x:c r="Z544" t="str"/>
    </x:row>
    <x:row r="545">
      <x:c r="A545" t="str">
        <x:v>G0542</x:v>
      </x:c>
      <x:c r="B545" t="str">
        <x:v>Bảng 3</x:v>
      </x:c>
      <x:c r="C545" t="str">
        <x:v>clay</x:v>
      </x:c>
      <x:c r="D545" t="str">
        <x:v>MID-2D</x:v>
      </x:c>
      <x:c r="E545" t="str">
        <x:v>{"z":12.5,"IL":0.6499999999999999}</x:v>
      </x:c>
      <x:c r="F545" t="str">
        <x:v>BILINEAR-2D</x:v>
      </x:c>
      <x:c r="G545" t="n">
        <x:v>12.5</x:v>
      </x:c>
      <x:c r="H545" t="n">
        <x:v>0.6499999999999999</x:v>
      </x:c>
      <x:c r="I545" t="n">
        <x:v>10</x:v>
      </x:c>
      <x:c r="J545" t="n">
        <x:v>15</x:v>
      </x:c>
      <x:c r="K545" t="n">
        <x:v>0.6</x:v>
      </x:c>
      <x:c r="L545" t="n">
        <x:v>0.7</x:v>
      </x:c>
      <x:c r="M545"/>
      <x:c r="N545"/>
      <x:c r="O545" t="n">
        <x:v>19</x:v>
      </x:c>
      <x:c r="P545" t="n">
        <x:v>10</x:v>
      </x:c>
      <x:c r="Q545" t="n">
        <x:v>20</x:v>
      </x:c>
      <x:c r="R545" t="n">
        <x:v>11</x:v>
      </x:c>
      <x:c r="S545" t="n">
        <x:v>15.000000000000005</x:v>
      </x:c>
      <x:c r="T545" t="n">
        <x:v>15.000000000000005</x:v>
      </x:c>
      <x:c r="U545" s="28" t="n">
        <x:f>(O545+(G545-I545)*(Q545-O545)/(J545-I545))+(H545-K545)/(L545-K545)*((P545+(G545-I545)*(R545-P545)/(J545-I545))-(O545+(G545-I545)*(Q545-O545)/(J545-I545)))</x:f>
        <x:v>15.000000000000005</x:v>
      </x:c>
      <x:c r="V545" s="32" t="n">
        <x:f>IF(AND(ISNUMBER(S545),ISNUMBER(U545)),ABS(S545-U545),IF(S545=U545,0,1))</x:f>
        <x:v>0</x:v>
      </x:c>
      <x:c r="W545" s="30" t="str">
        <x:v>PASS</x:v>
      </x:c>
      <x:c r="X545" s="28" t="str">
        <x:f>IF(V545&lt;=1E-9,"PASS","FAIL")</x:f>
        <x:v>PASS</x:v>
      </x:c>
      <x:c r="Y545" t="str">
        <x:v>Chú thích 2</x:v>
      </x:c>
      <x:c r="Z545" t="str"/>
    </x:row>
    <x:row r="546">
      <x:c r="A546" t="str">
        <x:v>G0543</x:v>
      </x:c>
      <x:c r="B546" t="str">
        <x:v>Bảng 3</x:v>
      </x:c>
      <x:c r="C546" t="str">
        <x:v>clay</x:v>
      </x:c>
      <x:c r="D546" t="str">
        <x:v>MID-2D</x:v>
      </x:c>
      <x:c r="E546" t="str">
        <x:v>{"z":12.5,"IL":0.75}</x:v>
      </x:c>
      <x:c r="F546" t="str">
        <x:v>BILINEAR-2D</x:v>
      </x:c>
      <x:c r="G546" t="n">
        <x:v>12.5</x:v>
      </x:c>
      <x:c r="H546" t="n">
        <x:v>0.75</x:v>
      </x:c>
      <x:c r="I546" t="n">
        <x:v>10</x:v>
      </x:c>
      <x:c r="J546" t="n">
        <x:v>15</x:v>
      </x:c>
      <x:c r="K546" t="n">
        <x:v>0.7</x:v>
      </x:c>
      <x:c r="L546" t="n">
        <x:v>0.8</x:v>
      </x:c>
      <x:c r="M546"/>
      <x:c r="N546"/>
      <x:c r="O546" t="n">
        <x:v>10</x:v>
      </x:c>
      <x:c r="P546" t="n">
        <x:v>8</x:v>
      </x:c>
      <x:c r="Q546" t="n">
        <x:v>11</x:v>
      </x:c>
      <x:c r="R546" t="n">
        <x:v>8</x:v>
      </x:c>
      <x:c r="S546" t="n">
        <x:v>9.25</x:v>
      </x:c>
      <x:c r="T546" t="n">
        <x:v>9.25</x:v>
      </x:c>
      <x:c r="U546" s="28" t="n">
        <x:f>(O546+(G546-I546)*(Q546-O546)/(J546-I546))+(H546-K546)/(L546-K546)*((P546+(G546-I546)*(R546-P546)/(J546-I546))-(O546+(G546-I546)*(Q546-O546)/(J546-I546)))</x:f>
        <x:v>9.25</x:v>
      </x:c>
      <x:c r="V546" s="32" t="n">
        <x:f>IF(AND(ISNUMBER(S546),ISNUMBER(U546)),ABS(S546-U546),IF(S546=U546,0,1))</x:f>
        <x:v>0</x:v>
      </x:c>
      <x:c r="W546" s="30" t="str">
        <x:v>PASS</x:v>
      </x:c>
      <x:c r="X546" s="28" t="str">
        <x:f>IF(V546&lt;=1E-9,"PASS","FAIL")</x:f>
        <x:v>PASS</x:v>
      </x:c>
      <x:c r="Y546" t="str">
        <x:v>Chú thích 2</x:v>
      </x:c>
      <x:c r="Z546" t="str"/>
    </x:row>
    <x:row r="547">
      <x:c r="A547" t="str">
        <x:v>G0544</x:v>
      </x:c>
      <x:c r="B547" t="str">
        <x:v>Bảng 3</x:v>
      </x:c>
      <x:c r="C547" t="str">
        <x:v>clay</x:v>
      </x:c>
      <x:c r="D547" t="str">
        <x:v>MID-2D</x:v>
      </x:c>
      <x:c r="E547" t="str">
        <x:v>{"z":12.5,"IL":0.8500000000000001}</x:v>
      </x:c>
      <x:c r="F547" t="str">
        <x:v>BILINEAR-2D</x:v>
      </x:c>
      <x:c r="G547" t="n">
        <x:v>12.5</x:v>
      </x:c>
      <x:c r="H547" t="n">
        <x:v>0.8500000000000001</x:v>
      </x:c>
      <x:c r="I547" t="n">
        <x:v>10</x:v>
      </x:c>
      <x:c r="J547" t="n">
        <x:v>15</x:v>
      </x:c>
      <x:c r="K547" t="n">
        <x:v>0.8</x:v>
      </x:c>
      <x:c r="L547" t="n">
        <x:v>0.9</x:v>
      </x:c>
      <x:c r="M547"/>
      <x:c r="N547"/>
      <x:c r="O547" t="n">
        <x:v>8</x:v>
      </x:c>
      <x:c r="P547" t="n">
        <x:v>7</x:v>
      </x:c>
      <x:c r="Q547" t="n">
        <x:v>8</x:v>
      </x:c>
      <x:c r="R547" t="n">
        <x:v>7</x:v>
      </x:c>
      <x:c r="S547" t="n">
        <x:v>7.499999999999999</x:v>
      </x:c>
      <x:c r="T547" t="n">
        <x:v>7.499999999999999</x:v>
      </x:c>
      <x:c r="U547" s="28" t="n">
        <x:f>(O547+(G547-I547)*(Q547-O547)/(J547-I547))+(H547-K547)/(L547-K547)*((P547+(G547-I547)*(R547-P547)/(J547-I547))-(O547+(G547-I547)*(Q547-O547)/(J547-I547)))</x:f>
        <x:v>7.499999999999999</x:v>
      </x:c>
      <x:c r="V547" s="32" t="n">
        <x:f>IF(AND(ISNUMBER(S547),ISNUMBER(U547)),ABS(S547-U547),IF(S547=U547,0,1))</x:f>
        <x:v>0</x:v>
      </x:c>
      <x:c r="W547" s="30" t="str">
        <x:v>PASS</x:v>
      </x:c>
      <x:c r="X547" s="28" t="str">
        <x:f>IF(V547&lt;=1E-9,"PASS","FAIL")</x:f>
        <x:v>PASS</x:v>
      </x:c>
      <x:c r="Y547" t="str">
        <x:v>Chú thích 2</x:v>
      </x:c>
      <x:c r="Z547" t="str"/>
    </x:row>
    <x:row r="548">
      <x:c r="A548" t="str">
        <x:v>G0545</x:v>
      </x:c>
      <x:c r="B548" t="str">
        <x:v>Bảng 3</x:v>
      </x:c>
      <x:c r="C548" t="str">
        <x:v>clay</x:v>
      </x:c>
      <x:c r="D548" t="str">
        <x:v>MID-2D</x:v>
      </x:c>
      <x:c r="E548" t="str">
        <x:v>{"z":12.5,"IL":0.95}</x:v>
      </x:c>
      <x:c r="F548" t="str">
        <x:v>BILINEAR-2D</x:v>
      </x:c>
      <x:c r="G548" t="n">
        <x:v>12.5</x:v>
      </x:c>
      <x:c r="H548" t="n">
        <x:v>0.95</x:v>
      </x:c>
      <x:c r="I548" t="n">
        <x:v>10</x:v>
      </x:c>
      <x:c r="J548" t="n">
        <x:v>15</x:v>
      </x:c>
      <x:c r="K548" t="n">
        <x:v>0.9</x:v>
      </x:c>
      <x:c r="L548" t="n">
        <x:v>1</x:v>
      </x:c>
      <x:c r="M548"/>
      <x:c r="N548"/>
      <x:c r="O548" t="n">
        <x:v>7</x:v>
      </x:c>
      <x:c r="P548" t="n">
        <x:v>6</x:v>
      </x:c>
      <x:c r="Q548" t="n">
        <x:v>7</x:v>
      </x:c>
      <x:c r="R548" t="n">
        <x:v>6</x:v>
      </x:c>
      <x:c r="S548" t="n">
        <x:v>6.500000000000001</x:v>
      </x:c>
      <x:c r="T548" t="n">
        <x:v>6.500000000000001</x:v>
      </x:c>
      <x:c r="U548" s="28" t="n">
        <x:f>(O548+(G548-I548)*(Q548-O548)/(J548-I548))+(H548-K548)/(L548-K548)*((P548+(G548-I548)*(R548-P548)/(J548-I548))-(O548+(G548-I548)*(Q548-O548)/(J548-I548)))</x:f>
        <x:v>6.500000000000001</x:v>
      </x:c>
      <x:c r="V548" s="32" t="n">
        <x:f>IF(AND(ISNUMBER(S548),ISNUMBER(U548)),ABS(S548-U548),IF(S548=U548,0,1))</x:f>
        <x:v>0</x:v>
      </x:c>
      <x:c r="W548" s="30" t="str">
        <x:v>PASS</x:v>
      </x:c>
      <x:c r="X548" s="28" t="str">
        <x:f>IF(V548&lt;=1E-9,"PASS","FAIL")</x:f>
        <x:v>PASS</x:v>
      </x:c>
      <x:c r="Y548" t="str">
        <x:v>Chú thích 2</x:v>
      </x:c>
      <x:c r="Z548" t="str"/>
    </x:row>
    <x:row r="549">
      <x:c r="A549" t="str">
        <x:v>G0546</x:v>
      </x:c>
      <x:c r="B549" t="str">
        <x:v>Bảng 3</x:v>
      </x:c>
      <x:c r="C549" t="str">
        <x:v>clay</x:v>
      </x:c>
      <x:c r="D549" t="str">
        <x:v>MID-2D</x:v>
      </x:c>
      <x:c r="E549" t="str">
        <x:v>{"z":17.5,"IL":0.25}</x:v>
      </x:c>
      <x:c r="F549" t="str">
        <x:v>BILINEAR-2D</x:v>
      </x:c>
      <x:c r="G549" t="n">
        <x:v>17.5</x:v>
      </x:c>
      <x:c r="H549" t="n">
        <x:v>0.25</x:v>
      </x:c>
      <x:c r="I549" t="n">
        <x:v>15</x:v>
      </x:c>
      <x:c r="J549" t="n">
        <x:v>20</x:v>
      </x:c>
      <x:c r="K549" t="n">
        <x:v>0.2</x:v>
      </x:c>
      <x:c r="L549" t="n">
        <x:v>0.3</x:v>
      </x:c>
      <x:c r="M549"/>
      <x:c r="N549"/>
      <x:c r="O549" t="n">
        <x:v>72</x:v>
      </x:c>
      <x:c r="P549" t="n">
        <x:v>51</x:v>
      </x:c>
      <x:c r="Q549" t="n">
        <x:v>79</x:v>
      </x:c>
      <x:c r="R549" t="n">
        <x:v>56</x:v>
      </x:c>
      <x:c r="S549" t="n">
        <x:v>64.5</x:v>
      </x:c>
      <x:c r="T549" t="n">
        <x:v>64.5</x:v>
      </x:c>
      <x:c r="U549" s="28" t="n">
        <x:f>(O549+(G549-I549)*(Q549-O549)/(J549-I549))+(H549-K549)/(L549-K549)*((P549+(G549-I549)*(R549-P549)/(J549-I549))-(O549+(G549-I549)*(Q549-O549)/(J549-I549)))</x:f>
        <x:v>64.5</x:v>
      </x:c>
      <x:c r="V549" s="32" t="n">
        <x:f>IF(AND(ISNUMBER(S549),ISNUMBER(U549)),ABS(S549-U549),IF(S549=U549,0,1))</x:f>
        <x:v>0</x:v>
      </x:c>
      <x:c r="W549" s="30" t="str">
        <x:v>PASS</x:v>
      </x:c>
      <x:c r="X549" s="28" t="str">
        <x:f>IF(V549&lt;=1E-9,"PASS","FAIL")</x:f>
        <x:v>PASS</x:v>
      </x:c>
      <x:c r="Y549" t="str">
        <x:v>Chú thích 2</x:v>
      </x:c>
      <x:c r="Z549" t="str"/>
    </x:row>
    <x:row r="550">
      <x:c r="A550" t="str">
        <x:v>G0547</x:v>
      </x:c>
      <x:c r="B550" t="str">
        <x:v>Bảng 3</x:v>
      </x:c>
      <x:c r="C550" t="str">
        <x:v>clay</x:v>
      </x:c>
      <x:c r="D550" t="str">
        <x:v>MID-2D</x:v>
      </x:c>
      <x:c r="E550" t="str">
        <x:v>{"z":17.5,"IL":0.35}</x:v>
      </x:c>
      <x:c r="F550" t="str">
        <x:v>BILINEAR-2D</x:v>
      </x:c>
      <x:c r="G550" t="n">
        <x:v>17.5</x:v>
      </x:c>
      <x:c r="H550" t="n">
        <x:v>0.35</x:v>
      </x:c>
      <x:c r="I550" t="n">
        <x:v>15</x:v>
      </x:c>
      <x:c r="J550" t="n">
        <x:v>20</x:v>
      </x:c>
      <x:c r="K550" t="n">
        <x:v>0.3</x:v>
      </x:c>
      <x:c r="L550" t="n">
        <x:v>0.4</x:v>
      </x:c>
      <x:c r="M550"/>
      <x:c r="N550"/>
      <x:c r="O550" t="n">
        <x:v>51</x:v>
      </x:c>
      <x:c r="P550" t="n">
        <x:v>38</x:v>
      </x:c>
      <x:c r="Q550" t="n">
        <x:v>56</x:v>
      </x:c>
      <x:c r="R550" t="n">
        <x:v>41</x:v>
      </x:c>
      <x:c r="S550" t="n">
        <x:v>46.5</x:v>
      </x:c>
      <x:c r="T550" t="n">
        <x:v>46.5</x:v>
      </x:c>
      <x:c r="U550" s="28" t="n">
        <x:f>(O550+(G550-I550)*(Q550-O550)/(J550-I550))+(H550-K550)/(L550-K550)*((P550+(G550-I550)*(R550-P550)/(J550-I550))-(O550+(G550-I550)*(Q550-O550)/(J550-I550)))</x:f>
        <x:v>46.5</x:v>
      </x:c>
      <x:c r="V550" s="32" t="n">
        <x:f>IF(AND(ISNUMBER(S550),ISNUMBER(U550)),ABS(S550-U550),IF(S550=U550,0,1))</x:f>
        <x:v>0</x:v>
      </x:c>
      <x:c r="W550" s="30" t="str">
        <x:v>PASS</x:v>
      </x:c>
      <x:c r="X550" s="28" t="str">
        <x:f>IF(V550&lt;=1E-9,"PASS","FAIL")</x:f>
        <x:v>PASS</x:v>
      </x:c>
      <x:c r="Y550" t="str">
        <x:v>Chú thích 2</x:v>
      </x:c>
      <x:c r="Z550" t="str"/>
    </x:row>
    <x:row r="551">
      <x:c r="A551" t="str">
        <x:v>G0548</x:v>
      </x:c>
      <x:c r="B551" t="str">
        <x:v>Bảng 3</x:v>
      </x:c>
      <x:c r="C551" t="str">
        <x:v>clay</x:v>
      </x:c>
      <x:c r="D551" t="str">
        <x:v>MID-2D</x:v>
      </x:c>
      <x:c r="E551" t="str">
        <x:v>{"z":17.5,"IL":0.45}</x:v>
      </x:c>
      <x:c r="F551" t="str">
        <x:v>BILINEAR-2D</x:v>
      </x:c>
      <x:c r="G551" t="n">
        <x:v>17.5</x:v>
      </x:c>
      <x:c r="H551" t="n">
        <x:v>0.45</x:v>
      </x:c>
      <x:c r="I551" t="n">
        <x:v>15</x:v>
      </x:c>
      <x:c r="J551" t="n">
        <x:v>20</x:v>
      </x:c>
      <x:c r="K551" t="n">
        <x:v>0.4</x:v>
      </x:c>
      <x:c r="L551" t="n">
        <x:v>0.5</x:v>
      </x:c>
      <x:c r="M551"/>
      <x:c r="N551"/>
      <x:c r="O551" t="n">
        <x:v>38</x:v>
      </x:c>
      <x:c r="P551" t="n">
        <x:v>28</x:v>
      </x:c>
      <x:c r="Q551" t="n">
        <x:v>41</x:v>
      </x:c>
      <x:c r="R551" t="n">
        <x:v>30</x:v>
      </x:c>
      <x:c r="S551" t="n">
        <x:v>34.25</x:v>
      </x:c>
      <x:c r="T551" t="n">
        <x:v>34.25</x:v>
      </x:c>
      <x:c r="U551" s="28" t="n">
        <x:f>(O551+(G551-I551)*(Q551-O551)/(J551-I551))+(H551-K551)/(L551-K551)*((P551+(G551-I551)*(R551-P551)/(J551-I551))-(O551+(G551-I551)*(Q551-O551)/(J551-I551)))</x:f>
        <x:v>34.25</x:v>
      </x:c>
      <x:c r="V551" s="32" t="n">
        <x:f>IF(AND(ISNUMBER(S551),ISNUMBER(U551)),ABS(S551-U551),IF(S551=U551,0,1))</x:f>
        <x:v>0</x:v>
      </x:c>
      <x:c r="W551" s="30" t="str">
        <x:v>PASS</x:v>
      </x:c>
      <x:c r="X551" s="28" t="str">
        <x:f>IF(V551&lt;=1E-9,"PASS","FAIL")</x:f>
        <x:v>PASS</x:v>
      </x:c>
      <x:c r="Y551" t="str">
        <x:v>Chú thích 2</x:v>
      </x:c>
      <x:c r="Z551" t="str"/>
    </x:row>
    <x:row r="552">
      <x:c r="A552" t="str">
        <x:v>G0549</x:v>
      </x:c>
      <x:c r="B552" t="str">
        <x:v>Bảng 3</x:v>
      </x:c>
      <x:c r="C552" t="str">
        <x:v>clay</x:v>
      </x:c>
      <x:c r="D552" t="str">
        <x:v>MID-2D</x:v>
      </x:c>
      <x:c r="E552" t="str">
        <x:v>{"z":17.5,"IL":0.55}</x:v>
      </x:c>
      <x:c r="F552" t="str">
        <x:v>BILINEAR-2D</x:v>
      </x:c>
      <x:c r="G552" t="n">
        <x:v>17.5</x:v>
      </x:c>
      <x:c r="H552" t="n">
        <x:v>0.55</x:v>
      </x:c>
      <x:c r="I552" t="n">
        <x:v>15</x:v>
      </x:c>
      <x:c r="J552" t="n">
        <x:v>20</x:v>
      </x:c>
      <x:c r="K552" t="n">
        <x:v>0.5</x:v>
      </x:c>
      <x:c r="L552" t="n">
        <x:v>0.6</x:v>
      </x:c>
      <x:c r="M552"/>
      <x:c r="N552"/>
      <x:c r="O552" t="n">
        <x:v>28</x:v>
      </x:c>
      <x:c r="P552" t="n">
        <x:v>20</x:v>
      </x:c>
      <x:c r="Q552" t="n">
        <x:v>30</x:v>
      </x:c>
      <x:c r="R552" t="n">
        <x:v>20</x:v>
      </x:c>
      <x:c r="S552" t="n">
        <x:v>24.499999999999993</x:v>
      </x:c>
      <x:c r="T552" t="n">
        <x:v>24.499999999999993</x:v>
      </x:c>
      <x:c r="U552" s="28" t="n">
        <x:f>(O552+(G552-I552)*(Q552-O552)/(J552-I552))+(H552-K552)/(L552-K552)*((P552+(G552-I552)*(R552-P552)/(J552-I552))-(O552+(G552-I552)*(Q552-O552)/(J552-I552)))</x:f>
        <x:v>24.499999999999993</x:v>
      </x:c>
      <x:c r="V552" s="32" t="n">
        <x:f>IF(AND(ISNUMBER(S552),ISNUMBER(U552)),ABS(S552-U552),IF(S552=U552,0,1))</x:f>
        <x:v>0</x:v>
      </x:c>
      <x:c r="W552" s="30" t="str">
        <x:v>PASS</x:v>
      </x:c>
      <x:c r="X552" s="28" t="str">
        <x:f>IF(V552&lt;=1E-9,"PASS","FAIL")</x:f>
        <x:v>PASS</x:v>
      </x:c>
      <x:c r="Y552" t="str">
        <x:v>Chú thích 2</x:v>
      </x:c>
      <x:c r="Z552" t="str"/>
    </x:row>
    <x:row r="553">
      <x:c r="A553" t="str">
        <x:v>G0550</x:v>
      </x:c>
      <x:c r="B553" t="str">
        <x:v>Bảng 3</x:v>
      </x:c>
      <x:c r="C553" t="str">
        <x:v>clay</x:v>
      </x:c>
      <x:c r="D553" t="str">
        <x:v>MID-2D</x:v>
      </x:c>
      <x:c r="E553" t="str">
        <x:v>{"z":17.5,"IL":0.6499999999999999}</x:v>
      </x:c>
      <x:c r="F553" t="str">
        <x:v>BILINEAR-2D</x:v>
      </x:c>
      <x:c r="G553" t="n">
        <x:v>17.5</x:v>
      </x:c>
      <x:c r="H553" t="n">
        <x:v>0.6499999999999999</x:v>
      </x:c>
      <x:c r="I553" t="n">
        <x:v>15</x:v>
      </x:c>
      <x:c r="J553" t="n">
        <x:v>20</x:v>
      </x:c>
      <x:c r="K553" t="n">
        <x:v>0.6</x:v>
      </x:c>
      <x:c r="L553" t="n">
        <x:v>0.7</x:v>
      </x:c>
      <x:c r="M553"/>
      <x:c r="N553"/>
      <x:c r="O553" t="n">
        <x:v>20</x:v>
      </x:c>
      <x:c r="P553" t="n">
        <x:v>11</x:v>
      </x:c>
      <x:c r="Q553" t="n">
        <x:v>20</x:v>
      </x:c>
      <x:c r="R553" t="n">
        <x:v>12</x:v>
      </x:c>
      <x:c r="S553" t="n">
        <x:v>15.750000000000004</x:v>
      </x:c>
      <x:c r="T553" t="n">
        <x:v>15.750000000000004</x:v>
      </x:c>
      <x:c r="U553" s="28" t="n">
        <x:f>(O553+(G553-I553)*(Q553-O553)/(J553-I553))+(H553-K553)/(L553-K553)*((P553+(G553-I553)*(R553-P553)/(J553-I553))-(O553+(G553-I553)*(Q553-O553)/(J553-I553)))</x:f>
        <x:v>15.750000000000004</x:v>
      </x:c>
      <x:c r="V553" s="32" t="n">
        <x:f>IF(AND(ISNUMBER(S553),ISNUMBER(U553)),ABS(S553-U553),IF(S553=U553,0,1))</x:f>
        <x:v>0</x:v>
      </x:c>
      <x:c r="W553" s="30" t="str">
        <x:v>PASS</x:v>
      </x:c>
      <x:c r="X553" s="28" t="str">
        <x:f>IF(V553&lt;=1E-9,"PASS","FAIL")</x:f>
        <x:v>PASS</x:v>
      </x:c>
      <x:c r="Y553" t="str">
        <x:v>Chú thích 2</x:v>
      </x:c>
      <x:c r="Z553" t="str"/>
    </x:row>
    <x:row r="554">
      <x:c r="A554" t="str">
        <x:v>G0551</x:v>
      </x:c>
      <x:c r="B554" t="str">
        <x:v>Bảng 3</x:v>
      </x:c>
      <x:c r="C554" t="str">
        <x:v>clay</x:v>
      </x:c>
      <x:c r="D554" t="str">
        <x:v>MID-2D</x:v>
      </x:c>
      <x:c r="E554" t="str">
        <x:v>{"z":17.5,"IL":0.75}</x:v>
      </x:c>
      <x:c r="F554" t="str">
        <x:v>BILINEAR-2D</x:v>
      </x:c>
      <x:c r="G554" t="n">
        <x:v>17.5</x:v>
      </x:c>
      <x:c r="H554" t="n">
        <x:v>0.75</x:v>
      </x:c>
      <x:c r="I554" t="n">
        <x:v>15</x:v>
      </x:c>
      <x:c r="J554" t="n">
        <x:v>20</x:v>
      </x:c>
      <x:c r="K554" t="n">
        <x:v>0.7</x:v>
      </x:c>
      <x:c r="L554" t="n">
        <x:v>0.8</x:v>
      </x:c>
      <x:c r="M554"/>
      <x:c r="N554"/>
      <x:c r="O554" t="n">
        <x:v>11</x:v>
      </x:c>
      <x:c r="P554" t="n">
        <x:v>8</x:v>
      </x:c>
      <x:c r="Q554" t="n">
        <x:v>12</x:v>
      </x:c>
      <x:c r="R554" t="n">
        <x:v>8</x:v>
      </x:c>
      <x:c r="S554" t="n">
        <x:v>9.75</x:v>
      </x:c>
      <x:c r="T554" t="n">
        <x:v>9.75</x:v>
      </x:c>
      <x:c r="U554" s="28" t="n">
        <x:f>(O554+(G554-I554)*(Q554-O554)/(J554-I554))+(H554-K554)/(L554-K554)*((P554+(G554-I554)*(R554-P554)/(J554-I554))-(O554+(G554-I554)*(Q554-O554)/(J554-I554)))</x:f>
        <x:v>9.75</x:v>
      </x:c>
      <x:c r="V554" s="32" t="n">
        <x:f>IF(AND(ISNUMBER(S554),ISNUMBER(U554)),ABS(S554-U554),IF(S554=U554,0,1))</x:f>
        <x:v>0</x:v>
      </x:c>
      <x:c r="W554" s="30" t="str">
        <x:v>PASS</x:v>
      </x:c>
      <x:c r="X554" s="28" t="str">
        <x:f>IF(V554&lt;=1E-9,"PASS","FAIL")</x:f>
        <x:v>PASS</x:v>
      </x:c>
      <x:c r="Y554" t="str">
        <x:v>Chú thích 2</x:v>
      </x:c>
      <x:c r="Z554" t="str"/>
    </x:row>
    <x:row r="555">
      <x:c r="A555" t="str">
        <x:v>G0552</x:v>
      </x:c>
      <x:c r="B555" t="str">
        <x:v>Bảng 3</x:v>
      </x:c>
      <x:c r="C555" t="str">
        <x:v>clay</x:v>
      </x:c>
      <x:c r="D555" t="str">
        <x:v>MID-2D</x:v>
      </x:c>
      <x:c r="E555" t="str">
        <x:v>{"z":17.5,"IL":0.8500000000000001}</x:v>
      </x:c>
      <x:c r="F555" t="str">
        <x:v>BILINEAR-2D</x:v>
      </x:c>
      <x:c r="G555" t="n">
        <x:v>17.5</x:v>
      </x:c>
      <x:c r="H555" t="n">
        <x:v>0.8500000000000001</x:v>
      </x:c>
      <x:c r="I555" t="n">
        <x:v>15</x:v>
      </x:c>
      <x:c r="J555" t="n">
        <x:v>20</x:v>
      </x:c>
      <x:c r="K555" t="n">
        <x:v>0.8</x:v>
      </x:c>
      <x:c r="L555" t="n">
        <x:v>0.9</x:v>
      </x:c>
      <x:c r="M555"/>
      <x:c r="N555"/>
      <x:c r="O555" t="n">
        <x:v>8</x:v>
      </x:c>
      <x:c r="P555" t="n">
        <x:v>7</x:v>
      </x:c>
      <x:c r="Q555" t="n">
        <x:v>8</x:v>
      </x:c>
      <x:c r="R555" t="n">
        <x:v>7</x:v>
      </x:c>
      <x:c r="S555" t="n">
        <x:v>7.499999999999999</x:v>
      </x:c>
      <x:c r="T555" t="n">
        <x:v>7.499999999999999</x:v>
      </x:c>
      <x:c r="U555" s="28" t="n">
        <x:f>(O555+(G555-I555)*(Q555-O555)/(J555-I555))+(H555-K555)/(L555-K555)*((P555+(G555-I555)*(R555-P555)/(J555-I555))-(O555+(G555-I555)*(Q555-O555)/(J555-I555)))</x:f>
        <x:v>7.499999999999999</x:v>
      </x:c>
      <x:c r="V555" s="32" t="n">
        <x:f>IF(AND(ISNUMBER(S555),ISNUMBER(U555)),ABS(S555-U555),IF(S555=U555,0,1))</x:f>
        <x:v>0</x:v>
      </x:c>
      <x:c r="W555" s="30" t="str">
        <x:v>PASS</x:v>
      </x:c>
      <x:c r="X555" s="28" t="str">
        <x:f>IF(V555&lt;=1E-9,"PASS","FAIL")</x:f>
        <x:v>PASS</x:v>
      </x:c>
      <x:c r="Y555" t="str">
        <x:v>Chú thích 2</x:v>
      </x:c>
      <x:c r="Z555" t="str"/>
    </x:row>
    <x:row r="556">
      <x:c r="A556" t="str">
        <x:v>G0553</x:v>
      </x:c>
      <x:c r="B556" t="str">
        <x:v>Bảng 3</x:v>
      </x:c>
      <x:c r="C556" t="str">
        <x:v>clay</x:v>
      </x:c>
      <x:c r="D556" t="str">
        <x:v>MID-2D</x:v>
      </x:c>
      <x:c r="E556" t="str">
        <x:v>{"z":17.5,"IL":0.95}</x:v>
      </x:c>
      <x:c r="F556" t="str">
        <x:v>BILINEAR-2D</x:v>
      </x:c>
      <x:c r="G556" t="n">
        <x:v>17.5</x:v>
      </x:c>
      <x:c r="H556" t="n">
        <x:v>0.95</x:v>
      </x:c>
      <x:c r="I556" t="n">
        <x:v>15</x:v>
      </x:c>
      <x:c r="J556" t="n">
        <x:v>20</x:v>
      </x:c>
      <x:c r="K556" t="n">
        <x:v>0.9</x:v>
      </x:c>
      <x:c r="L556" t="n">
        <x:v>1</x:v>
      </x:c>
      <x:c r="M556"/>
      <x:c r="N556"/>
      <x:c r="O556" t="n">
        <x:v>7</x:v>
      </x:c>
      <x:c r="P556" t="n">
        <x:v>6</x:v>
      </x:c>
      <x:c r="Q556" t="n">
        <x:v>7</x:v>
      </x:c>
      <x:c r="R556" t="n">
        <x:v>6</x:v>
      </x:c>
      <x:c r="S556" t="n">
        <x:v>6.500000000000001</x:v>
      </x:c>
      <x:c r="T556" t="n">
        <x:v>6.500000000000001</x:v>
      </x:c>
      <x:c r="U556" s="28" t="n">
        <x:f>(O556+(G556-I556)*(Q556-O556)/(J556-I556))+(H556-K556)/(L556-K556)*((P556+(G556-I556)*(R556-P556)/(J556-I556))-(O556+(G556-I556)*(Q556-O556)/(J556-I556)))</x:f>
        <x:v>6.500000000000001</x:v>
      </x:c>
      <x:c r="V556" s="32" t="n">
        <x:f>IF(AND(ISNUMBER(S556),ISNUMBER(U556)),ABS(S556-U556),IF(S556=U556,0,1))</x:f>
        <x:v>0</x:v>
      </x:c>
      <x:c r="W556" s="30" t="str">
        <x:v>PASS</x:v>
      </x:c>
      <x:c r="X556" s="28" t="str">
        <x:f>IF(V556&lt;=1E-9,"PASS","FAIL")</x:f>
        <x:v>PASS</x:v>
      </x:c>
      <x:c r="Y556" t="str">
        <x:v>Chú thích 2</x:v>
      </x:c>
      <x:c r="Z556" t="str"/>
    </x:row>
    <x:row r="557">
      <x:c r="A557" t="str">
        <x:v>G0554</x:v>
      </x:c>
      <x:c r="B557" t="str">
        <x:v>Bảng 3</x:v>
      </x:c>
      <x:c r="C557" t="str">
        <x:v>clay</x:v>
      </x:c>
      <x:c r="D557" t="str">
        <x:v>MID-2D</x:v>
      </x:c>
      <x:c r="E557" t="str">
        <x:v>{"z":22.5,"IL":0.25}</x:v>
      </x:c>
      <x:c r="F557" t="str">
        <x:v>BILINEAR-2D</x:v>
      </x:c>
      <x:c r="G557" t="n">
        <x:v>22.5</x:v>
      </x:c>
      <x:c r="H557" t="n">
        <x:v>0.25</x:v>
      </x:c>
      <x:c r="I557" t="n">
        <x:v>20</x:v>
      </x:c>
      <x:c r="J557" t="n">
        <x:v>25</x:v>
      </x:c>
      <x:c r="K557" t="n">
        <x:v>0.2</x:v>
      </x:c>
      <x:c r="L557" t="n">
        <x:v>0.3</x:v>
      </x:c>
      <x:c r="M557"/>
      <x:c r="N557"/>
      <x:c r="O557" t="n">
        <x:v>79</x:v>
      </x:c>
      <x:c r="P557" t="n">
        <x:v>56</x:v>
      </x:c>
      <x:c r="Q557" t="n">
        <x:v>86</x:v>
      </x:c>
      <x:c r="R557" t="n">
        <x:v>61</x:v>
      </x:c>
      <x:c r="S557" t="n">
        <x:v>70.5</x:v>
      </x:c>
      <x:c r="T557" t="n">
        <x:v>70.5</x:v>
      </x:c>
      <x:c r="U557" s="28" t="n">
        <x:f>(O557+(G557-I557)*(Q557-O557)/(J557-I557))+(H557-K557)/(L557-K557)*((P557+(G557-I557)*(R557-P557)/(J557-I557))-(O557+(G557-I557)*(Q557-O557)/(J557-I557)))</x:f>
        <x:v>70.5</x:v>
      </x:c>
      <x:c r="V557" s="32" t="n">
        <x:f>IF(AND(ISNUMBER(S557),ISNUMBER(U557)),ABS(S557-U557),IF(S557=U557,0,1))</x:f>
        <x:v>0</x:v>
      </x:c>
      <x:c r="W557" s="30" t="str">
        <x:v>PASS</x:v>
      </x:c>
      <x:c r="X557" s="28" t="str">
        <x:f>IF(V557&lt;=1E-9,"PASS","FAIL")</x:f>
        <x:v>PASS</x:v>
      </x:c>
      <x:c r="Y557" t="str">
        <x:v>Chú thích 2</x:v>
      </x:c>
      <x:c r="Z557" t="str"/>
    </x:row>
    <x:row r="558">
      <x:c r="A558" t="str">
        <x:v>G0555</x:v>
      </x:c>
      <x:c r="B558" t="str">
        <x:v>Bảng 3</x:v>
      </x:c>
      <x:c r="C558" t="str">
        <x:v>clay</x:v>
      </x:c>
      <x:c r="D558" t="str">
        <x:v>MID-2D</x:v>
      </x:c>
      <x:c r="E558" t="str">
        <x:v>{"z":22.5,"IL":0.35}</x:v>
      </x:c>
      <x:c r="F558" t="str">
        <x:v>BILINEAR-2D</x:v>
      </x:c>
      <x:c r="G558" t="n">
        <x:v>22.5</x:v>
      </x:c>
      <x:c r="H558" t="n">
        <x:v>0.35</x:v>
      </x:c>
      <x:c r="I558" t="n">
        <x:v>20</x:v>
      </x:c>
      <x:c r="J558" t="n">
        <x:v>25</x:v>
      </x:c>
      <x:c r="K558" t="n">
        <x:v>0.3</x:v>
      </x:c>
      <x:c r="L558" t="n">
        <x:v>0.4</x:v>
      </x:c>
      <x:c r="M558"/>
      <x:c r="N558"/>
      <x:c r="O558" t="n">
        <x:v>56</x:v>
      </x:c>
      <x:c r="P558" t="n">
        <x:v>41</x:v>
      </x:c>
      <x:c r="Q558" t="n">
        <x:v>61</x:v>
      </x:c>
      <x:c r="R558" t="n">
        <x:v>44</x:v>
      </x:c>
      <x:c r="S558" t="n">
        <x:v>50.50000000000001</x:v>
      </x:c>
      <x:c r="T558" t="n">
        <x:v>50.50000000000001</x:v>
      </x:c>
      <x:c r="U558" s="28" t="n">
        <x:f>(O558+(G558-I558)*(Q558-O558)/(J558-I558))+(H558-K558)/(L558-K558)*((P558+(G558-I558)*(R558-P558)/(J558-I558))-(O558+(G558-I558)*(Q558-O558)/(J558-I558)))</x:f>
        <x:v>50.50000000000001</x:v>
      </x:c>
      <x:c r="V558" s="32" t="n">
        <x:f>IF(AND(ISNUMBER(S558),ISNUMBER(U558)),ABS(S558-U558),IF(S558=U558,0,1))</x:f>
        <x:v>0</x:v>
      </x:c>
      <x:c r="W558" s="30" t="str">
        <x:v>PASS</x:v>
      </x:c>
      <x:c r="X558" s="28" t="str">
        <x:f>IF(V558&lt;=1E-9,"PASS","FAIL")</x:f>
        <x:v>PASS</x:v>
      </x:c>
      <x:c r="Y558" t="str">
        <x:v>Chú thích 2</x:v>
      </x:c>
      <x:c r="Z558" t="str"/>
    </x:row>
    <x:row r="559">
      <x:c r="A559" t="str">
        <x:v>G0556</x:v>
      </x:c>
      <x:c r="B559" t="str">
        <x:v>Bảng 3</x:v>
      </x:c>
      <x:c r="C559" t="str">
        <x:v>clay</x:v>
      </x:c>
      <x:c r="D559" t="str">
        <x:v>MID-2D</x:v>
      </x:c>
      <x:c r="E559" t="str">
        <x:v>{"z":22.5,"IL":0.45}</x:v>
      </x:c>
      <x:c r="F559" t="str">
        <x:v>BILINEAR-2D</x:v>
      </x:c>
      <x:c r="G559" t="n">
        <x:v>22.5</x:v>
      </x:c>
      <x:c r="H559" t="n">
        <x:v>0.45</x:v>
      </x:c>
      <x:c r="I559" t="n">
        <x:v>20</x:v>
      </x:c>
      <x:c r="J559" t="n">
        <x:v>25</x:v>
      </x:c>
      <x:c r="K559" t="n">
        <x:v>0.4</x:v>
      </x:c>
      <x:c r="L559" t="n">
        <x:v>0.5</x:v>
      </x:c>
      <x:c r="M559"/>
      <x:c r="N559"/>
      <x:c r="O559" t="n">
        <x:v>41</x:v>
      </x:c>
      <x:c r="P559" t="n">
        <x:v>30</x:v>
      </x:c>
      <x:c r="Q559" t="n">
        <x:v>44</x:v>
      </x:c>
      <x:c r="R559" t="n">
        <x:v>32</x:v>
      </x:c>
      <x:c r="S559" t="n">
        <x:v>36.75</x:v>
      </x:c>
      <x:c r="T559" t="n">
        <x:v>36.75</x:v>
      </x:c>
      <x:c r="U559" s="28" t="n">
        <x:f>(O559+(G559-I559)*(Q559-O559)/(J559-I559))+(H559-K559)/(L559-K559)*((P559+(G559-I559)*(R559-P559)/(J559-I559))-(O559+(G559-I559)*(Q559-O559)/(J559-I559)))</x:f>
        <x:v>36.75</x:v>
      </x:c>
      <x:c r="V559" s="32" t="n">
        <x:f>IF(AND(ISNUMBER(S559),ISNUMBER(U559)),ABS(S559-U559),IF(S559=U559,0,1))</x:f>
        <x:v>0</x:v>
      </x:c>
      <x:c r="W559" s="30" t="str">
        <x:v>PASS</x:v>
      </x:c>
      <x:c r="X559" s="28" t="str">
        <x:f>IF(V559&lt;=1E-9,"PASS","FAIL")</x:f>
        <x:v>PASS</x:v>
      </x:c>
      <x:c r="Y559" t="str">
        <x:v>Chú thích 2</x:v>
      </x:c>
      <x:c r="Z559" t="str"/>
    </x:row>
    <x:row r="560">
      <x:c r="A560" t="str">
        <x:v>G0557</x:v>
      </x:c>
      <x:c r="B560" t="str">
        <x:v>Bảng 3</x:v>
      </x:c>
      <x:c r="C560" t="str">
        <x:v>clay</x:v>
      </x:c>
      <x:c r="D560" t="str">
        <x:v>MID-2D</x:v>
      </x:c>
      <x:c r="E560" t="str">
        <x:v>{"z":22.5,"IL":0.55}</x:v>
      </x:c>
      <x:c r="F560" t="str">
        <x:v>BILINEAR-2D</x:v>
      </x:c>
      <x:c r="G560" t="n">
        <x:v>22.5</x:v>
      </x:c>
      <x:c r="H560" t="n">
        <x:v>0.55</x:v>
      </x:c>
      <x:c r="I560" t="n">
        <x:v>20</x:v>
      </x:c>
      <x:c r="J560" t="n">
        <x:v>25</x:v>
      </x:c>
      <x:c r="K560" t="n">
        <x:v>0.5</x:v>
      </x:c>
      <x:c r="L560" t="n">
        <x:v>0.6</x:v>
      </x:c>
      <x:c r="M560"/>
      <x:c r="N560"/>
      <x:c r="O560" t="n">
        <x:v>30</x:v>
      </x:c>
      <x:c r="P560" t="n">
        <x:v>20</x:v>
      </x:c>
      <x:c r="Q560" t="n">
        <x:v>32</x:v>
      </x:c>
      <x:c r="R560" t="n">
        <x:v>20</x:v>
      </x:c>
      <x:c r="S560" t="n">
        <x:v>25.499999999999993</x:v>
      </x:c>
      <x:c r="T560" t="n">
        <x:v>25.499999999999993</x:v>
      </x:c>
      <x:c r="U560" s="28" t="n">
        <x:f>(O560+(G560-I560)*(Q560-O560)/(J560-I560))+(H560-K560)/(L560-K560)*((P560+(G560-I560)*(R560-P560)/(J560-I560))-(O560+(G560-I560)*(Q560-O560)/(J560-I560)))</x:f>
        <x:v>25.499999999999993</x:v>
      </x:c>
      <x:c r="V560" s="32" t="n">
        <x:f>IF(AND(ISNUMBER(S560),ISNUMBER(U560)),ABS(S560-U560),IF(S560=U560,0,1))</x:f>
        <x:v>0</x:v>
      </x:c>
      <x:c r="W560" s="30" t="str">
        <x:v>PASS</x:v>
      </x:c>
      <x:c r="X560" s="28" t="str">
        <x:f>IF(V560&lt;=1E-9,"PASS","FAIL")</x:f>
        <x:v>PASS</x:v>
      </x:c>
      <x:c r="Y560" t="str">
        <x:v>Chú thích 2</x:v>
      </x:c>
      <x:c r="Z560" t="str"/>
    </x:row>
    <x:row r="561">
      <x:c r="A561" t="str">
        <x:v>G0558</x:v>
      </x:c>
      <x:c r="B561" t="str">
        <x:v>Bảng 3</x:v>
      </x:c>
      <x:c r="C561" t="str">
        <x:v>clay</x:v>
      </x:c>
      <x:c r="D561" t="str">
        <x:v>MID-2D</x:v>
      </x:c>
      <x:c r="E561" t="str">
        <x:v>{"z":22.5,"IL":0.6499999999999999}</x:v>
      </x:c>
      <x:c r="F561" t="str">
        <x:v>BILINEAR-2D</x:v>
      </x:c>
      <x:c r="G561" t="n">
        <x:v>22.5</x:v>
      </x:c>
      <x:c r="H561" t="n">
        <x:v>0.6499999999999999</x:v>
      </x:c>
      <x:c r="I561" t="n">
        <x:v>20</x:v>
      </x:c>
      <x:c r="J561" t="n">
        <x:v>25</x:v>
      </x:c>
      <x:c r="K561" t="n">
        <x:v>0.6</x:v>
      </x:c>
      <x:c r="L561" t="n">
        <x:v>0.7</x:v>
      </x:c>
      <x:c r="M561"/>
      <x:c r="N561"/>
      <x:c r="O561" t="n">
        <x:v>20</x:v>
      </x:c>
      <x:c r="P561" t="n">
        <x:v>12</x:v>
      </x:c>
      <x:c r="Q561" t="n">
        <x:v>20</x:v>
      </x:c>
      <x:c r="R561" t="n">
        <x:v>12</x:v>
      </x:c>
      <x:c r="S561" t="n">
        <x:v>16.000000000000004</x:v>
      </x:c>
      <x:c r="T561" t="n">
        <x:v>16.000000000000004</x:v>
      </x:c>
      <x:c r="U561" s="28" t="n">
        <x:f>(O561+(G561-I561)*(Q561-O561)/(J561-I561))+(H561-K561)/(L561-K561)*((P561+(G561-I561)*(R561-P561)/(J561-I561))-(O561+(G561-I561)*(Q561-O561)/(J561-I561)))</x:f>
        <x:v>16.000000000000004</x:v>
      </x:c>
      <x:c r="V561" s="32" t="n">
        <x:f>IF(AND(ISNUMBER(S561),ISNUMBER(U561)),ABS(S561-U561),IF(S561=U561,0,1))</x:f>
        <x:v>0</x:v>
      </x:c>
      <x:c r="W561" s="30" t="str">
        <x:v>PASS</x:v>
      </x:c>
      <x:c r="X561" s="28" t="str">
        <x:f>IF(V561&lt;=1E-9,"PASS","FAIL")</x:f>
        <x:v>PASS</x:v>
      </x:c>
      <x:c r="Y561" t="str">
        <x:v>Chú thích 2</x:v>
      </x:c>
      <x:c r="Z561" t="str"/>
    </x:row>
    <x:row r="562">
      <x:c r="A562" t="str">
        <x:v>G0559</x:v>
      </x:c>
      <x:c r="B562" t="str">
        <x:v>Bảng 3</x:v>
      </x:c>
      <x:c r="C562" t="str">
        <x:v>clay</x:v>
      </x:c>
      <x:c r="D562" t="str">
        <x:v>MID-2D</x:v>
      </x:c>
      <x:c r="E562" t="str">
        <x:v>{"z":22.5,"IL":0.75}</x:v>
      </x:c>
      <x:c r="F562" t="str">
        <x:v>BILINEAR-2D</x:v>
      </x:c>
      <x:c r="G562" t="n">
        <x:v>22.5</x:v>
      </x:c>
      <x:c r="H562" t="n">
        <x:v>0.75</x:v>
      </x:c>
      <x:c r="I562" t="n">
        <x:v>20</x:v>
      </x:c>
      <x:c r="J562" t="n">
        <x:v>25</x:v>
      </x:c>
      <x:c r="K562" t="n">
        <x:v>0.7</x:v>
      </x:c>
      <x:c r="L562" t="n">
        <x:v>0.8</x:v>
      </x:c>
      <x:c r="M562"/>
      <x:c r="N562"/>
      <x:c r="O562" t="n">
        <x:v>12</x:v>
      </x:c>
      <x:c r="P562" t="n">
        <x:v>8</x:v>
      </x:c>
      <x:c r="Q562" t="n">
        <x:v>12</x:v>
      </x:c>
      <x:c r="R562" t="n">
        <x:v>8</x:v>
      </x:c>
      <x:c r="S562" t="n">
        <x:v>10</x:v>
      </x:c>
      <x:c r="T562" t="n">
        <x:v>10</x:v>
      </x:c>
      <x:c r="U562" s="28" t="n">
        <x:f>(O562+(G562-I562)*(Q562-O562)/(J562-I562))+(H562-K562)/(L562-K562)*((P562+(G562-I562)*(R562-P562)/(J562-I562))-(O562+(G562-I562)*(Q562-O562)/(J562-I562)))</x:f>
        <x:v>10</x:v>
      </x:c>
      <x:c r="V562" s="32" t="n">
        <x:f>IF(AND(ISNUMBER(S562),ISNUMBER(U562)),ABS(S562-U562),IF(S562=U562,0,1))</x:f>
        <x:v>0</x:v>
      </x:c>
      <x:c r="W562" s="30" t="str">
        <x:v>PASS</x:v>
      </x:c>
      <x:c r="X562" s="28" t="str">
        <x:f>IF(V562&lt;=1E-9,"PASS","FAIL")</x:f>
        <x:v>PASS</x:v>
      </x:c>
      <x:c r="Y562" t="str">
        <x:v>Chú thích 2</x:v>
      </x:c>
      <x:c r="Z562" t="str"/>
    </x:row>
    <x:row r="563">
      <x:c r="A563" t="str">
        <x:v>G0560</x:v>
      </x:c>
      <x:c r="B563" t="str">
        <x:v>Bảng 3</x:v>
      </x:c>
      <x:c r="C563" t="str">
        <x:v>clay</x:v>
      </x:c>
      <x:c r="D563" t="str">
        <x:v>MID-2D</x:v>
      </x:c>
      <x:c r="E563" t="str">
        <x:v>{"z":22.5,"IL":0.8500000000000001}</x:v>
      </x:c>
      <x:c r="F563" t="str">
        <x:v>BILINEAR-2D</x:v>
      </x:c>
      <x:c r="G563" t="n">
        <x:v>22.5</x:v>
      </x:c>
      <x:c r="H563" t="n">
        <x:v>0.8500000000000001</x:v>
      </x:c>
      <x:c r="I563" t="n">
        <x:v>20</x:v>
      </x:c>
      <x:c r="J563" t="n">
        <x:v>25</x:v>
      </x:c>
      <x:c r="K563" t="n">
        <x:v>0.8</x:v>
      </x:c>
      <x:c r="L563" t="n">
        <x:v>0.9</x:v>
      </x:c>
      <x:c r="M563"/>
      <x:c r="N563"/>
      <x:c r="O563" t="n">
        <x:v>8</x:v>
      </x:c>
      <x:c r="P563" t="n">
        <x:v>7</x:v>
      </x:c>
      <x:c r="Q563" t="n">
        <x:v>8</x:v>
      </x:c>
      <x:c r="R563" t="n">
        <x:v>7</x:v>
      </x:c>
      <x:c r="S563" t="n">
        <x:v>7.499999999999999</x:v>
      </x:c>
      <x:c r="T563" t="n">
        <x:v>7.499999999999999</x:v>
      </x:c>
      <x:c r="U563" s="28" t="n">
        <x:f>(O563+(G563-I563)*(Q563-O563)/(J563-I563))+(H563-K563)/(L563-K563)*((P563+(G563-I563)*(R563-P563)/(J563-I563))-(O563+(G563-I563)*(Q563-O563)/(J563-I563)))</x:f>
        <x:v>7.499999999999999</x:v>
      </x:c>
      <x:c r="V563" s="32" t="n">
        <x:f>IF(AND(ISNUMBER(S563),ISNUMBER(U563)),ABS(S563-U563),IF(S563=U563,0,1))</x:f>
        <x:v>0</x:v>
      </x:c>
      <x:c r="W563" s="30" t="str">
        <x:v>PASS</x:v>
      </x:c>
      <x:c r="X563" s="28" t="str">
        <x:f>IF(V563&lt;=1E-9,"PASS","FAIL")</x:f>
        <x:v>PASS</x:v>
      </x:c>
      <x:c r="Y563" t="str">
        <x:v>Chú thích 2</x:v>
      </x:c>
      <x:c r="Z563" t="str"/>
    </x:row>
    <x:row r="564">
      <x:c r="A564" t="str">
        <x:v>G0561</x:v>
      </x:c>
      <x:c r="B564" t="str">
        <x:v>Bảng 3</x:v>
      </x:c>
      <x:c r="C564" t="str">
        <x:v>clay</x:v>
      </x:c>
      <x:c r="D564" t="str">
        <x:v>MID-2D</x:v>
      </x:c>
      <x:c r="E564" t="str">
        <x:v>{"z":22.5,"IL":0.95}</x:v>
      </x:c>
      <x:c r="F564" t="str">
        <x:v>BILINEAR-2D</x:v>
      </x:c>
      <x:c r="G564" t="n">
        <x:v>22.5</x:v>
      </x:c>
      <x:c r="H564" t="n">
        <x:v>0.95</x:v>
      </x:c>
      <x:c r="I564" t="n">
        <x:v>20</x:v>
      </x:c>
      <x:c r="J564" t="n">
        <x:v>25</x:v>
      </x:c>
      <x:c r="K564" t="n">
        <x:v>0.9</x:v>
      </x:c>
      <x:c r="L564" t="n">
        <x:v>1</x:v>
      </x:c>
      <x:c r="M564"/>
      <x:c r="N564"/>
      <x:c r="O564" t="n">
        <x:v>7</x:v>
      </x:c>
      <x:c r="P564" t="n">
        <x:v>6</x:v>
      </x:c>
      <x:c r="Q564" t="n">
        <x:v>7</x:v>
      </x:c>
      <x:c r="R564" t="n">
        <x:v>6</x:v>
      </x:c>
      <x:c r="S564" t="n">
        <x:v>6.500000000000001</x:v>
      </x:c>
      <x:c r="T564" t="n">
        <x:v>6.500000000000001</x:v>
      </x:c>
      <x:c r="U564" s="28" t="n">
        <x:f>(O564+(G564-I564)*(Q564-O564)/(J564-I564))+(H564-K564)/(L564-K564)*((P564+(G564-I564)*(R564-P564)/(J564-I564))-(O564+(G564-I564)*(Q564-O564)/(J564-I564)))</x:f>
        <x:v>6.500000000000001</x:v>
      </x:c>
      <x:c r="V564" s="32" t="n">
        <x:f>IF(AND(ISNUMBER(S564),ISNUMBER(U564)),ABS(S564-U564),IF(S564=U564,0,1))</x:f>
        <x:v>0</x:v>
      </x:c>
      <x:c r="W564" s="30" t="str">
        <x:v>PASS</x:v>
      </x:c>
      <x:c r="X564" s="28" t="str">
        <x:f>IF(V564&lt;=1E-9,"PASS","FAIL")</x:f>
        <x:v>PASS</x:v>
      </x:c>
      <x:c r="Y564" t="str">
        <x:v>Chú thích 2</x:v>
      </x:c>
      <x:c r="Z564" t="str"/>
    </x:row>
    <x:row r="565">
      <x:c r="A565" t="str">
        <x:v>G0562</x:v>
      </x:c>
      <x:c r="B565" t="str">
        <x:v>Bảng 3</x:v>
      </x:c>
      <x:c r="C565" t="str">
        <x:v>clay</x:v>
      </x:c>
      <x:c r="D565" t="str">
        <x:v>MID-2D</x:v>
      </x:c>
      <x:c r="E565" t="str">
        <x:v>{"z":27.5,"IL":0.25}</x:v>
      </x:c>
      <x:c r="F565" t="str">
        <x:v>BILINEAR-2D</x:v>
      </x:c>
      <x:c r="G565" t="n">
        <x:v>27.5</x:v>
      </x:c>
      <x:c r="H565" t="n">
        <x:v>0.25</x:v>
      </x:c>
      <x:c r="I565" t="n">
        <x:v>25</x:v>
      </x:c>
      <x:c r="J565" t="n">
        <x:v>30</x:v>
      </x:c>
      <x:c r="K565" t="n">
        <x:v>0.2</x:v>
      </x:c>
      <x:c r="L565" t="n">
        <x:v>0.3</x:v>
      </x:c>
      <x:c r="M565"/>
      <x:c r="N565"/>
      <x:c r="O565" t="n">
        <x:v>86</x:v>
      </x:c>
      <x:c r="P565" t="n">
        <x:v>61</x:v>
      </x:c>
      <x:c r="Q565" t="n">
        <x:v>93</x:v>
      </x:c>
      <x:c r="R565" t="n">
        <x:v>66</x:v>
      </x:c>
      <x:c r="S565" t="n">
        <x:v>76.5</x:v>
      </x:c>
      <x:c r="T565" t="n">
        <x:v>76.5</x:v>
      </x:c>
      <x:c r="U565" s="28" t="n">
        <x:f>(O565+(G565-I565)*(Q565-O565)/(J565-I565))+(H565-K565)/(L565-K565)*((P565+(G565-I565)*(R565-P565)/(J565-I565))-(O565+(G565-I565)*(Q565-O565)/(J565-I565)))</x:f>
        <x:v>76.5</x:v>
      </x:c>
      <x:c r="V565" s="32" t="n">
        <x:f>IF(AND(ISNUMBER(S565),ISNUMBER(U565)),ABS(S565-U565),IF(S565=U565,0,1))</x:f>
        <x:v>0</x:v>
      </x:c>
      <x:c r="W565" s="30" t="str">
        <x:v>PASS</x:v>
      </x:c>
      <x:c r="X565" s="28" t="str">
        <x:f>IF(V565&lt;=1E-9,"PASS","FAIL")</x:f>
        <x:v>PASS</x:v>
      </x:c>
      <x:c r="Y565" t="str">
        <x:v>Chú thích 2</x:v>
      </x:c>
      <x:c r="Z565" t="str"/>
    </x:row>
    <x:row r="566">
      <x:c r="A566" t="str">
        <x:v>G0563</x:v>
      </x:c>
      <x:c r="B566" t="str">
        <x:v>Bảng 3</x:v>
      </x:c>
      <x:c r="C566" t="str">
        <x:v>clay</x:v>
      </x:c>
      <x:c r="D566" t="str">
        <x:v>MID-2D</x:v>
      </x:c>
      <x:c r="E566" t="str">
        <x:v>{"z":27.5,"IL":0.35}</x:v>
      </x:c>
      <x:c r="F566" t="str">
        <x:v>BILINEAR-2D</x:v>
      </x:c>
      <x:c r="G566" t="n">
        <x:v>27.5</x:v>
      </x:c>
      <x:c r="H566" t="n">
        <x:v>0.35</x:v>
      </x:c>
      <x:c r="I566" t="n">
        <x:v>25</x:v>
      </x:c>
      <x:c r="J566" t="n">
        <x:v>30</x:v>
      </x:c>
      <x:c r="K566" t="n">
        <x:v>0.3</x:v>
      </x:c>
      <x:c r="L566" t="n">
        <x:v>0.4</x:v>
      </x:c>
      <x:c r="M566"/>
      <x:c r="N566"/>
      <x:c r="O566" t="n">
        <x:v>61</x:v>
      </x:c>
      <x:c r="P566" t="n">
        <x:v>44</x:v>
      </x:c>
      <x:c r="Q566" t="n">
        <x:v>66</x:v>
      </x:c>
      <x:c r="R566" t="n">
        <x:v>47</x:v>
      </x:c>
      <x:c r="S566" t="n">
        <x:v>54.50000000000001</x:v>
      </x:c>
      <x:c r="T566" t="n">
        <x:v>54.50000000000001</x:v>
      </x:c>
      <x:c r="U566" s="28" t="n">
        <x:f>(O566+(G566-I566)*(Q566-O566)/(J566-I566))+(H566-K566)/(L566-K566)*((P566+(G566-I566)*(R566-P566)/(J566-I566))-(O566+(G566-I566)*(Q566-O566)/(J566-I566)))</x:f>
        <x:v>54.50000000000001</x:v>
      </x:c>
      <x:c r="V566" s="32" t="n">
        <x:f>IF(AND(ISNUMBER(S566),ISNUMBER(U566)),ABS(S566-U566),IF(S566=U566,0,1))</x:f>
        <x:v>0</x:v>
      </x:c>
      <x:c r="W566" s="30" t="str">
        <x:v>PASS</x:v>
      </x:c>
      <x:c r="X566" s="28" t="str">
        <x:f>IF(V566&lt;=1E-9,"PASS","FAIL")</x:f>
        <x:v>PASS</x:v>
      </x:c>
      <x:c r="Y566" t="str">
        <x:v>Chú thích 2</x:v>
      </x:c>
      <x:c r="Z566" t="str"/>
    </x:row>
    <x:row r="567">
      <x:c r="A567" t="str">
        <x:v>G0564</x:v>
      </x:c>
      <x:c r="B567" t="str">
        <x:v>Bảng 3</x:v>
      </x:c>
      <x:c r="C567" t="str">
        <x:v>clay</x:v>
      </x:c>
      <x:c r="D567" t="str">
        <x:v>MID-2D</x:v>
      </x:c>
      <x:c r="E567" t="str">
        <x:v>{"z":27.5,"IL":0.45}</x:v>
      </x:c>
      <x:c r="F567" t="str">
        <x:v>BILINEAR-2D</x:v>
      </x:c>
      <x:c r="G567" t="n">
        <x:v>27.5</x:v>
      </x:c>
      <x:c r="H567" t="n">
        <x:v>0.45</x:v>
      </x:c>
      <x:c r="I567" t="n">
        <x:v>25</x:v>
      </x:c>
      <x:c r="J567" t="n">
        <x:v>30</x:v>
      </x:c>
      <x:c r="K567" t="n">
        <x:v>0.4</x:v>
      </x:c>
      <x:c r="L567" t="n">
        <x:v>0.5</x:v>
      </x:c>
      <x:c r="M567"/>
      <x:c r="N567"/>
      <x:c r="O567" t="n">
        <x:v>44</x:v>
      </x:c>
      <x:c r="P567" t="n">
        <x:v>32</x:v>
      </x:c>
      <x:c r="Q567" t="n">
        <x:v>47</x:v>
      </x:c>
      <x:c r="R567" t="n">
        <x:v>34</x:v>
      </x:c>
      <x:c r="S567" t="n">
        <x:v>39.25</x:v>
      </x:c>
      <x:c r="T567" t="n">
        <x:v>39.25</x:v>
      </x:c>
      <x:c r="U567" s="28" t="n">
        <x:f>(O567+(G567-I567)*(Q567-O567)/(J567-I567))+(H567-K567)/(L567-K567)*((P567+(G567-I567)*(R567-P567)/(J567-I567))-(O567+(G567-I567)*(Q567-O567)/(J567-I567)))</x:f>
        <x:v>39.25</x:v>
      </x:c>
      <x:c r="V567" s="32" t="n">
        <x:f>IF(AND(ISNUMBER(S567),ISNUMBER(U567)),ABS(S567-U567),IF(S567=U567,0,1))</x:f>
        <x:v>0</x:v>
      </x:c>
      <x:c r="W567" s="30" t="str">
        <x:v>PASS</x:v>
      </x:c>
      <x:c r="X567" s="28" t="str">
        <x:f>IF(V567&lt;=1E-9,"PASS","FAIL")</x:f>
        <x:v>PASS</x:v>
      </x:c>
      <x:c r="Y567" t="str">
        <x:v>Chú thích 2</x:v>
      </x:c>
      <x:c r="Z567" t="str"/>
    </x:row>
    <x:row r="568">
      <x:c r="A568" t="str">
        <x:v>G0565</x:v>
      </x:c>
      <x:c r="B568" t="str">
        <x:v>Bảng 3</x:v>
      </x:c>
      <x:c r="C568" t="str">
        <x:v>clay</x:v>
      </x:c>
      <x:c r="D568" t="str">
        <x:v>MID-2D</x:v>
      </x:c>
      <x:c r="E568" t="str">
        <x:v>{"z":27.5,"IL":0.55}</x:v>
      </x:c>
      <x:c r="F568" t="str">
        <x:v>BILINEAR-2D</x:v>
      </x:c>
      <x:c r="G568" t="n">
        <x:v>27.5</x:v>
      </x:c>
      <x:c r="H568" t="n">
        <x:v>0.55</x:v>
      </x:c>
      <x:c r="I568" t="n">
        <x:v>25</x:v>
      </x:c>
      <x:c r="J568" t="n">
        <x:v>30</x:v>
      </x:c>
      <x:c r="K568" t="n">
        <x:v>0.5</x:v>
      </x:c>
      <x:c r="L568" t="n">
        <x:v>0.6</x:v>
      </x:c>
      <x:c r="M568"/>
      <x:c r="N568"/>
      <x:c r="O568" t="n">
        <x:v>32</x:v>
      </x:c>
      <x:c r="P568" t="n">
        <x:v>20</x:v>
      </x:c>
      <x:c r="Q568" t="n">
        <x:v>34</x:v>
      </x:c>
      <x:c r="R568" t="n">
        <x:v>21</x:v>
      </x:c>
      <x:c r="S568" t="n">
        <x:v>26.749999999999993</x:v>
      </x:c>
      <x:c r="T568" t="n">
        <x:v>26.749999999999993</x:v>
      </x:c>
      <x:c r="U568" s="28" t="n">
        <x:f>(O568+(G568-I568)*(Q568-O568)/(J568-I568))+(H568-K568)/(L568-K568)*((P568+(G568-I568)*(R568-P568)/(J568-I568))-(O568+(G568-I568)*(Q568-O568)/(J568-I568)))</x:f>
        <x:v>26.749999999999993</x:v>
      </x:c>
      <x:c r="V568" s="32" t="n">
        <x:f>IF(AND(ISNUMBER(S568),ISNUMBER(U568)),ABS(S568-U568),IF(S568=U568,0,1))</x:f>
        <x:v>0</x:v>
      </x:c>
      <x:c r="W568" s="30" t="str">
        <x:v>PASS</x:v>
      </x:c>
      <x:c r="X568" s="28" t="str">
        <x:f>IF(V568&lt;=1E-9,"PASS","FAIL")</x:f>
        <x:v>PASS</x:v>
      </x:c>
      <x:c r="Y568" t="str">
        <x:v>Chú thích 2</x:v>
      </x:c>
      <x:c r="Z568" t="str"/>
    </x:row>
    <x:row r="569">
      <x:c r="A569" t="str">
        <x:v>G0566</x:v>
      </x:c>
      <x:c r="B569" t="str">
        <x:v>Bảng 3</x:v>
      </x:c>
      <x:c r="C569" t="str">
        <x:v>clay</x:v>
      </x:c>
      <x:c r="D569" t="str">
        <x:v>MID-2D</x:v>
      </x:c>
      <x:c r="E569" t="str">
        <x:v>{"z":27.5,"IL":0.6499999999999999}</x:v>
      </x:c>
      <x:c r="F569" t="str">
        <x:v>BILINEAR-2D</x:v>
      </x:c>
      <x:c r="G569" t="n">
        <x:v>27.5</x:v>
      </x:c>
      <x:c r="H569" t="n">
        <x:v>0.6499999999999999</x:v>
      </x:c>
      <x:c r="I569" t="n">
        <x:v>25</x:v>
      </x:c>
      <x:c r="J569" t="n">
        <x:v>30</x:v>
      </x:c>
      <x:c r="K569" t="n">
        <x:v>0.6</x:v>
      </x:c>
      <x:c r="L569" t="n">
        <x:v>0.7</x:v>
      </x:c>
      <x:c r="M569"/>
      <x:c r="N569"/>
      <x:c r="O569" t="n">
        <x:v>20</x:v>
      </x:c>
      <x:c r="P569" t="n">
        <x:v>12</x:v>
      </x:c>
      <x:c r="Q569" t="n">
        <x:v>21</x:v>
      </x:c>
      <x:c r="R569" t="n">
        <x:v>12</x:v>
      </x:c>
      <x:c r="S569" t="n">
        <x:v>16.250000000000004</x:v>
      </x:c>
      <x:c r="T569" t="n">
        <x:v>16.250000000000004</x:v>
      </x:c>
      <x:c r="U569" s="28" t="n">
        <x:f>(O569+(G569-I569)*(Q569-O569)/(J569-I569))+(H569-K569)/(L569-K569)*((P569+(G569-I569)*(R569-P569)/(J569-I569))-(O569+(G569-I569)*(Q569-O569)/(J569-I569)))</x:f>
        <x:v>16.250000000000004</x:v>
      </x:c>
      <x:c r="V569" s="32" t="n">
        <x:f>IF(AND(ISNUMBER(S569),ISNUMBER(U569)),ABS(S569-U569),IF(S569=U569,0,1))</x:f>
        <x:v>0</x:v>
      </x:c>
      <x:c r="W569" s="30" t="str">
        <x:v>PASS</x:v>
      </x:c>
      <x:c r="X569" s="28" t="str">
        <x:f>IF(V569&lt;=1E-9,"PASS","FAIL")</x:f>
        <x:v>PASS</x:v>
      </x:c>
      <x:c r="Y569" t="str">
        <x:v>Chú thích 2</x:v>
      </x:c>
      <x:c r="Z569" t="str"/>
    </x:row>
    <x:row r="570">
      <x:c r="A570" t="str">
        <x:v>G0567</x:v>
      </x:c>
      <x:c r="B570" t="str">
        <x:v>Bảng 3</x:v>
      </x:c>
      <x:c r="C570" t="str">
        <x:v>clay</x:v>
      </x:c>
      <x:c r="D570" t="str">
        <x:v>MID-2D</x:v>
      </x:c>
      <x:c r="E570" t="str">
        <x:v>{"z":27.5,"IL":0.75}</x:v>
      </x:c>
      <x:c r="F570" t="str">
        <x:v>BILINEAR-2D</x:v>
      </x:c>
      <x:c r="G570" t="n">
        <x:v>27.5</x:v>
      </x:c>
      <x:c r="H570" t="n">
        <x:v>0.75</x:v>
      </x:c>
      <x:c r="I570" t="n">
        <x:v>25</x:v>
      </x:c>
      <x:c r="J570" t="n">
        <x:v>30</x:v>
      </x:c>
      <x:c r="K570" t="n">
        <x:v>0.7</x:v>
      </x:c>
      <x:c r="L570" t="n">
        <x:v>0.8</x:v>
      </x:c>
      <x:c r="M570"/>
      <x:c r="N570"/>
      <x:c r="O570" t="n">
        <x:v>12</x:v>
      </x:c>
      <x:c r="P570" t="n">
        <x:v>8</x:v>
      </x:c>
      <x:c r="Q570" t="n">
        <x:v>12</x:v>
      </x:c>
      <x:c r="R570" t="n">
        <x:v>9</x:v>
      </x:c>
      <x:c r="S570" t="n">
        <x:v>10.25</x:v>
      </x:c>
      <x:c r="T570" t="n">
        <x:v>10.25</x:v>
      </x:c>
      <x:c r="U570" s="28" t="n">
        <x:f>(O570+(G570-I570)*(Q570-O570)/(J570-I570))+(H570-K570)/(L570-K570)*((P570+(G570-I570)*(R570-P570)/(J570-I570))-(O570+(G570-I570)*(Q570-O570)/(J570-I570)))</x:f>
        <x:v>10.25</x:v>
      </x:c>
      <x:c r="V570" s="32" t="n">
        <x:f>IF(AND(ISNUMBER(S570),ISNUMBER(U570)),ABS(S570-U570),IF(S570=U570,0,1))</x:f>
        <x:v>0</x:v>
      </x:c>
      <x:c r="W570" s="30" t="str">
        <x:v>PASS</x:v>
      </x:c>
      <x:c r="X570" s="28" t="str">
        <x:f>IF(V570&lt;=1E-9,"PASS","FAIL")</x:f>
        <x:v>PASS</x:v>
      </x:c>
      <x:c r="Y570" t="str">
        <x:v>Chú thích 2</x:v>
      </x:c>
      <x:c r="Z570" t="str"/>
    </x:row>
    <x:row r="571">
      <x:c r="A571" t="str">
        <x:v>G0568</x:v>
      </x:c>
      <x:c r="B571" t="str">
        <x:v>Bảng 3</x:v>
      </x:c>
      <x:c r="C571" t="str">
        <x:v>clay</x:v>
      </x:c>
      <x:c r="D571" t="str">
        <x:v>MID-2D</x:v>
      </x:c>
      <x:c r="E571" t="str">
        <x:v>{"z":27.5,"IL":0.8500000000000001}</x:v>
      </x:c>
      <x:c r="F571" t="str">
        <x:v>BILINEAR-2D</x:v>
      </x:c>
      <x:c r="G571" t="n">
        <x:v>27.5</x:v>
      </x:c>
      <x:c r="H571" t="n">
        <x:v>0.8500000000000001</x:v>
      </x:c>
      <x:c r="I571" t="n">
        <x:v>25</x:v>
      </x:c>
      <x:c r="J571" t="n">
        <x:v>30</x:v>
      </x:c>
      <x:c r="K571" t="n">
        <x:v>0.8</x:v>
      </x:c>
      <x:c r="L571" t="n">
        <x:v>0.9</x:v>
      </x:c>
      <x:c r="M571"/>
      <x:c r="N571"/>
      <x:c r="O571" t="n">
        <x:v>8</x:v>
      </x:c>
      <x:c r="P571" t="n">
        <x:v>7</x:v>
      </x:c>
      <x:c r="Q571" t="n">
        <x:v>9</x:v>
      </x:c>
      <x:c r="R571" t="n">
        <x:v>8</x:v>
      </x:c>
      <x:c r="S571" t="n">
        <x:v>7.999999999999999</x:v>
      </x:c>
      <x:c r="T571" t="n">
        <x:v>7.999999999999999</x:v>
      </x:c>
      <x:c r="U571" s="28" t="n">
        <x:f>(O571+(G571-I571)*(Q571-O571)/(J571-I571))+(H571-K571)/(L571-K571)*((P571+(G571-I571)*(R571-P571)/(J571-I571))-(O571+(G571-I571)*(Q571-O571)/(J571-I571)))</x:f>
        <x:v>7.999999999999999</x:v>
      </x:c>
      <x:c r="V571" s="32" t="n">
        <x:f>IF(AND(ISNUMBER(S571),ISNUMBER(U571)),ABS(S571-U571),IF(S571=U571,0,1))</x:f>
        <x:v>0</x:v>
      </x:c>
      <x:c r="W571" s="30" t="str">
        <x:v>PASS</x:v>
      </x:c>
      <x:c r="X571" s="28" t="str">
        <x:f>IF(V571&lt;=1E-9,"PASS","FAIL")</x:f>
        <x:v>PASS</x:v>
      </x:c>
      <x:c r="Y571" t="str">
        <x:v>Chú thích 2</x:v>
      </x:c>
      <x:c r="Z571" t="str"/>
    </x:row>
    <x:row r="572">
      <x:c r="A572" t="str">
        <x:v>G0569</x:v>
      </x:c>
      <x:c r="B572" t="str">
        <x:v>Bảng 3</x:v>
      </x:c>
      <x:c r="C572" t="str">
        <x:v>clay</x:v>
      </x:c>
      <x:c r="D572" t="str">
        <x:v>MID-2D</x:v>
      </x:c>
      <x:c r="E572" t="str">
        <x:v>{"z":27.5,"IL":0.95}</x:v>
      </x:c>
      <x:c r="F572" t="str">
        <x:v>BILINEAR-2D</x:v>
      </x:c>
      <x:c r="G572" t="n">
        <x:v>27.5</x:v>
      </x:c>
      <x:c r="H572" t="n">
        <x:v>0.95</x:v>
      </x:c>
      <x:c r="I572" t="n">
        <x:v>25</x:v>
      </x:c>
      <x:c r="J572" t="n">
        <x:v>30</x:v>
      </x:c>
      <x:c r="K572" t="n">
        <x:v>0.9</x:v>
      </x:c>
      <x:c r="L572" t="n">
        <x:v>1</x:v>
      </x:c>
      <x:c r="M572"/>
      <x:c r="N572"/>
      <x:c r="O572" t="n">
        <x:v>7</x:v>
      </x:c>
      <x:c r="P572" t="n">
        <x:v>6</x:v>
      </x:c>
      <x:c r="Q572" t="n">
        <x:v>8</x:v>
      </x:c>
      <x:c r="R572" t="n">
        <x:v>7</x:v>
      </x:c>
      <x:c r="S572" t="n">
        <x:v>7.000000000000001</x:v>
      </x:c>
      <x:c r="T572" t="n">
        <x:v>7.000000000000001</x:v>
      </x:c>
      <x:c r="U572" s="28" t="n">
        <x:f>(O572+(G572-I572)*(Q572-O572)/(J572-I572))+(H572-K572)/(L572-K572)*((P572+(G572-I572)*(R572-P572)/(J572-I572))-(O572+(G572-I572)*(Q572-O572)/(J572-I572)))</x:f>
        <x:v>7.000000000000001</x:v>
      </x:c>
      <x:c r="V572" s="32" t="n">
        <x:f>IF(AND(ISNUMBER(S572),ISNUMBER(U572)),ABS(S572-U572),IF(S572=U572,0,1))</x:f>
        <x:v>0</x:v>
      </x:c>
      <x:c r="W572" s="30" t="str">
        <x:v>PASS</x:v>
      </x:c>
      <x:c r="X572" s="28" t="str">
        <x:f>IF(V572&lt;=1E-9,"PASS","FAIL")</x:f>
        <x:v>PASS</x:v>
      </x:c>
      <x:c r="Y572" t="str">
        <x:v>Chú thích 2</x:v>
      </x:c>
      <x:c r="Z572" t="str"/>
    </x:row>
    <x:row r="573">
      <x:c r="A573" t="str">
        <x:v>G0570</x:v>
      </x:c>
      <x:c r="B573" t="str">
        <x:v>Bảng 3</x:v>
      </x:c>
      <x:c r="C573" t="str">
        <x:v>clay</x:v>
      </x:c>
      <x:c r="D573" t="str">
        <x:v>MID-2D</x:v>
      </x:c>
      <x:c r="E573" t="str">
        <x:v>{"z":32.5,"IL":0.25}</x:v>
      </x:c>
      <x:c r="F573" t="str">
        <x:v>BILINEAR-2D</x:v>
      </x:c>
      <x:c r="G573" t="n">
        <x:v>32.5</x:v>
      </x:c>
      <x:c r="H573" t="n">
        <x:v>0.25</x:v>
      </x:c>
      <x:c r="I573" t="n">
        <x:v>30</x:v>
      </x:c>
      <x:c r="J573" t="n">
        <x:v>35</x:v>
      </x:c>
      <x:c r="K573" t="n">
        <x:v>0.2</x:v>
      </x:c>
      <x:c r="L573" t="n">
        <x:v>0.3</x:v>
      </x:c>
      <x:c r="M573"/>
      <x:c r="N573"/>
      <x:c r="O573" t="n">
        <x:v>93</x:v>
      </x:c>
      <x:c r="P573" t="n">
        <x:v>66</x:v>
      </x:c>
      <x:c r="Q573" t="n">
        <x:v>100</x:v>
      </x:c>
      <x:c r="R573" t="n">
        <x:v>70</x:v>
      </x:c>
      <x:c r="S573" t="n">
        <x:v>82.25</x:v>
      </x:c>
      <x:c r="T573" t="n">
        <x:v>82.25</x:v>
      </x:c>
      <x:c r="U573" s="28" t="n">
        <x:f>(O573+(G573-I573)*(Q573-O573)/(J573-I573))+(H573-K573)/(L573-K573)*((P573+(G573-I573)*(R573-P573)/(J573-I573))-(O573+(G573-I573)*(Q573-O573)/(J573-I573)))</x:f>
        <x:v>82.25</x:v>
      </x:c>
      <x:c r="V573" s="32" t="n">
        <x:f>IF(AND(ISNUMBER(S573),ISNUMBER(U573)),ABS(S573-U573),IF(S573=U573,0,1))</x:f>
        <x:v>0</x:v>
      </x:c>
      <x:c r="W573" s="30" t="str">
        <x:v>PASS</x:v>
      </x:c>
      <x:c r="X573" s="28" t="str">
        <x:f>IF(V573&lt;=1E-9,"PASS","FAIL")</x:f>
        <x:v>PASS</x:v>
      </x:c>
      <x:c r="Y573" t="str">
        <x:v>Chú thích 2</x:v>
      </x:c>
      <x:c r="Z573" t="str"/>
    </x:row>
    <x:row r="574">
      <x:c r="A574" t="str">
        <x:v>G0571</x:v>
      </x:c>
      <x:c r="B574" t="str">
        <x:v>Bảng 3</x:v>
      </x:c>
      <x:c r="C574" t="str">
        <x:v>clay</x:v>
      </x:c>
      <x:c r="D574" t="str">
        <x:v>MID-2D</x:v>
      </x:c>
      <x:c r="E574" t="str">
        <x:v>{"z":32.5,"IL":0.35}</x:v>
      </x:c>
      <x:c r="F574" t="str">
        <x:v>BILINEAR-2D</x:v>
      </x:c>
      <x:c r="G574" t="n">
        <x:v>32.5</x:v>
      </x:c>
      <x:c r="H574" t="n">
        <x:v>0.35</x:v>
      </x:c>
      <x:c r="I574" t="n">
        <x:v>30</x:v>
      </x:c>
      <x:c r="J574" t="n">
        <x:v>35</x:v>
      </x:c>
      <x:c r="K574" t="n">
        <x:v>0.3</x:v>
      </x:c>
      <x:c r="L574" t="n">
        <x:v>0.4</x:v>
      </x:c>
      <x:c r="M574"/>
      <x:c r="N574"/>
      <x:c r="O574" t="n">
        <x:v>66</x:v>
      </x:c>
      <x:c r="P574" t="n">
        <x:v>47</x:v>
      </x:c>
      <x:c r="Q574" t="n">
        <x:v>70</x:v>
      </x:c>
      <x:c r="R574" t="n">
        <x:v>50</x:v>
      </x:c>
      <x:c r="S574" t="n">
        <x:v>58.25000000000001</x:v>
      </x:c>
      <x:c r="T574" t="n">
        <x:v>58.25000000000001</x:v>
      </x:c>
      <x:c r="U574" s="28" t="n">
        <x:f>(O574+(G574-I574)*(Q574-O574)/(J574-I574))+(H574-K574)/(L574-K574)*((P574+(G574-I574)*(R574-P574)/(J574-I574))-(O574+(G574-I574)*(Q574-O574)/(J574-I574)))</x:f>
        <x:v>58.25000000000001</x:v>
      </x:c>
      <x:c r="V574" s="32" t="n">
        <x:f>IF(AND(ISNUMBER(S574),ISNUMBER(U574)),ABS(S574-U574),IF(S574=U574,0,1))</x:f>
        <x:v>0</x:v>
      </x:c>
      <x:c r="W574" s="30" t="str">
        <x:v>PASS</x:v>
      </x:c>
      <x:c r="X574" s="28" t="str">
        <x:f>IF(V574&lt;=1E-9,"PASS","FAIL")</x:f>
        <x:v>PASS</x:v>
      </x:c>
      <x:c r="Y574" t="str">
        <x:v>Chú thích 2</x:v>
      </x:c>
      <x:c r="Z574" t="str"/>
    </x:row>
    <x:row r="575">
      <x:c r="A575" t="str">
        <x:v>G0572</x:v>
      </x:c>
      <x:c r="B575" t="str">
        <x:v>Bảng 3</x:v>
      </x:c>
      <x:c r="C575" t="str">
        <x:v>clay</x:v>
      </x:c>
      <x:c r="D575" t="str">
        <x:v>MID-2D</x:v>
      </x:c>
      <x:c r="E575" t="str">
        <x:v>{"z":32.5,"IL":0.45}</x:v>
      </x:c>
      <x:c r="F575" t="str">
        <x:v>BILINEAR-2D</x:v>
      </x:c>
      <x:c r="G575" t="n">
        <x:v>32.5</x:v>
      </x:c>
      <x:c r="H575" t="n">
        <x:v>0.45</x:v>
      </x:c>
      <x:c r="I575" t="n">
        <x:v>30</x:v>
      </x:c>
      <x:c r="J575" t="n">
        <x:v>35</x:v>
      </x:c>
      <x:c r="K575" t="n">
        <x:v>0.4</x:v>
      </x:c>
      <x:c r="L575" t="n">
        <x:v>0.5</x:v>
      </x:c>
      <x:c r="M575"/>
      <x:c r="N575"/>
      <x:c r="O575" t="n">
        <x:v>47</x:v>
      </x:c>
      <x:c r="P575" t="n">
        <x:v>34</x:v>
      </x:c>
      <x:c r="Q575" t="n">
        <x:v>50</x:v>
      </x:c>
      <x:c r="R575" t="n">
        <x:v>36</x:v>
      </x:c>
      <x:c r="S575" t="n">
        <x:v>41.75</x:v>
      </x:c>
      <x:c r="T575" t="n">
        <x:v>41.75</x:v>
      </x:c>
      <x:c r="U575" s="28" t="n">
        <x:f>(O575+(G575-I575)*(Q575-O575)/(J575-I575))+(H575-K575)/(L575-K575)*((P575+(G575-I575)*(R575-P575)/(J575-I575))-(O575+(G575-I575)*(Q575-O575)/(J575-I575)))</x:f>
        <x:v>41.75</x:v>
      </x:c>
      <x:c r="V575" s="32" t="n">
        <x:f>IF(AND(ISNUMBER(S575),ISNUMBER(U575)),ABS(S575-U575),IF(S575=U575,0,1))</x:f>
        <x:v>0</x:v>
      </x:c>
      <x:c r="W575" s="30" t="str">
        <x:v>PASS</x:v>
      </x:c>
      <x:c r="X575" s="28" t="str">
        <x:f>IF(V575&lt;=1E-9,"PASS","FAIL")</x:f>
        <x:v>PASS</x:v>
      </x:c>
      <x:c r="Y575" t="str">
        <x:v>Chú thích 2</x:v>
      </x:c>
      <x:c r="Z575" t="str"/>
    </x:row>
    <x:row r="576">
      <x:c r="A576" t="str">
        <x:v>G0573</x:v>
      </x:c>
      <x:c r="B576" t="str">
        <x:v>Bảng 3</x:v>
      </x:c>
      <x:c r="C576" t="str">
        <x:v>clay</x:v>
      </x:c>
      <x:c r="D576" t="str">
        <x:v>MID-2D</x:v>
      </x:c>
      <x:c r="E576" t="str">
        <x:v>{"z":32.5,"IL":0.55}</x:v>
      </x:c>
      <x:c r="F576" t="str">
        <x:v>BILINEAR-2D</x:v>
      </x:c>
      <x:c r="G576" t="n">
        <x:v>32.5</x:v>
      </x:c>
      <x:c r="H576" t="n">
        <x:v>0.55</x:v>
      </x:c>
      <x:c r="I576" t="n">
        <x:v>30</x:v>
      </x:c>
      <x:c r="J576" t="n">
        <x:v>35</x:v>
      </x:c>
      <x:c r="K576" t="n">
        <x:v>0.5</x:v>
      </x:c>
      <x:c r="L576" t="n">
        <x:v>0.6</x:v>
      </x:c>
      <x:c r="M576"/>
      <x:c r="N576"/>
      <x:c r="O576" t="n">
        <x:v>34</x:v>
      </x:c>
      <x:c r="P576" t="n">
        <x:v>21</x:v>
      </x:c>
      <x:c r="Q576" t="n">
        <x:v>36</x:v>
      </x:c>
      <x:c r="R576" t="n">
        <x:v>22</x:v>
      </x:c>
      <x:c r="S576" t="n">
        <x:v>28.249999999999993</x:v>
      </x:c>
      <x:c r="T576" t="n">
        <x:v>28.249999999999993</x:v>
      </x:c>
      <x:c r="U576" s="28" t="n">
        <x:f>(O576+(G576-I576)*(Q576-O576)/(J576-I576))+(H576-K576)/(L576-K576)*((P576+(G576-I576)*(R576-P576)/(J576-I576))-(O576+(G576-I576)*(Q576-O576)/(J576-I576)))</x:f>
        <x:v>28.249999999999993</x:v>
      </x:c>
      <x:c r="V576" s="32" t="n">
        <x:f>IF(AND(ISNUMBER(S576),ISNUMBER(U576)),ABS(S576-U576),IF(S576=U576,0,1))</x:f>
        <x:v>0</x:v>
      </x:c>
      <x:c r="W576" s="30" t="str">
        <x:v>PASS</x:v>
      </x:c>
      <x:c r="X576" s="28" t="str">
        <x:f>IF(V576&lt;=1E-9,"PASS","FAIL")</x:f>
        <x:v>PASS</x:v>
      </x:c>
      <x:c r="Y576" t="str">
        <x:v>Chú thích 2</x:v>
      </x:c>
      <x:c r="Z576" t="str"/>
    </x:row>
    <x:row r="577">
      <x:c r="A577" t="str">
        <x:v>G0574</x:v>
      </x:c>
      <x:c r="B577" t="str">
        <x:v>Bảng 3</x:v>
      </x:c>
      <x:c r="C577" t="str">
        <x:v>clay</x:v>
      </x:c>
      <x:c r="D577" t="str">
        <x:v>MID-2D</x:v>
      </x:c>
      <x:c r="E577" t="str">
        <x:v>{"z":32.5,"IL":0.6499999999999999}</x:v>
      </x:c>
      <x:c r="F577" t="str">
        <x:v>BILINEAR-2D</x:v>
      </x:c>
      <x:c r="G577" t="n">
        <x:v>32.5</x:v>
      </x:c>
      <x:c r="H577" t="n">
        <x:v>0.6499999999999999</x:v>
      </x:c>
      <x:c r="I577" t="n">
        <x:v>30</x:v>
      </x:c>
      <x:c r="J577" t="n">
        <x:v>35</x:v>
      </x:c>
      <x:c r="K577" t="n">
        <x:v>0.6</x:v>
      </x:c>
      <x:c r="L577" t="n">
        <x:v>0.7</x:v>
      </x:c>
      <x:c r="M577"/>
      <x:c r="N577"/>
      <x:c r="O577" t="n">
        <x:v>21</x:v>
      </x:c>
      <x:c r="P577" t="n">
        <x:v>12</x:v>
      </x:c>
      <x:c r="Q577" t="n">
        <x:v>22</x:v>
      </x:c>
      <x:c r="R577" t="n">
        <x:v>13</x:v>
      </x:c>
      <x:c r="S577" t="n">
        <x:v>17.000000000000007</x:v>
      </x:c>
      <x:c r="T577" t="n">
        <x:v>17.000000000000007</x:v>
      </x:c>
      <x:c r="U577" s="28" t="n">
        <x:f>(O577+(G577-I577)*(Q577-O577)/(J577-I577))+(H577-K577)/(L577-K577)*((P577+(G577-I577)*(R577-P577)/(J577-I577))-(O577+(G577-I577)*(Q577-O577)/(J577-I577)))</x:f>
        <x:v>17.000000000000007</x:v>
      </x:c>
      <x:c r="V577" s="32" t="n">
        <x:f>IF(AND(ISNUMBER(S577),ISNUMBER(U577)),ABS(S577-U577),IF(S577=U577,0,1))</x:f>
        <x:v>0</x:v>
      </x:c>
      <x:c r="W577" s="30" t="str">
        <x:v>PASS</x:v>
      </x:c>
      <x:c r="X577" s="28" t="str">
        <x:f>IF(V577&lt;=1E-9,"PASS","FAIL")</x:f>
        <x:v>PASS</x:v>
      </x:c>
      <x:c r="Y577" t="str">
        <x:v>Chú thích 2</x:v>
      </x:c>
      <x:c r="Z577" t="str"/>
    </x:row>
    <x:row r="578">
      <x:c r="A578" t="str">
        <x:v>G0575</x:v>
      </x:c>
      <x:c r="B578" t="str">
        <x:v>Bảng 3</x:v>
      </x:c>
      <x:c r="C578" t="str">
        <x:v>clay</x:v>
      </x:c>
      <x:c r="D578" t="str">
        <x:v>MID-2D</x:v>
      </x:c>
      <x:c r="E578" t="str">
        <x:v>{"z":32.5,"IL":0.75}</x:v>
      </x:c>
      <x:c r="F578" t="str">
        <x:v>BILINEAR-2D</x:v>
      </x:c>
      <x:c r="G578" t="n">
        <x:v>32.5</x:v>
      </x:c>
      <x:c r="H578" t="n">
        <x:v>0.75</x:v>
      </x:c>
      <x:c r="I578" t="n">
        <x:v>30</x:v>
      </x:c>
      <x:c r="J578" t="n">
        <x:v>35</x:v>
      </x:c>
      <x:c r="K578" t="n">
        <x:v>0.7</x:v>
      </x:c>
      <x:c r="L578" t="n">
        <x:v>0.8</x:v>
      </x:c>
      <x:c r="M578"/>
      <x:c r="N578"/>
      <x:c r="O578" t="n">
        <x:v>12</x:v>
      </x:c>
      <x:c r="P578" t="n">
        <x:v>9</x:v>
      </x:c>
      <x:c r="Q578" t="n">
        <x:v>13</x:v>
      </x:c>
      <x:c r="R578" t="n">
        <x:v>9</x:v>
      </x:c>
      <x:c r="S578" t="n">
        <x:v>10.75</x:v>
      </x:c>
      <x:c r="T578" t="n">
        <x:v>10.75</x:v>
      </x:c>
      <x:c r="U578" s="28" t="n">
        <x:f>(O578+(G578-I578)*(Q578-O578)/(J578-I578))+(H578-K578)/(L578-K578)*((P578+(G578-I578)*(R578-P578)/(J578-I578))-(O578+(G578-I578)*(Q578-O578)/(J578-I578)))</x:f>
        <x:v>10.75</x:v>
      </x:c>
      <x:c r="V578" s="32" t="n">
        <x:f>IF(AND(ISNUMBER(S578),ISNUMBER(U578)),ABS(S578-U578),IF(S578=U578,0,1))</x:f>
        <x:v>0</x:v>
      </x:c>
      <x:c r="W578" s="30" t="str">
        <x:v>PASS</x:v>
      </x:c>
      <x:c r="X578" s="28" t="str">
        <x:f>IF(V578&lt;=1E-9,"PASS","FAIL")</x:f>
        <x:v>PASS</x:v>
      </x:c>
      <x:c r="Y578" t="str">
        <x:v>Chú thích 2</x:v>
      </x:c>
      <x:c r="Z578" t="str"/>
    </x:row>
    <x:row r="579">
      <x:c r="A579" t="str">
        <x:v>G0576</x:v>
      </x:c>
      <x:c r="B579" t="str">
        <x:v>Bảng 3</x:v>
      </x:c>
      <x:c r="C579" t="str">
        <x:v>clay</x:v>
      </x:c>
      <x:c r="D579" t="str">
        <x:v>MID-2D</x:v>
      </x:c>
      <x:c r="E579" t="str">
        <x:v>{"z":32.5,"IL":0.8500000000000001}</x:v>
      </x:c>
      <x:c r="F579" t="str">
        <x:v>BILINEAR-2D</x:v>
      </x:c>
      <x:c r="G579" t="n">
        <x:v>32.5</x:v>
      </x:c>
      <x:c r="H579" t="n">
        <x:v>0.8500000000000001</x:v>
      </x:c>
      <x:c r="I579" t="n">
        <x:v>30</x:v>
      </x:c>
      <x:c r="J579" t="n">
        <x:v>35</x:v>
      </x:c>
      <x:c r="K579" t="n">
        <x:v>0.8</x:v>
      </x:c>
      <x:c r="L579" t="n">
        <x:v>0.9</x:v>
      </x:c>
      <x:c r="M579"/>
      <x:c r="N579"/>
      <x:c r="O579" t="n">
        <x:v>9</x:v>
      </x:c>
      <x:c r="P579" t="n">
        <x:v>8</x:v>
      </x:c>
      <x:c r="Q579" t="n">
        <x:v>9</x:v>
      </x:c>
      <x:c r="R579" t="n">
        <x:v>8</x:v>
      </x:c>
      <x:c r="S579" t="n">
        <x:v>8.5</x:v>
      </x:c>
      <x:c r="T579" t="n">
        <x:v>8.5</x:v>
      </x:c>
      <x:c r="U579" s="28" t="n">
        <x:f>(O579+(G579-I579)*(Q579-O579)/(J579-I579))+(H579-K579)/(L579-K579)*((P579+(G579-I579)*(R579-P579)/(J579-I579))-(O579+(G579-I579)*(Q579-O579)/(J579-I579)))</x:f>
        <x:v>8.5</x:v>
      </x:c>
      <x:c r="V579" s="32" t="n">
        <x:f>IF(AND(ISNUMBER(S579),ISNUMBER(U579)),ABS(S579-U579),IF(S579=U579,0,1))</x:f>
        <x:v>0</x:v>
      </x:c>
      <x:c r="W579" s="30" t="str">
        <x:v>PASS</x:v>
      </x:c>
      <x:c r="X579" s="28" t="str">
        <x:f>IF(V579&lt;=1E-9,"PASS","FAIL")</x:f>
        <x:v>PASS</x:v>
      </x:c>
      <x:c r="Y579" t="str">
        <x:v>Chú thích 2</x:v>
      </x:c>
      <x:c r="Z579" t="str"/>
    </x:row>
    <x:row r="580">
      <x:c r="A580" t="str">
        <x:v>G0577</x:v>
      </x:c>
      <x:c r="B580" t="str">
        <x:v>Bảng 3</x:v>
      </x:c>
      <x:c r="C580" t="str">
        <x:v>clay</x:v>
      </x:c>
      <x:c r="D580" t="str">
        <x:v>MID-2D</x:v>
      </x:c>
      <x:c r="E580" t="str">
        <x:v>{"z":32.5,"IL":0.95}</x:v>
      </x:c>
      <x:c r="F580" t="str">
        <x:v>BILINEAR-2D</x:v>
      </x:c>
      <x:c r="G580" t="n">
        <x:v>32.5</x:v>
      </x:c>
      <x:c r="H580" t="n">
        <x:v>0.95</x:v>
      </x:c>
      <x:c r="I580" t="n">
        <x:v>30</x:v>
      </x:c>
      <x:c r="J580" t="n">
        <x:v>35</x:v>
      </x:c>
      <x:c r="K580" t="n">
        <x:v>0.9</x:v>
      </x:c>
      <x:c r="L580" t="n">
        <x:v>1</x:v>
      </x:c>
      <x:c r="M580"/>
      <x:c r="N580"/>
      <x:c r="O580" t="n">
        <x:v>8</x:v>
      </x:c>
      <x:c r="P580" t="n">
        <x:v>7</x:v>
      </x:c>
      <x:c r="Q580" t="n">
        <x:v>8</x:v>
      </x:c>
      <x:c r="R580" t="n">
        <x:v>7</x:v>
      </x:c>
      <x:c r="S580" t="n">
        <x:v>7.500000000000001</x:v>
      </x:c>
      <x:c r="T580" t="n">
        <x:v>7.500000000000001</x:v>
      </x:c>
      <x:c r="U580" s="28" t="n">
        <x:f>(O580+(G580-I580)*(Q580-O580)/(J580-I580))+(H580-K580)/(L580-K580)*((P580+(G580-I580)*(R580-P580)/(J580-I580))-(O580+(G580-I580)*(Q580-O580)/(J580-I580)))</x:f>
        <x:v>7.500000000000001</x:v>
      </x:c>
      <x:c r="V580" s="32" t="n">
        <x:f>IF(AND(ISNUMBER(S580),ISNUMBER(U580)),ABS(S580-U580),IF(S580=U580,0,1))</x:f>
        <x:v>0</x:v>
      </x:c>
      <x:c r="W580" s="30" t="str">
        <x:v>PASS</x:v>
      </x:c>
      <x:c r="X580" s="28" t="str">
        <x:f>IF(V580&lt;=1E-9,"PASS","FAIL")</x:f>
        <x:v>PASS</x:v>
      </x:c>
      <x:c r="Y580" t="str">
        <x:v>Chú thích 2</x:v>
      </x:c>
      <x:c r="Z580" t="str"/>
    </x:row>
    <x:row r="581">
      <x:c r="A581" t="str">
        <x:v>G0578</x:v>
      </x:c>
      <x:c r="B581" t="str">
        <x:v>Bảng 3</x:v>
      </x:c>
      <x:c r="C581" t="str">
        <x:v>clay</x:v>
      </x:c>
      <x:c r="D581" t="str">
        <x:v>MID-2D</x:v>
      </x:c>
      <x:c r="E581" t="str">
        <x:v>{"z":37.5,"IL":0.25}</x:v>
      </x:c>
      <x:c r="F581" t="str">
        <x:v>BILINEAR-2D</x:v>
      </x:c>
      <x:c r="G581" t="n">
        <x:v>37.5</x:v>
      </x:c>
      <x:c r="H581" t="n">
        <x:v>0.25</x:v>
      </x:c>
      <x:c r="I581" t="n">
        <x:v>35</x:v>
      </x:c>
      <x:c r="J581" t="n">
        <x:v>40</x:v>
      </x:c>
      <x:c r="K581" t="n">
        <x:v>0.2</x:v>
      </x:c>
      <x:c r="L581" t="n">
        <x:v>0.3</x:v>
      </x:c>
      <x:c r="M581"/>
      <x:c r="N581"/>
      <x:c r="O581" t="n">
        <x:v>100</x:v>
      </x:c>
      <x:c r="P581" t="n">
        <x:v>70</x:v>
      </x:c>
      <x:c r="Q581" t="n">
        <x:v>107</x:v>
      </x:c>
      <x:c r="R581" t="n">
        <x:v>74</x:v>
      </x:c>
      <x:c r="S581" t="n">
        <x:v>87.75</x:v>
      </x:c>
      <x:c r="T581" t="n">
        <x:v>87.75</x:v>
      </x:c>
      <x:c r="U581" s="28" t="n">
        <x:f>(O581+(G581-I581)*(Q581-O581)/(J581-I581))+(H581-K581)/(L581-K581)*((P581+(G581-I581)*(R581-P581)/(J581-I581))-(O581+(G581-I581)*(Q581-O581)/(J581-I581)))</x:f>
        <x:v>87.75</x:v>
      </x:c>
      <x:c r="V581" s="32" t="n">
        <x:f>IF(AND(ISNUMBER(S581),ISNUMBER(U581)),ABS(S581-U581),IF(S581=U581,0,1))</x:f>
        <x:v>0</x:v>
      </x:c>
      <x:c r="W581" s="30" t="str">
        <x:v>PASS</x:v>
      </x:c>
      <x:c r="X581" s="28" t="str">
        <x:f>IF(V581&lt;=1E-9,"PASS","FAIL")</x:f>
        <x:v>PASS</x:v>
      </x:c>
      <x:c r="Y581" t="str">
        <x:v>Chú thích 2</x:v>
      </x:c>
      <x:c r="Z581" t="str"/>
    </x:row>
    <x:row r="582">
      <x:c r="A582" t="str">
        <x:v>G0579</x:v>
      </x:c>
      <x:c r="B582" t="str">
        <x:v>Bảng 3</x:v>
      </x:c>
      <x:c r="C582" t="str">
        <x:v>clay</x:v>
      </x:c>
      <x:c r="D582" t="str">
        <x:v>MID-2D</x:v>
      </x:c>
      <x:c r="E582" t="str">
        <x:v>{"z":37.5,"IL":0.35}</x:v>
      </x:c>
      <x:c r="F582" t="str">
        <x:v>BILINEAR-2D</x:v>
      </x:c>
      <x:c r="G582" t="n">
        <x:v>37.5</x:v>
      </x:c>
      <x:c r="H582" t="n">
        <x:v>0.35</x:v>
      </x:c>
      <x:c r="I582" t="n">
        <x:v>35</x:v>
      </x:c>
      <x:c r="J582" t="n">
        <x:v>40</x:v>
      </x:c>
      <x:c r="K582" t="n">
        <x:v>0.3</x:v>
      </x:c>
      <x:c r="L582" t="n">
        <x:v>0.4</x:v>
      </x:c>
      <x:c r="M582"/>
      <x:c r="N582"/>
      <x:c r="O582" t="n">
        <x:v>70</x:v>
      </x:c>
      <x:c r="P582" t="n">
        <x:v>50</x:v>
      </x:c>
      <x:c r="Q582" t="n">
        <x:v>74</x:v>
      </x:c>
      <x:c r="R582" t="n">
        <x:v>53</x:v>
      </x:c>
      <x:c r="S582" t="n">
        <x:v>61.75000000000001</x:v>
      </x:c>
      <x:c r="T582" t="n">
        <x:v>61.75000000000001</x:v>
      </x:c>
      <x:c r="U582" s="28" t="n">
        <x:f>(O582+(G582-I582)*(Q582-O582)/(J582-I582))+(H582-K582)/(L582-K582)*((P582+(G582-I582)*(R582-P582)/(J582-I582))-(O582+(G582-I582)*(Q582-O582)/(J582-I582)))</x:f>
        <x:v>61.75000000000001</x:v>
      </x:c>
      <x:c r="V582" s="32" t="n">
        <x:f>IF(AND(ISNUMBER(S582),ISNUMBER(U582)),ABS(S582-U582),IF(S582=U582,0,1))</x:f>
        <x:v>0</x:v>
      </x:c>
      <x:c r="W582" s="30" t="str">
        <x:v>PASS</x:v>
      </x:c>
      <x:c r="X582" s="28" t="str">
        <x:f>IF(V582&lt;=1E-9,"PASS","FAIL")</x:f>
        <x:v>PASS</x:v>
      </x:c>
      <x:c r="Y582" t="str">
        <x:v>Chú thích 2</x:v>
      </x:c>
      <x:c r="Z582" t="str"/>
    </x:row>
    <x:row r="583">
      <x:c r="A583" t="str">
        <x:v>G0580</x:v>
      </x:c>
      <x:c r="B583" t="str">
        <x:v>Bảng 3</x:v>
      </x:c>
      <x:c r="C583" t="str">
        <x:v>clay</x:v>
      </x:c>
      <x:c r="D583" t="str">
        <x:v>MID-2D</x:v>
      </x:c>
      <x:c r="E583" t="str">
        <x:v>{"z":37.5,"IL":0.45}</x:v>
      </x:c>
      <x:c r="F583" t="str">
        <x:v>BILINEAR-2D</x:v>
      </x:c>
      <x:c r="G583" t="n">
        <x:v>37.5</x:v>
      </x:c>
      <x:c r="H583" t="n">
        <x:v>0.45</x:v>
      </x:c>
      <x:c r="I583" t="n">
        <x:v>35</x:v>
      </x:c>
      <x:c r="J583" t="n">
        <x:v>40</x:v>
      </x:c>
      <x:c r="K583" t="n">
        <x:v>0.4</x:v>
      </x:c>
      <x:c r="L583" t="n">
        <x:v>0.5</x:v>
      </x:c>
      <x:c r="M583"/>
      <x:c r="N583"/>
      <x:c r="O583" t="n">
        <x:v>50</x:v>
      </x:c>
      <x:c r="P583" t="n">
        <x:v>36</x:v>
      </x:c>
      <x:c r="Q583" t="n">
        <x:v>53</x:v>
      </x:c>
      <x:c r="R583" t="n">
        <x:v>38</x:v>
      </x:c>
      <x:c r="S583" t="n">
        <x:v>44.25</x:v>
      </x:c>
      <x:c r="T583" t="n">
        <x:v>44.25</x:v>
      </x:c>
      <x:c r="U583" s="28" t="n">
        <x:f>(O583+(G583-I583)*(Q583-O583)/(J583-I583))+(H583-K583)/(L583-K583)*((P583+(G583-I583)*(R583-P583)/(J583-I583))-(O583+(G583-I583)*(Q583-O583)/(J583-I583)))</x:f>
        <x:v>44.25</x:v>
      </x:c>
      <x:c r="V583" s="32" t="n">
        <x:f>IF(AND(ISNUMBER(S583),ISNUMBER(U583)),ABS(S583-U583),IF(S583=U583,0,1))</x:f>
        <x:v>0</x:v>
      </x:c>
      <x:c r="W583" s="30" t="str">
        <x:v>PASS</x:v>
      </x:c>
      <x:c r="X583" s="28" t="str">
        <x:f>IF(V583&lt;=1E-9,"PASS","FAIL")</x:f>
        <x:v>PASS</x:v>
      </x:c>
      <x:c r="Y583" t="str">
        <x:v>Chú thích 2</x:v>
      </x:c>
      <x:c r="Z583" t="str"/>
    </x:row>
    <x:row r="584">
      <x:c r="A584" t="str">
        <x:v>G0581</x:v>
      </x:c>
      <x:c r="B584" t="str">
        <x:v>Bảng 3</x:v>
      </x:c>
      <x:c r="C584" t="str">
        <x:v>clay</x:v>
      </x:c>
      <x:c r="D584" t="str">
        <x:v>MID-2D</x:v>
      </x:c>
      <x:c r="E584" t="str">
        <x:v>{"z":37.5,"IL":0.55}</x:v>
      </x:c>
      <x:c r="F584" t="str">
        <x:v>BILINEAR-2D</x:v>
      </x:c>
      <x:c r="G584" t="n">
        <x:v>37.5</x:v>
      </x:c>
      <x:c r="H584" t="n">
        <x:v>0.55</x:v>
      </x:c>
      <x:c r="I584" t="n">
        <x:v>35</x:v>
      </x:c>
      <x:c r="J584" t="n">
        <x:v>40</x:v>
      </x:c>
      <x:c r="K584" t="n">
        <x:v>0.5</x:v>
      </x:c>
      <x:c r="L584" t="n">
        <x:v>0.6</x:v>
      </x:c>
      <x:c r="M584"/>
      <x:c r="N584"/>
      <x:c r="O584" t="n">
        <x:v>36</x:v>
      </x:c>
      <x:c r="P584" t="n">
        <x:v>22</x:v>
      </x:c>
      <x:c r="Q584" t="n">
        <x:v>38</x:v>
      </x:c>
      <x:c r="R584" t="n">
        <x:v>23</x:v>
      </x:c>
      <x:c r="S584" t="n">
        <x:v>29.749999999999993</x:v>
      </x:c>
      <x:c r="T584" t="n">
        <x:v>29.749999999999993</x:v>
      </x:c>
      <x:c r="U584" s="28" t="n">
        <x:f>(O584+(G584-I584)*(Q584-O584)/(J584-I584))+(H584-K584)/(L584-K584)*((P584+(G584-I584)*(R584-P584)/(J584-I584))-(O584+(G584-I584)*(Q584-O584)/(J584-I584)))</x:f>
        <x:v>29.749999999999993</x:v>
      </x:c>
      <x:c r="V584" s="32" t="n">
        <x:f>IF(AND(ISNUMBER(S584),ISNUMBER(U584)),ABS(S584-U584),IF(S584=U584,0,1))</x:f>
        <x:v>0</x:v>
      </x:c>
      <x:c r="W584" s="30" t="str">
        <x:v>PASS</x:v>
      </x:c>
      <x:c r="X584" s="28" t="str">
        <x:f>IF(V584&lt;=1E-9,"PASS","FAIL")</x:f>
        <x:v>PASS</x:v>
      </x:c>
      <x:c r="Y584" t="str">
        <x:v>Chú thích 2</x:v>
      </x:c>
      <x:c r="Z584" t="str"/>
    </x:row>
    <x:row r="585">
      <x:c r="A585" t="str">
        <x:v>G0582</x:v>
      </x:c>
      <x:c r="B585" t="str">
        <x:v>Bảng 3</x:v>
      </x:c>
      <x:c r="C585" t="str">
        <x:v>clay</x:v>
      </x:c>
      <x:c r="D585" t="str">
        <x:v>MID-2D</x:v>
      </x:c>
      <x:c r="E585" t="str">
        <x:v>{"z":37.5,"IL":0.6499999999999999}</x:v>
      </x:c>
      <x:c r="F585" t="str">
        <x:v>BILINEAR-2D</x:v>
      </x:c>
      <x:c r="G585" t="n">
        <x:v>37.5</x:v>
      </x:c>
      <x:c r="H585" t="n">
        <x:v>0.6499999999999999</x:v>
      </x:c>
      <x:c r="I585" t="n">
        <x:v>35</x:v>
      </x:c>
      <x:c r="J585" t="n">
        <x:v>40</x:v>
      </x:c>
      <x:c r="K585" t="n">
        <x:v>0.6</x:v>
      </x:c>
      <x:c r="L585" t="n">
        <x:v>0.7</x:v>
      </x:c>
      <x:c r="M585"/>
      <x:c r="N585"/>
      <x:c r="O585" t="n">
        <x:v>22</x:v>
      </x:c>
      <x:c r="P585" t="n">
        <x:v>13</x:v>
      </x:c>
      <x:c r="Q585" t="n">
        <x:v>23</x:v>
      </x:c>
      <x:c r="R585" t="n">
        <x:v>14</x:v>
      </x:c>
      <x:c r="S585" t="n">
        <x:v>18.000000000000007</x:v>
      </x:c>
      <x:c r="T585" t="n">
        <x:v>18.000000000000007</x:v>
      </x:c>
      <x:c r="U585" s="28" t="n">
        <x:f>(O585+(G585-I585)*(Q585-O585)/(J585-I585))+(H585-K585)/(L585-K585)*((P585+(G585-I585)*(R585-P585)/(J585-I585))-(O585+(G585-I585)*(Q585-O585)/(J585-I585)))</x:f>
        <x:v>18.000000000000007</x:v>
      </x:c>
      <x:c r="V585" s="32" t="n">
        <x:f>IF(AND(ISNUMBER(S585),ISNUMBER(U585)),ABS(S585-U585),IF(S585=U585,0,1))</x:f>
        <x:v>0</x:v>
      </x:c>
      <x:c r="W585" s="30" t="str">
        <x:v>PASS</x:v>
      </x:c>
      <x:c r="X585" s="28" t="str">
        <x:f>IF(V585&lt;=1E-9,"PASS","FAIL")</x:f>
        <x:v>PASS</x:v>
      </x:c>
      <x:c r="Y585" t="str">
        <x:v>Chú thích 2</x:v>
      </x:c>
      <x:c r="Z585" t="str"/>
    </x:row>
    <x:row r="586">
      <x:c r="A586" t="str">
        <x:v>G0583</x:v>
      </x:c>
      <x:c r="B586" t="str">
        <x:v>Bảng 3</x:v>
      </x:c>
      <x:c r="C586" t="str">
        <x:v>clay</x:v>
      </x:c>
      <x:c r="D586" t="str">
        <x:v>MID-2D</x:v>
      </x:c>
      <x:c r="E586" t="str">
        <x:v>{"z":37.5,"IL":0.75}</x:v>
      </x:c>
      <x:c r="F586" t="str">
        <x:v>BILINEAR-2D</x:v>
      </x:c>
      <x:c r="G586" t="n">
        <x:v>37.5</x:v>
      </x:c>
      <x:c r="H586" t="n">
        <x:v>0.75</x:v>
      </x:c>
      <x:c r="I586" t="n">
        <x:v>35</x:v>
      </x:c>
      <x:c r="J586" t="n">
        <x:v>40</x:v>
      </x:c>
      <x:c r="K586" t="n">
        <x:v>0.7</x:v>
      </x:c>
      <x:c r="L586" t="n">
        <x:v>0.8</x:v>
      </x:c>
      <x:c r="M586"/>
      <x:c r="N586"/>
      <x:c r="O586" t="n">
        <x:v>13</x:v>
      </x:c>
      <x:c r="P586" t="n">
        <x:v>9</x:v>
      </x:c>
      <x:c r="Q586" t="n">
        <x:v>14</x:v>
      </x:c>
      <x:c r="R586" t="n">
        <x:v>9</x:v>
      </x:c>
      <x:c r="S586" t="n">
        <x:v>11.25</x:v>
      </x:c>
      <x:c r="T586" t="n">
        <x:v>11.25</x:v>
      </x:c>
      <x:c r="U586" s="28" t="n">
        <x:f>(O586+(G586-I586)*(Q586-O586)/(J586-I586))+(H586-K586)/(L586-K586)*((P586+(G586-I586)*(R586-P586)/(J586-I586))-(O586+(G586-I586)*(Q586-O586)/(J586-I586)))</x:f>
        <x:v>11.25</x:v>
      </x:c>
      <x:c r="V586" s="32" t="n">
        <x:f>IF(AND(ISNUMBER(S586),ISNUMBER(U586)),ABS(S586-U586),IF(S586=U586,0,1))</x:f>
        <x:v>0</x:v>
      </x:c>
      <x:c r="W586" s="30" t="str">
        <x:v>PASS</x:v>
      </x:c>
      <x:c r="X586" s="28" t="str">
        <x:f>IF(V586&lt;=1E-9,"PASS","FAIL")</x:f>
        <x:v>PASS</x:v>
      </x:c>
      <x:c r="Y586" t="str">
        <x:v>Chú thích 2</x:v>
      </x:c>
      <x:c r="Z586" t="str"/>
    </x:row>
    <x:row r="587">
      <x:c r="A587" t="str">
        <x:v>G0584</x:v>
      </x:c>
      <x:c r="B587" t="str">
        <x:v>Bảng 3</x:v>
      </x:c>
      <x:c r="C587" t="str">
        <x:v>clay</x:v>
      </x:c>
      <x:c r="D587" t="str">
        <x:v>MID-2D</x:v>
      </x:c>
      <x:c r="E587" t="str">
        <x:v>{"z":37.5,"IL":0.8500000000000001}</x:v>
      </x:c>
      <x:c r="F587" t="str">
        <x:v>BILINEAR-2D</x:v>
      </x:c>
      <x:c r="G587" t="n">
        <x:v>37.5</x:v>
      </x:c>
      <x:c r="H587" t="n">
        <x:v>0.8500000000000001</x:v>
      </x:c>
      <x:c r="I587" t="n">
        <x:v>35</x:v>
      </x:c>
      <x:c r="J587" t="n">
        <x:v>40</x:v>
      </x:c>
      <x:c r="K587" t="n">
        <x:v>0.8</x:v>
      </x:c>
      <x:c r="L587" t="n">
        <x:v>0.9</x:v>
      </x:c>
      <x:c r="M587"/>
      <x:c r="N587"/>
      <x:c r="O587" t="n">
        <x:v>9</x:v>
      </x:c>
      <x:c r="P587" t="n">
        <x:v>8</x:v>
      </x:c>
      <x:c r="Q587" t="n">
        <x:v>9</x:v>
      </x:c>
      <x:c r="R587" t="n">
        <x:v>8</x:v>
      </x:c>
      <x:c r="S587" t="n">
        <x:v>8.5</x:v>
      </x:c>
      <x:c r="T587" t="n">
        <x:v>8.5</x:v>
      </x:c>
      <x:c r="U587" s="28" t="n">
        <x:f>(O587+(G587-I587)*(Q587-O587)/(J587-I587))+(H587-K587)/(L587-K587)*((P587+(G587-I587)*(R587-P587)/(J587-I587))-(O587+(G587-I587)*(Q587-O587)/(J587-I587)))</x:f>
        <x:v>8.5</x:v>
      </x:c>
      <x:c r="V587" s="32" t="n">
        <x:f>IF(AND(ISNUMBER(S587),ISNUMBER(U587)),ABS(S587-U587),IF(S587=U587,0,1))</x:f>
        <x:v>0</x:v>
      </x:c>
      <x:c r="W587" s="30" t="str">
        <x:v>PASS</x:v>
      </x:c>
      <x:c r="X587" s="28" t="str">
        <x:f>IF(V587&lt;=1E-9,"PASS","FAIL")</x:f>
        <x:v>PASS</x:v>
      </x:c>
      <x:c r="Y587" t="str">
        <x:v>Chú thích 2</x:v>
      </x:c>
      <x:c r="Z587" t="str"/>
    </x:row>
    <x:row r="588">
      <x:c r="A588" t="str">
        <x:v>G0585</x:v>
      </x:c>
      <x:c r="B588" t="str">
        <x:v>Bảng 3</x:v>
      </x:c>
      <x:c r="C588" t="str">
        <x:v>clay</x:v>
      </x:c>
      <x:c r="D588" t="str">
        <x:v>MID-2D</x:v>
      </x:c>
      <x:c r="E588" t="str">
        <x:v>{"z":37.5,"IL":0.95}</x:v>
      </x:c>
      <x:c r="F588" t="str">
        <x:v>BILINEAR-2D</x:v>
      </x:c>
      <x:c r="G588" t="n">
        <x:v>37.5</x:v>
      </x:c>
      <x:c r="H588" t="n">
        <x:v>0.95</x:v>
      </x:c>
      <x:c r="I588" t="n">
        <x:v>35</x:v>
      </x:c>
      <x:c r="J588" t="n">
        <x:v>40</x:v>
      </x:c>
      <x:c r="K588" t="n">
        <x:v>0.9</x:v>
      </x:c>
      <x:c r="L588" t="n">
        <x:v>1</x:v>
      </x:c>
      <x:c r="M588"/>
      <x:c r="N588"/>
      <x:c r="O588" t="n">
        <x:v>8</x:v>
      </x:c>
      <x:c r="P588" t="n">
        <x:v>7</x:v>
      </x:c>
      <x:c r="Q588" t="n">
        <x:v>8</x:v>
      </x:c>
      <x:c r="R588" t="n">
        <x:v>7</x:v>
      </x:c>
      <x:c r="S588" t="n">
        <x:v>7.500000000000001</x:v>
      </x:c>
      <x:c r="T588" t="n">
        <x:v>7.500000000000001</x:v>
      </x:c>
      <x:c r="U588" s="28" t="n">
        <x:f>(O588+(G588-I588)*(Q588-O588)/(J588-I588))+(H588-K588)/(L588-K588)*((P588+(G588-I588)*(R588-P588)/(J588-I588))-(O588+(G588-I588)*(Q588-O588)/(J588-I588)))</x:f>
        <x:v>7.500000000000001</x:v>
      </x:c>
      <x:c r="V588" s="32" t="n">
        <x:f>IF(AND(ISNUMBER(S588),ISNUMBER(U588)),ABS(S588-U588),IF(S588=U588,0,1))</x:f>
        <x:v>0</x:v>
      </x:c>
      <x:c r="W588" s="30" t="str">
        <x:v>PASS</x:v>
      </x:c>
      <x:c r="X588" s="28" t="str">
        <x:f>IF(V588&lt;=1E-9,"PASS","FAIL")</x:f>
        <x:v>PASS</x:v>
      </x:c>
      <x:c r="Y588" t="str">
        <x:v>Chú thích 2</x:v>
      </x:c>
      <x:c r="Z588" t="str"/>
    </x:row>
    <x:row r="589">
      <x:c r="A589" t="str">
        <x:v>G0586</x:v>
      </x:c>
      <x:c r="B589" t="str">
        <x:v>Bảng 3</x:v>
      </x:c>
      <x:c r="C589" t="str">
        <x:v>clay</x:v>
      </x:c>
      <x:c r="D589" t="str">
        <x:v>LOW-IL-PLATEAU</x:v>
      </x:c>
      <x:c r="E589" t="str">
        <x:v>{"z":4,"IL":0.1}</x:v>
      </x:c>
      <x:c r="F589" t="str">
        <x:v>BOUNDARY-PLATEAU</x:v>
      </x:c>
      <x:c r="G589"/>
      <x:c r="H589"/>
      <x:c r="I589"/>
      <x:c r="J589"/>
      <x:c r="K589"/>
      <x:c r="L589"/>
      <x:c r="M589" t="n">
        <x:v>53</x:v>
      </x:c>
      <x:c r="N589"/>
      <x:c r="O589"/>
      <x:c r="P589"/>
      <x:c r="Q589"/>
      <x:c r="R589"/>
      <x:c r="S589" t="n">
        <x:v>53</x:v>
      </x:c>
      <x:c r="T589" t="n">
        <x:v>53</x:v>
      </x:c>
      <x:c r="U589" s="28" t="n">
        <x:f>T589</x:f>
        <x:v>53</x:v>
      </x:c>
      <x:c r="V589" s="32" t="n">
        <x:f>IF(AND(ISNUMBER(S589),ISNUMBER(U589)),ABS(S589-U589),IF(S589=U589,0,1))</x:f>
        <x:v>0</x:v>
      </x:c>
      <x:c r="W589" s="30" t="str">
        <x:v>PASS</x:v>
      </x:c>
      <x:c r="X589" s="28" t="str">
        <x:f>IF(V589&lt;=1E-9,"PASS","FAIL")</x:f>
        <x:v>PASS</x:v>
      </x:c>
      <x:c r="Y589" t="str">
        <x:v>IL≤0,2 dùng cột ≤0,2</x:v>
      </x:c>
      <x:c r="Z589" t="str"/>
    </x:row>
    <x:row r="590">
      <x:c r="A590" t="str">
        <x:v>G0587</x:v>
      </x:c>
      <x:c r="B590" t="str">
        <x:v>Bảng 3</x:v>
      </x:c>
      <x:c r="C590" t="str">
        <x:v>clay</x:v>
      </x:c>
      <x:c r="D590" t="str">
        <x:v>OUTSIDE</x:v>
      </x:c>
      <x:c r="E590" t="str">
        <x:v>{"z":0.999,"IL":0.3}</x:v>
      </x:c>
      <x:c r="F590" t="str">
        <x:v>BLOCK</x:v>
      </x:c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 t="str">
        <x:v>BLOCK</x:v>
      </x:c>
      <x:c r="T590" t="str">
        <x:v>BLOCK</x:v>
      </x:c>
      <x:c r="U590" s="28" t="str">
        <x:f>"BLOCK"</x:f>
        <x:v>BLOCK</x:v>
      </x:c>
      <x:c r="V590" s="32" t="n">
        <x:f>IF(AND(ISNUMBER(S590),ISNUMBER(U590)),ABS(S590-U590),IF(S590=U590,0,1))</x:f>
        <x:v>0</x:v>
      </x:c>
      <x:c r="W590" s="30" t="str">
        <x:v>PASS</x:v>
      </x:c>
      <x:c r="X590" s="28" t="str">
        <x:f>IF(V590&lt;=1E-9,"PASS","FAIL")</x:f>
        <x:v>PASS</x:v>
      </x:c>
      <x:c r="Y590" t="str">
        <x:v>NO EXTRAPOLATION</x:v>
      </x:c>
      <x:c r="Z590" t="str">
        <x:v>TCVN 10304 Bảng 3 f_i: 0.999 nhỏ hơn phạm vi bảng (1). Không ngoại suy.</x:v>
      </x:c>
    </x:row>
    <x:row r="591">
      <x:c r="A591" t="str">
        <x:v>G0588</x:v>
      </x:c>
      <x:c r="B591" t="str">
        <x:v>Bảng 3</x:v>
      </x:c>
      <x:c r="C591" t="str">
        <x:v>clay</x:v>
      </x:c>
      <x:c r="D591" t="str">
        <x:v>OUTSIDE</x:v>
      </x:c>
      <x:c r="E591" t="str">
        <x:v>{"z":40.001,"IL":0.3}</x:v>
      </x:c>
      <x:c r="F591" t="str">
        <x:v>BLOCK</x:v>
      </x:c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 t="str">
        <x:v>BLOCK</x:v>
      </x:c>
      <x:c r="T591" t="str">
        <x:v>BLOCK</x:v>
      </x:c>
      <x:c r="U591" s="28" t="str">
        <x:f>"BLOCK"</x:f>
        <x:v>BLOCK</x:v>
      </x:c>
      <x:c r="V591" s="32" t="n">
        <x:f>IF(AND(ISNUMBER(S591),ISNUMBER(U591)),ABS(S591-U591),IF(S591=U591,0,1))</x:f>
        <x:v>0</x:v>
      </x:c>
      <x:c r="W591" s="30" t="str">
        <x:v>PASS</x:v>
      </x:c>
      <x:c r="X591" s="28" t="str">
        <x:f>IF(V591&lt;=1E-9,"PASS","FAIL")</x:f>
        <x:v>PASS</x:v>
      </x:c>
      <x:c r="Y591" t="str">
        <x:v>NO EXTRAPOLATION</x:v>
      </x:c>
      <x:c r="Z591" t="str">
        <x:v>TCVN 10304 Bảng 3 f_i: 40.001 lớn hơn phạm vi bảng (40). Không ngoại suy.</x:v>
      </x:c>
    </x:row>
    <x:row r="592">
      <x:c r="A592" t="str">
        <x:v>G0589</x:v>
      </x:c>
      <x:c r="B592" t="str">
        <x:v>Bảng 3</x:v>
      </x:c>
      <x:c r="C592" t="str">
        <x:v>clay</x:v>
      </x:c>
      <x:c r="D592" t="str">
        <x:v>OUTSIDE</x:v>
      </x:c>
      <x:c r="E592" t="str">
        <x:v>{"z":10,"IL":1.001}</x:v>
      </x:c>
      <x:c r="F592" t="str">
        <x:v>BLOCK</x:v>
      </x:c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 t="str">
        <x:v>BLOCK</x:v>
      </x:c>
      <x:c r="T592" t="str">
        <x:v>BLOCK</x:v>
      </x:c>
      <x:c r="U592" s="28" t="str">
        <x:f>"BLOCK"</x:f>
        <x:v>BLOCK</x:v>
      </x:c>
      <x:c r="V592" s="32" t="n">
        <x:f>IF(AND(ISNUMBER(S592),ISNUMBER(U592)),ABS(S592-U592),IF(S592=U592,0,1))</x:f>
        <x:v>0</x:v>
      </x:c>
      <x:c r="W592" s="30" t="str">
        <x:v>PASS</x:v>
      </x:c>
      <x:c r="X592" s="28" t="str">
        <x:f>IF(V592&lt;=1E-9,"PASS","FAIL")</x:f>
        <x:v>PASS</x:v>
      </x:c>
      <x:c r="Y592" t="str">
        <x:v>NO EXTRAPOLATION</x:v>
      </x:c>
      <x:c r="Z592" t="str">
        <x:v>TCVN 10304 Bảng 3 f_i: 1.001 lớn hơn phạm vi bảng (1). Không ngoại suy.</x:v>
      </x:c>
    </x:row>
    <x:row r="593">
      <x:c r="A593" t="str">
        <x:v>G0590</x:v>
      </x:c>
      <x:c r="B593" t="str">
        <x:v>Bảng 4</x:v>
      </x:c>
      <x:c r="C593" t="str">
        <x:v>hammer-clay</x:v>
      </x:c>
      <x:c r="D593" t="str">
        <x:v>DISCRETE</x:v>
      </x:c>
      <x:c r="E593" t="str">
        <x:v>{}</x:v>
      </x:c>
      <x:c r="F593" t="str">
        <x:v>DISCRETE-PAIR</x:v>
      </x:c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 t="str">
        <x:v>1|1</x:v>
      </x:c>
      <x:c r="T593" t="str">
        <x:v>1|1</x:v>
      </x:c>
      <x:c r="U593" s="28" t="str">
        <x:f>T593</x:f>
        <x:v>1|1</x:v>
      </x:c>
      <x:c r="V593" s="32" t="n">
        <x:f>IF(AND(ISNUMBER(S593),ISNUMBER(U593)),ABS(S593-U593),IF(S593=U593,0,1))</x:f>
        <x:v>0</x:v>
      </x:c>
      <x:c r="W593" s="30" t="str">
        <x:v>PASS</x:v>
      </x:c>
      <x:c r="X593" s="28" t="str">
        <x:f>IF(V593&lt;=1E-9,"PASS","FAIL")</x:f>
        <x:v>PASS</x:v>
      </x:c>
      <x:c r="Y593" t="str">
        <x:v>tr.34–35</x:v>
      </x:c>
      <x:c r="Z593" t="str"/>
    </x:row>
    <x:row r="594">
      <x:c r="A594" t="str">
        <x:v>G0591</x:v>
      </x:c>
      <x:c r="B594" t="str">
        <x:v>Bảng 4</x:v>
      </x:c>
      <x:c r="C594" t="str">
        <x:v>press-sand-coarse</x:v>
      </x:c>
      <x:c r="D594" t="str">
        <x:v>DISCRETE</x:v>
      </x:c>
      <x:c r="E594" t="str">
        <x:v>{}</x:v>
      </x:c>
      <x:c r="F594" t="str">
        <x:v>DISCRETE-PAIR</x:v>
      </x:c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 t="str">
        <x:v>1.1|1</x:v>
      </x:c>
      <x:c r="T594" t="str">
        <x:v>1.1|1</x:v>
      </x:c>
      <x:c r="U594" s="28" t="str">
        <x:f>T594</x:f>
        <x:v>1.1|1</x:v>
      </x:c>
      <x:c r="V594" s="32" t="n">
        <x:f>IF(AND(ISNUMBER(S594),ISNUMBER(U594)),ABS(S594-U594),IF(S594=U594,0,1))</x:f>
        <x:v>0</x:v>
      </x:c>
      <x:c r="W594" s="30" t="str">
        <x:v>PASS</x:v>
      </x:c>
      <x:c r="X594" s="28" t="str">
        <x:f>IF(V594&lt;=1E-9,"PASS","FAIL")</x:f>
        <x:v>PASS</x:v>
      </x:c>
      <x:c r="Y594" t="str">
        <x:v>tr.34–35</x:v>
      </x:c>
      <x:c r="Z594" t="str"/>
    </x:row>
    <x:row r="595">
      <x:c r="A595" t="str">
        <x:v>G0592</x:v>
      </x:c>
      <x:c r="B595" t="str">
        <x:v>Bảng 4</x:v>
      </x:c>
      <x:c r="C595" t="str">
        <x:v>press-sand-fine</x:v>
      </x:c>
      <x:c r="D595" t="str">
        <x:v>DISCRETE</x:v>
      </x:c>
      <x:c r="E595" t="str">
        <x:v>{}</x:v>
      </x:c>
      <x:c r="F595" t="str">
        <x:v>DISCRETE-PAIR</x:v>
      </x:c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 t="str">
        <x:v>1.1|1</x:v>
      </x:c>
      <x:c r="T595" t="str">
        <x:v>1.1|1</x:v>
      </x:c>
      <x:c r="U595" s="28" t="str">
        <x:f>T595</x:f>
        <x:v>1.1|1</x:v>
      </x:c>
      <x:c r="V595" s="32" t="n">
        <x:f>IF(AND(ISNUMBER(S595),ISNUMBER(U595)),ABS(S595-U595),IF(S595=U595,0,1))</x:f>
        <x:v>0</x:v>
      </x:c>
      <x:c r="W595" s="30" t="str">
        <x:v>PASS</x:v>
      </x:c>
      <x:c r="X595" s="28" t="str">
        <x:f>IF(V595&lt;=1E-9,"PASS","FAIL")</x:f>
        <x:v>PASS</x:v>
      </x:c>
      <x:c r="Y595" t="str">
        <x:v>tr.34–35</x:v>
      </x:c>
      <x:c r="Z595" t="str"/>
    </x:row>
    <x:row r="596">
      <x:c r="A596" t="str">
        <x:v>G0593</x:v>
      </x:c>
      <x:c r="B596" t="str">
        <x:v>Bảng 4</x:v>
      </x:c>
      <x:c r="C596" t="str">
        <x:v>press-sand-silty</x:v>
      </x:c>
      <x:c r="D596" t="str">
        <x:v>DISCRETE</x:v>
      </x:c>
      <x:c r="E596" t="str">
        <x:v>{}</x:v>
      </x:c>
      <x:c r="F596" t="str">
        <x:v>DISCRETE-PAIR</x:v>
      </x:c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 t="str">
        <x:v>1.1|0.8</x:v>
      </x:c>
      <x:c r="T596" t="str">
        <x:v>1.1|0.8</x:v>
      </x:c>
      <x:c r="U596" s="28" t="str">
        <x:f>T596</x:f>
        <x:v>1.1|0.8</x:v>
      </x:c>
      <x:c r="V596" s="32" t="n">
        <x:f>IF(AND(ISNUMBER(S596),ISNUMBER(U596)),ABS(S596-U596),IF(S596=U596,0,1))</x:f>
        <x:v>0</x:v>
      </x:c>
      <x:c r="W596" s="30" t="str">
        <x:v>PASS</x:v>
      </x:c>
      <x:c r="X596" s="28" t="str">
        <x:f>IF(V596&lt;=1E-9,"PASS","FAIL")</x:f>
        <x:v>PASS</x:v>
      </x:c>
      <x:c r="Y596" t="str">
        <x:v>tr.34–35</x:v>
      </x:c>
      <x:c r="Z596" t="str"/>
    </x:row>
    <x:row r="597">
      <x:c r="A597" t="str">
        <x:v>G0594</x:v>
      </x:c>
      <x:c r="B597" t="str">
        <x:v>Bảng 4</x:v>
      </x:c>
      <x:c r="C597" t="str">
        <x:v>press-clay-lowIL</x:v>
      </x:c>
      <x:c r="D597" t="str">
        <x:v>DISCRETE</x:v>
      </x:c>
      <x:c r="E597" t="str">
        <x:v>{}</x:v>
      </x:c>
      <x:c r="F597" t="str">
        <x:v>DISCRETE-PAIR</x:v>
      </x:c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 t="str">
        <x:v>1.1|1</x:v>
      </x:c>
      <x:c r="T597" t="str">
        <x:v>1.1|1</x:v>
      </x:c>
      <x:c r="U597" s="28" t="str">
        <x:f>T597</x:f>
        <x:v>1.1|1</x:v>
      </x:c>
      <x:c r="V597" s="32" t="n">
        <x:f>IF(AND(ISNUMBER(S597),ISNUMBER(U597)),ABS(S597-U597),IF(S597=U597,0,1))</x:f>
        <x:v>0</x:v>
      </x:c>
      <x:c r="W597" s="30" t="str">
        <x:v>PASS</x:v>
      </x:c>
      <x:c r="X597" s="28" t="str">
        <x:f>IF(V597&lt;=1E-9,"PASS","FAIL")</x:f>
        <x:v>PASS</x:v>
      </x:c>
      <x:c r="Y597" t="str">
        <x:v>tr.34–35</x:v>
      </x:c>
      <x:c r="Z597" t="str"/>
    </x:row>
    <x:row r="598">
      <x:c r="A598" t="str">
        <x:v>G0595</x:v>
      </x:c>
      <x:c r="B598" t="str">
        <x:v>Bảng 4</x:v>
      </x:c>
      <x:c r="C598" t="str">
        <x:v>press-clay-edgeIL</x:v>
      </x:c>
      <x:c r="D598" t="str">
        <x:v>DISCRETE</x:v>
      </x:c>
      <x:c r="E598" t="str">
        <x:v>{}</x:v>
      </x:c>
      <x:c r="F598" t="str">
        <x:v>DISCRETE-PAIR</x:v>
      </x:c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 t="str">
        <x:v>1|1</x:v>
      </x:c>
      <x:c r="T598" t="str">
        <x:v>1|1</x:v>
      </x:c>
      <x:c r="U598" s="28" t="str">
        <x:f>T598</x:f>
        <x:v>1|1</x:v>
      </x:c>
      <x:c r="V598" s="32" t="n">
        <x:f>IF(AND(ISNUMBER(S598),ISNUMBER(U598)),ABS(S598-U598),IF(S598=U598,0,1))</x:f>
        <x:v>0</x:v>
      </x:c>
      <x:c r="W598" s="30" t="str">
        <x:v>PASS</x:v>
      </x:c>
      <x:c r="X598" s="28" t="str">
        <x:f>IF(V598&lt;=1E-9,"PASS","FAIL")</x:f>
        <x:v>PASS</x:v>
      </x:c>
      <x:c r="Y598" t="str">
        <x:v>tr.34–35</x:v>
      </x:c>
      <x:c r="Z598" t="str"/>
    </x:row>
    <x:row r="599">
      <x:c r="A599" t="str">
        <x:v>G0596</x:v>
      </x:c>
      <x:c r="B599" t="str">
        <x:v>Bảng 4</x:v>
      </x:c>
      <x:c r="C599" t="str">
        <x:v>press-clay-highIL</x:v>
      </x:c>
      <x:c r="D599" t="str">
        <x:v>DISCRETE</x:v>
      </x:c>
      <x:c r="E599" t="str">
        <x:v>{}</x:v>
      </x:c>
      <x:c r="F599" t="str">
        <x:v>DISCRETE-PAIR</x:v>
      </x:c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 t="str">
        <x:v>1|1</x:v>
      </x:c>
      <x:c r="T599" t="str">
        <x:v>1|1</x:v>
      </x:c>
      <x:c r="U599" s="28" t="str">
        <x:f>T599</x:f>
        <x:v>1|1</x:v>
      </x:c>
      <x:c r="V599" s="32" t="n">
        <x:f>IF(AND(ISNUMBER(S599),ISNUMBER(U599)),ABS(S599-U599),IF(S599=U599,0,1))</x:f>
        <x:v>0</x:v>
      </x:c>
      <x:c r="W599" s="30" t="str">
        <x:v>PASS</x:v>
      </x:c>
      <x:c r="X599" s="28" t="str">
        <x:f>IF(V599&lt;=1E-9,"PASS","FAIL")</x:f>
        <x:v>PASS</x:v>
      </x:c>
      <x:c r="Y599" t="str">
        <x:v>tr.34–35</x:v>
      </x:c>
      <x:c r="Z599" t="str"/>
    </x:row>
    <x:row r="600">
      <x:c r="A600" t="str">
        <x:v>G0597</x:v>
      </x:c>
      <x:c r="B600" t="str">
        <x:v>Bảng 4</x:v>
      </x:c>
      <x:c r="C600" t="str">
        <x:v>unsupported-method</x:v>
      </x:c>
      <x:c r="D600" t="str">
        <x:v>OUTSIDE</x:v>
      </x:c>
      <x:c r="E600" t="str">
        <x:v>{"method":"unknown"}</x:v>
      </x:c>
      <x:c r="F600" t="str">
        <x:v>BLOCK</x:v>
      </x:c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 t="str">
        <x:v>BLOCK</x:v>
      </x:c>
      <x:c r="T600" t="str">
        <x:v>BLOCK</x:v>
      </x:c>
      <x:c r="U600" s="28" t="str">
        <x:f>"BLOCK"</x:f>
        <x:v>BLOCK</x:v>
      </x:c>
      <x:c r="V600" s="32" t="n">
        <x:f>IF(AND(ISNUMBER(S600),ISNUMBER(U600)),ABS(S600-U600),IF(S600=U600,0,1))</x:f>
        <x:v>0</x:v>
      </x:c>
      <x:c r="W600" s="30" t="str">
        <x:v>PASS</x:v>
      </x:c>
      <x:c r="X600" s="28" t="str">
        <x:f>IF(V600&lt;=1E-9,"PASS","FAIL")</x:f>
        <x:v>PASS</x:v>
      </x:c>
      <x:c r="Y600" t="str">
        <x:v>không tự nội suy category</x:v>
      </x:c>
      <x:c r="Z600" t="str">
        <x:v>Workflow tự động hiện Verified cho phương pháp hammer hoặc press. Phương pháp khác dùng REVIEW/nhập hệ số thủ công sau khi đối chiếu Bảng 4.</x:v>
      </x:c>
    </x:row>
    <x:row r="601">
      <x:c r="A601" t="str">
        <x:v>G0598</x:v>
      </x:c>
      <x:c r="B601" t="str">
        <x:v>Bảng 6</x:v>
      </x:c>
      <x:c r="C601" t="str">
        <x:v>bored-64a-64b:sand</x:v>
      </x:c>
      <x:c r="D601" t="str">
        <x:v>DISCRETE</x:v>
      </x:c>
      <x:c r="E601" t="str">
        <x:v>{"caseId":"bored-64a-64b","soil":"sand"}</x:v>
      </x:c>
      <x:c r="F601" t="str">
        <x:v>EXACT</x:v>
      </x:c>
      <x:c r="G601"/>
      <x:c r="H601"/>
      <x:c r="I601"/>
      <x:c r="J601"/>
      <x:c r="K601"/>
      <x:c r="L601"/>
      <x:c r="M601" t="n">
        <x:v>1</x:v>
      </x:c>
      <x:c r="N601"/>
      <x:c r="O601"/>
      <x:c r="P601"/>
      <x:c r="Q601"/>
      <x:c r="R601"/>
      <x:c r="S601" t="n">
        <x:v>1</x:v>
      </x:c>
      <x:c r="T601" t="n">
        <x:v>1</x:v>
      </x:c>
      <x:c r="U601" s="28" t="n">
        <x:f>T601</x:f>
        <x:v>1</x:v>
      </x:c>
      <x:c r="V601" s="32" t="n">
        <x:f>IF(AND(ISNUMBER(S601),ISNUMBER(U601)),ABS(S601-U601),IF(S601=U601,0,1))</x:f>
        <x:v>0</x:v>
      </x:c>
      <x:c r="W601" s="30" t="str">
        <x:v>PASS</x:v>
      </x:c>
      <x:c r="X601" s="28" t="str">
        <x:f>IF(V601&lt;=1E-9,"PASS","FAIL")</x:f>
        <x:v>PASS</x:v>
      </x:c>
      <x:c r="Y601" t="str">
        <x:v>tr.39</x:v>
      </x:c>
      <x:c r="Z601" t="str"/>
    </x:row>
    <x:row r="602">
      <x:c r="A602" t="str">
        <x:v>G0599</x:v>
      </x:c>
      <x:c r="B602" t="str">
        <x:v>Bảng 6</x:v>
      </x:c>
      <x:c r="C602" t="str">
        <x:v>bored-64a-64b:sandyClay</x:v>
      </x:c>
      <x:c r="D602" t="str">
        <x:v>DISCRETE</x:v>
      </x:c>
      <x:c r="E602" t="str">
        <x:v>{"caseId":"bored-64a-64b","soil":"sandyClay"}</x:v>
      </x:c>
      <x:c r="F602" t="str">
        <x:v>EXACT</x:v>
      </x:c>
      <x:c r="G602"/>
      <x:c r="H602"/>
      <x:c r="I602"/>
      <x:c r="J602"/>
      <x:c r="K602"/>
      <x:c r="L602"/>
      <x:c r="M602" t="n">
        <x:v>1</x:v>
      </x:c>
      <x:c r="N602"/>
      <x:c r="O602"/>
      <x:c r="P602"/>
      <x:c r="Q602"/>
      <x:c r="R602"/>
      <x:c r="S602" t="n">
        <x:v>1</x:v>
      </x:c>
      <x:c r="T602" t="n">
        <x:v>1</x:v>
      </x:c>
      <x:c r="U602" s="28" t="n">
        <x:f>T602</x:f>
        <x:v>1</x:v>
      </x:c>
      <x:c r="V602" s="32" t="n">
        <x:f>IF(AND(ISNUMBER(S602),ISNUMBER(U602)),ABS(S602-U602),IF(S602=U602,0,1))</x:f>
        <x:v>0</x:v>
      </x:c>
      <x:c r="W602" s="30" t="str">
        <x:v>PASS</x:v>
      </x:c>
      <x:c r="X602" s="28" t="str">
        <x:f>IF(V602&lt;=1E-9,"PASS","FAIL")</x:f>
        <x:v>PASS</x:v>
      </x:c>
      <x:c r="Y602" t="str">
        <x:v>tr.39</x:v>
      </x:c>
      <x:c r="Z602" t="str"/>
    </x:row>
    <x:row r="603">
      <x:c r="A603" t="str">
        <x:v>G0600</x:v>
      </x:c>
      <x:c r="B603" t="str">
        <x:v>Bảng 6</x:v>
      </x:c>
      <x:c r="C603" t="str">
        <x:v>bored-64a-64b:clayeySand</x:v>
      </x:c>
      <x:c r="D603" t="str">
        <x:v>DISCRETE</x:v>
      </x:c>
      <x:c r="E603" t="str">
        <x:v>{"caseId":"bored-64a-64b","soil":"clayeySand"}</x:v>
      </x:c>
      <x:c r="F603" t="str">
        <x:v>EXACT</x:v>
      </x:c>
      <x:c r="G603"/>
      <x:c r="H603"/>
      <x:c r="I603"/>
      <x:c r="J603"/>
      <x:c r="K603"/>
      <x:c r="L603"/>
      <x:c r="M603" t="n">
        <x:v>1</x:v>
      </x:c>
      <x:c r="N603"/>
      <x:c r="O603"/>
      <x:c r="P603"/>
      <x:c r="Q603"/>
      <x:c r="R603"/>
      <x:c r="S603" t="n">
        <x:v>1</x:v>
      </x:c>
      <x:c r="T603" t="n">
        <x:v>1</x:v>
      </x:c>
      <x:c r="U603" s="28" t="n">
        <x:f>T603</x:f>
        <x:v>1</x:v>
      </x:c>
      <x:c r="V603" s="32" t="n">
        <x:f>IF(AND(ISNUMBER(S603),ISNUMBER(U603)),ABS(S603-U603),IF(S603=U603,0,1))</x:f>
        <x:v>0</x:v>
      </x:c>
      <x:c r="W603" s="30" t="str">
        <x:v>PASS</x:v>
      </x:c>
      <x:c r="X603" s="28" t="str">
        <x:f>IF(V603&lt;=1E-9,"PASS","FAIL")</x:f>
        <x:v>PASS</x:v>
      </x:c>
      <x:c r="Y603" t="str">
        <x:v>tr.39</x:v>
      </x:c>
      <x:c r="Z603" t="str"/>
    </x:row>
    <x:row r="604">
      <x:c r="A604" t="str">
        <x:v>G0601</x:v>
      </x:c>
      <x:c r="B604" t="str">
        <x:v>Bảng 6</x:v>
      </x:c>
      <x:c r="C604" t="str">
        <x:v>bored-64a-64b:clay</x:v>
      </x:c>
      <x:c r="D604" t="str">
        <x:v>DISCRETE</x:v>
      </x:c>
      <x:c r="E604" t="str">
        <x:v>{"caseId":"bored-64a-64b","soil":"clay"}</x:v>
      </x:c>
      <x:c r="F604" t="str">
        <x:v>EXACT</x:v>
      </x:c>
      <x:c r="G604"/>
      <x:c r="H604"/>
      <x:c r="I604"/>
      <x:c r="J604"/>
      <x:c r="K604"/>
      <x:c r="L604"/>
      <x:c r="M604" t="n">
        <x:v>0.9</x:v>
      </x:c>
      <x:c r="N604"/>
      <x:c r="O604"/>
      <x:c r="P604"/>
      <x:c r="Q604"/>
      <x:c r="R604"/>
      <x:c r="S604" t="n">
        <x:v>0.9</x:v>
      </x:c>
      <x:c r="T604" t="n">
        <x:v>0.9</x:v>
      </x:c>
      <x:c r="U604" s="28" t="n">
        <x:f>T604</x:f>
        <x:v>0.9</x:v>
      </x:c>
      <x:c r="V604" s="32" t="n">
        <x:f>IF(AND(ISNUMBER(S604),ISNUMBER(U604)),ABS(S604-U604),IF(S604=U604,0,1))</x:f>
        <x:v>0</x:v>
      </x:c>
      <x:c r="W604" s="30" t="str">
        <x:v>PASS</x:v>
      </x:c>
      <x:c r="X604" s="28" t="str">
        <x:f>IF(V604&lt;=1E-9,"PASS","FAIL")</x:f>
        <x:v>PASS</x:v>
      </x:c>
      <x:c r="Y604" t="str">
        <x:v>tr.39</x:v>
      </x:c>
      <x:c r="Z604" t="str"/>
    </x:row>
    <x:row r="605">
      <x:c r="A605" t="str">
        <x:v>G0602</x:v>
      </x:c>
      <x:c r="B605" t="str">
        <x:v>Bảng 6</x:v>
      </x:c>
      <x:c r="C605" t="str">
        <x:v>vibro-bored:sand</x:v>
      </x:c>
      <x:c r="D605" t="str">
        <x:v>DISCRETE</x:v>
      </x:c>
      <x:c r="E605" t="str">
        <x:v>{"caseId":"vibro-bored","soil":"sand"}</x:v>
      </x:c>
      <x:c r="F605" t="str">
        <x:v>EXACT</x:v>
      </x:c>
      <x:c r="G605"/>
      <x:c r="H605"/>
      <x:c r="I605"/>
      <x:c r="J605"/>
      <x:c r="K605"/>
      <x:c r="L605"/>
      <x:c r="M605" t="n">
        <x:v>0.9</x:v>
      </x:c>
      <x:c r="N605"/>
      <x:c r="O605"/>
      <x:c r="P605"/>
      <x:c r="Q605"/>
      <x:c r="R605"/>
      <x:c r="S605" t="n">
        <x:v>0.9</x:v>
      </x:c>
      <x:c r="T605" t="n">
        <x:v>0.9</x:v>
      </x:c>
      <x:c r="U605" s="28" t="n">
        <x:f>T605</x:f>
        <x:v>0.9</x:v>
      </x:c>
      <x:c r="V605" s="32" t="n">
        <x:f>IF(AND(ISNUMBER(S605),ISNUMBER(U605)),ABS(S605-U605),IF(S605=U605,0,1))</x:f>
        <x:v>0</x:v>
      </x:c>
      <x:c r="W605" s="30" t="str">
        <x:v>PASS</x:v>
      </x:c>
      <x:c r="X605" s="28" t="str">
        <x:f>IF(V605&lt;=1E-9,"PASS","FAIL")</x:f>
        <x:v>PASS</x:v>
      </x:c>
      <x:c r="Y605" t="str">
        <x:v>tr.39</x:v>
      </x:c>
      <x:c r="Z605" t="str"/>
    </x:row>
    <x:row r="606">
      <x:c r="A606" t="str">
        <x:v>G0603</x:v>
      </x:c>
      <x:c r="B606" t="str">
        <x:v>Bảng 6</x:v>
      </x:c>
      <x:c r="C606" t="str">
        <x:v>vibro-bored:sandyClay</x:v>
      </x:c>
      <x:c r="D606" t="str">
        <x:v>DISCRETE</x:v>
      </x:c>
      <x:c r="E606" t="str">
        <x:v>{"caseId":"vibro-bored","soil":"sandyClay"}</x:v>
      </x:c>
      <x:c r="F606" t="str">
        <x:v>EXACT</x:v>
      </x:c>
      <x:c r="G606"/>
      <x:c r="H606"/>
      <x:c r="I606"/>
      <x:c r="J606"/>
      <x:c r="K606"/>
      <x:c r="L606"/>
      <x:c r="M606" t="n">
        <x:v>0.9</x:v>
      </x:c>
      <x:c r="N606"/>
      <x:c r="O606"/>
      <x:c r="P606"/>
      <x:c r="Q606"/>
      <x:c r="R606"/>
      <x:c r="S606" t="n">
        <x:v>0.9</x:v>
      </x:c>
      <x:c r="T606" t="n">
        <x:v>0.9</x:v>
      </x:c>
      <x:c r="U606" s="28" t="n">
        <x:f>T606</x:f>
        <x:v>0.9</x:v>
      </x:c>
      <x:c r="V606" s="32" t="n">
        <x:f>IF(AND(ISNUMBER(S606),ISNUMBER(U606)),ABS(S606-U606),IF(S606=U606,0,1))</x:f>
        <x:v>0</x:v>
      </x:c>
      <x:c r="W606" s="30" t="str">
        <x:v>PASS</x:v>
      </x:c>
      <x:c r="X606" s="28" t="str">
        <x:f>IF(V606&lt;=1E-9,"PASS","FAIL")</x:f>
        <x:v>PASS</x:v>
      </x:c>
      <x:c r="Y606" t="str">
        <x:v>tr.39</x:v>
      </x:c>
      <x:c r="Z606" t="str"/>
    </x:row>
    <x:row r="607">
      <x:c r="A607" t="str">
        <x:v>G0604</x:v>
      </x:c>
      <x:c r="B607" t="str">
        <x:v>Bảng 6</x:v>
      </x:c>
      <x:c r="C607" t="str">
        <x:v>vibro-bored:clayeySand</x:v>
      </x:c>
      <x:c r="D607" t="str">
        <x:v>DISCRETE</x:v>
      </x:c>
      <x:c r="E607" t="str">
        <x:v>{"caseId":"vibro-bored","soil":"clayeySand"}</x:v>
      </x:c>
      <x:c r="F607" t="str">
        <x:v>EXACT</x:v>
      </x:c>
      <x:c r="G607"/>
      <x:c r="H607"/>
      <x:c r="I607"/>
      <x:c r="J607"/>
      <x:c r="K607"/>
      <x:c r="L607"/>
      <x:c r="M607" t="n">
        <x:v>0.9</x:v>
      </x:c>
      <x:c r="N607"/>
      <x:c r="O607"/>
      <x:c r="P607"/>
      <x:c r="Q607"/>
      <x:c r="R607"/>
      <x:c r="S607" t="n">
        <x:v>0.9</x:v>
      </x:c>
      <x:c r="T607" t="n">
        <x:v>0.9</x:v>
      </x:c>
      <x:c r="U607" s="28" t="n">
        <x:f>T607</x:f>
        <x:v>0.9</x:v>
      </x:c>
      <x:c r="V607" s="32" t="n">
        <x:f>IF(AND(ISNUMBER(S607),ISNUMBER(U607)),ABS(S607-U607),IF(S607=U607,0,1))</x:f>
        <x:v>0</x:v>
      </x:c>
      <x:c r="W607" s="30" t="str">
        <x:v>PASS</x:v>
      </x:c>
      <x:c r="X607" s="28" t="str">
        <x:f>IF(V607&lt;=1E-9,"PASS","FAIL")</x:f>
        <x:v>PASS</x:v>
      </x:c>
      <x:c r="Y607" t="str">
        <x:v>tr.39</x:v>
      </x:c>
      <x:c r="Z607" t="str"/>
    </x:row>
    <x:row r="608">
      <x:c r="A608" t="str">
        <x:v>G0605</x:v>
      </x:c>
      <x:c r="B608" t="str">
        <x:v>Bảng 6</x:v>
      </x:c>
      <x:c r="C608" t="str">
        <x:v>vibro-bored:clay</x:v>
      </x:c>
      <x:c r="D608" t="str">
        <x:v>DISCRETE</x:v>
      </x:c>
      <x:c r="E608" t="str">
        <x:v>{"caseId":"vibro-bored","soil":"clay"}</x:v>
      </x:c>
      <x:c r="F608" t="str">
        <x:v>EXACT</x:v>
      </x:c>
      <x:c r="G608"/>
      <x:c r="H608"/>
      <x:c r="I608"/>
      <x:c r="J608"/>
      <x:c r="K608"/>
      <x:c r="L608"/>
      <x:c r="M608" t="n">
        <x:v>0.9</x:v>
      </x:c>
      <x:c r="N608"/>
      <x:c r="O608"/>
      <x:c r="P608"/>
      <x:c r="Q608"/>
      <x:c r="R608"/>
      <x:c r="S608" t="n">
        <x:v>0.9</x:v>
      </x:c>
      <x:c r="T608" t="n">
        <x:v>0.9</x:v>
      </x:c>
      <x:c r="U608" s="28" t="n">
        <x:f>T608</x:f>
        <x:v>0.9</x:v>
      </x:c>
      <x:c r="V608" s="32" t="n">
        <x:f>IF(AND(ISNUMBER(S608),ISNUMBER(U608)),ABS(S608-U608),IF(S608=U608,0,1))</x:f>
        <x:v>0</x:v>
      </x:c>
      <x:c r="W608" s="30" t="str">
        <x:v>PASS</x:v>
      </x:c>
      <x:c r="X608" s="28" t="str">
        <x:f>IF(V608&lt;=1E-9,"PASS","FAIL")</x:f>
        <x:v>PASS</x:v>
      </x:c>
      <x:c r="Y608" t="str">
        <x:v>tr.39</x:v>
      </x:c>
      <x:c r="Z608" t="str"/>
    </x:row>
    <x:row r="609">
      <x:c r="A609" t="str">
        <x:v>G0606</x:v>
      </x:c>
      <x:c r="B609" t="str">
        <x:v>Bảng 6</x:v>
      </x:c>
      <x:c r="C609" t="str">
        <x:v>drilled-dry-cfa:sand</x:v>
      </x:c>
      <x:c r="D609" t="str">
        <x:v>DISCRETE</x:v>
      </x:c>
      <x:c r="E609" t="str">
        <x:v>{"caseId":"drilled-dry-cfa","soil":"sand"}</x:v>
      </x:c>
      <x:c r="F609" t="str">
        <x:v>EXACT</x:v>
      </x:c>
      <x:c r="G609"/>
      <x:c r="H609"/>
      <x:c r="I609"/>
      <x:c r="J609"/>
      <x:c r="K609"/>
      <x:c r="L609"/>
      <x:c r="M609" t="n">
        <x:v>0.7</x:v>
      </x:c>
      <x:c r="N609"/>
      <x:c r="O609"/>
      <x:c r="P609"/>
      <x:c r="Q609"/>
      <x:c r="R609"/>
      <x:c r="S609" t="n">
        <x:v>0.7</x:v>
      </x:c>
      <x:c r="T609" t="n">
        <x:v>0.7</x:v>
      </x:c>
      <x:c r="U609" s="28" t="n">
        <x:f>T609</x:f>
        <x:v>0.7</x:v>
      </x:c>
      <x:c r="V609" s="32" t="n">
        <x:f>IF(AND(ISNUMBER(S609),ISNUMBER(U609)),ABS(S609-U609),IF(S609=U609,0,1))</x:f>
        <x:v>0</x:v>
      </x:c>
      <x:c r="W609" s="30" t="str">
        <x:v>PASS</x:v>
      </x:c>
      <x:c r="X609" s="28" t="str">
        <x:f>IF(V609&lt;=1E-9,"PASS","FAIL")</x:f>
        <x:v>PASS</x:v>
      </x:c>
      <x:c r="Y609" t="str">
        <x:v>tr.39</x:v>
      </x:c>
      <x:c r="Z609" t="str"/>
    </x:row>
    <x:row r="610">
      <x:c r="A610" t="str">
        <x:v>G0607</x:v>
      </x:c>
      <x:c r="B610" t="str">
        <x:v>Bảng 6</x:v>
      </x:c>
      <x:c r="C610" t="str">
        <x:v>drilled-dry-cfa:sandyClay</x:v>
      </x:c>
      <x:c r="D610" t="str">
        <x:v>DISCRETE</x:v>
      </x:c>
      <x:c r="E610" t="str">
        <x:v>{"caseId":"drilled-dry-cfa","soil":"sandyClay"}</x:v>
      </x:c>
      <x:c r="F610" t="str">
        <x:v>EXACT</x:v>
      </x:c>
      <x:c r="G610"/>
      <x:c r="H610"/>
      <x:c r="I610"/>
      <x:c r="J610"/>
      <x:c r="K610"/>
      <x:c r="L610"/>
      <x:c r="M610" t="n">
        <x:v>0.7</x:v>
      </x:c>
      <x:c r="N610"/>
      <x:c r="O610"/>
      <x:c r="P610"/>
      <x:c r="Q610"/>
      <x:c r="R610"/>
      <x:c r="S610" t="n">
        <x:v>0.7</x:v>
      </x:c>
      <x:c r="T610" t="n">
        <x:v>0.7</x:v>
      </x:c>
      <x:c r="U610" s="28" t="n">
        <x:f>T610</x:f>
        <x:v>0.7</x:v>
      </x:c>
      <x:c r="V610" s="32" t="n">
        <x:f>IF(AND(ISNUMBER(S610),ISNUMBER(U610)),ABS(S610-U610),IF(S610=U610,0,1))</x:f>
        <x:v>0</x:v>
      </x:c>
      <x:c r="W610" s="30" t="str">
        <x:v>PASS</x:v>
      </x:c>
      <x:c r="X610" s="28" t="str">
        <x:f>IF(V610&lt;=1E-9,"PASS","FAIL")</x:f>
        <x:v>PASS</x:v>
      </x:c>
      <x:c r="Y610" t="str">
        <x:v>tr.39</x:v>
      </x:c>
      <x:c r="Z610" t="str"/>
    </x:row>
    <x:row r="611">
      <x:c r="A611" t="str">
        <x:v>G0608</x:v>
      </x:c>
      <x:c r="B611" t="str">
        <x:v>Bảng 6</x:v>
      </x:c>
      <x:c r="C611" t="str">
        <x:v>drilled-dry-cfa:clayeySand</x:v>
      </x:c>
      <x:c r="D611" t="str">
        <x:v>DISCRETE</x:v>
      </x:c>
      <x:c r="E611" t="str">
        <x:v>{"caseId":"drilled-dry-cfa","soil":"clayeySand"}</x:v>
      </x:c>
      <x:c r="F611" t="str">
        <x:v>EXACT</x:v>
      </x:c>
      <x:c r="G611"/>
      <x:c r="H611"/>
      <x:c r="I611"/>
      <x:c r="J611"/>
      <x:c r="K611"/>
      <x:c r="L611"/>
      <x:c r="M611" t="n">
        <x:v>0.7</x:v>
      </x:c>
      <x:c r="N611"/>
      <x:c r="O611"/>
      <x:c r="P611"/>
      <x:c r="Q611"/>
      <x:c r="R611"/>
      <x:c r="S611" t="n">
        <x:v>0.7</x:v>
      </x:c>
      <x:c r="T611" t="n">
        <x:v>0.7</x:v>
      </x:c>
      <x:c r="U611" s="28" t="n">
        <x:f>T611</x:f>
        <x:v>0.7</x:v>
      </x:c>
      <x:c r="V611" s="32" t="n">
        <x:f>IF(AND(ISNUMBER(S611),ISNUMBER(U611)),ABS(S611-U611),IF(S611=U611,0,1))</x:f>
        <x:v>0</x:v>
      </x:c>
      <x:c r="W611" s="30" t="str">
        <x:v>PASS</x:v>
      </x:c>
      <x:c r="X611" s="28" t="str">
        <x:f>IF(V611&lt;=1E-9,"PASS","FAIL")</x:f>
        <x:v>PASS</x:v>
      </x:c>
      <x:c r="Y611" t="str">
        <x:v>tr.39</x:v>
      </x:c>
      <x:c r="Z611" t="str"/>
    </x:row>
    <x:row r="612">
      <x:c r="A612" t="str">
        <x:v>G0609</x:v>
      </x:c>
      <x:c r="B612" t="str">
        <x:v>Bảng 6</x:v>
      </x:c>
      <x:c r="C612" t="str">
        <x:v>drilled-dry-cfa:clay</x:v>
      </x:c>
      <x:c r="D612" t="str">
        <x:v>DISCRETE</x:v>
      </x:c>
      <x:c r="E612" t="str">
        <x:v>{"caseId":"drilled-dry-cfa","soil":"clay"}</x:v>
      </x:c>
      <x:c r="F612" t="str">
        <x:v>EXACT</x:v>
      </x:c>
      <x:c r="G612"/>
      <x:c r="H612"/>
      <x:c r="I612"/>
      <x:c r="J612"/>
      <x:c r="K612"/>
      <x:c r="L612"/>
      <x:c r="M612" t="n">
        <x:v>0.6</x:v>
      </x:c>
      <x:c r="N612"/>
      <x:c r="O612"/>
      <x:c r="P612"/>
      <x:c r="Q612"/>
      <x:c r="R612"/>
      <x:c r="S612" t="n">
        <x:v>0.6</x:v>
      </x:c>
      <x:c r="T612" t="n">
        <x:v>0.6</x:v>
      </x:c>
      <x:c r="U612" s="28" t="n">
        <x:f>T612</x:f>
        <x:v>0.6</x:v>
      </x:c>
      <x:c r="V612" s="32" t="n">
        <x:f>IF(AND(ISNUMBER(S612),ISNUMBER(U612)),ABS(S612-U612),IF(S612=U612,0,1))</x:f>
        <x:v>0</x:v>
      </x:c>
      <x:c r="W612" s="30" t="str">
        <x:v>PASS</x:v>
      </x:c>
      <x:c r="X612" s="28" t="str">
        <x:f>IF(V612&lt;=1E-9,"PASS","FAIL")</x:f>
        <x:v>PASS</x:v>
      </x:c>
      <x:c r="Y612" t="str">
        <x:v>tr.39</x:v>
      </x:c>
      <x:c r="Z612" t="str"/>
    </x:row>
    <x:row r="613">
      <x:c r="A613" t="str">
        <x:v>G0610</x:v>
      </x:c>
      <x:c r="B613" t="str">
        <x:v>Bảng 6</x:v>
      </x:c>
      <x:c r="C613" t="str">
        <x:v>drilled-water-bentonite:sand</x:v>
      </x:c>
      <x:c r="D613" t="str">
        <x:v>DISCRETE</x:v>
      </x:c>
      <x:c r="E613" t="str">
        <x:v>{"caseId":"drilled-water-bentonite","soil":"sand"}</x:v>
      </x:c>
      <x:c r="F613" t="str">
        <x:v>EXACT</x:v>
      </x:c>
      <x:c r="G613"/>
      <x:c r="H613"/>
      <x:c r="I613"/>
      <x:c r="J613"/>
      <x:c r="K613"/>
      <x:c r="L613"/>
      <x:c r="M613" t="n">
        <x:v>0.6</x:v>
      </x:c>
      <x:c r="N613"/>
      <x:c r="O613"/>
      <x:c r="P613"/>
      <x:c r="Q613"/>
      <x:c r="R613"/>
      <x:c r="S613" t="n">
        <x:v>0.6</x:v>
      </x:c>
      <x:c r="T613" t="n">
        <x:v>0.6</x:v>
      </x:c>
      <x:c r="U613" s="28" t="n">
        <x:f>T613</x:f>
        <x:v>0.6</x:v>
      </x:c>
      <x:c r="V613" s="32" t="n">
        <x:f>IF(AND(ISNUMBER(S613),ISNUMBER(U613)),ABS(S613-U613),IF(S613=U613,0,1))</x:f>
        <x:v>0</x:v>
      </x:c>
      <x:c r="W613" s="30" t="str">
        <x:v>PASS</x:v>
      </x:c>
      <x:c r="X613" s="28" t="str">
        <x:f>IF(V613&lt;=1E-9,"PASS","FAIL")</x:f>
        <x:v>PASS</x:v>
      </x:c>
      <x:c r="Y613" t="str">
        <x:v>tr.39</x:v>
      </x:c>
      <x:c r="Z613" t="str"/>
    </x:row>
    <x:row r="614">
      <x:c r="A614" t="str">
        <x:v>G0611</x:v>
      </x:c>
      <x:c r="B614" t="str">
        <x:v>Bảng 6</x:v>
      </x:c>
      <x:c r="C614" t="str">
        <x:v>drilled-water-bentonite:sandyClay</x:v>
      </x:c>
      <x:c r="D614" t="str">
        <x:v>DISCRETE</x:v>
      </x:c>
      <x:c r="E614" t="str">
        <x:v>{"caseId":"drilled-water-bentonite","soil":"sandyClay"}</x:v>
      </x:c>
      <x:c r="F614" t="str">
        <x:v>EXACT</x:v>
      </x:c>
      <x:c r="G614"/>
      <x:c r="H614"/>
      <x:c r="I614"/>
      <x:c r="J614"/>
      <x:c r="K614"/>
      <x:c r="L614"/>
      <x:c r="M614" t="n">
        <x:v>0.6</x:v>
      </x:c>
      <x:c r="N614"/>
      <x:c r="O614"/>
      <x:c r="P614"/>
      <x:c r="Q614"/>
      <x:c r="R614"/>
      <x:c r="S614" t="n">
        <x:v>0.6</x:v>
      </x:c>
      <x:c r="T614" t="n">
        <x:v>0.6</x:v>
      </x:c>
      <x:c r="U614" s="28" t="n">
        <x:f>T614</x:f>
        <x:v>0.6</x:v>
      </x:c>
      <x:c r="V614" s="32" t="n">
        <x:f>IF(AND(ISNUMBER(S614),ISNUMBER(U614)),ABS(S614-U614),IF(S614=U614,0,1))</x:f>
        <x:v>0</x:v>
      </x:c>
      <x:c r="W614" s="30" t="str">
        <x:v>PASS</x:v>
      </x:c>
      <x:c r="X614" s="28" t="str">
        <x:f>IF(V614&lt;=1E-9,"PASS","FAIL")</x:f>
        <x:v>PASS</x:v>
      </x:c>
      <x:c r="Y614" t="str">
        <x:v>tr.39</x:v>
      </x:c>
      <x:c r="Z614" t="str"/>
    </x:row>
    <x:row r="615">
      <x:c r="A615" t="str">
        <x:v>G0612</x:v>
      </x:c>
      <x:c r="B615" t="str">
        <x:v>Bảng 6</x:v>
      </x:c>
      <x:c r="C615" t="str">
        <x:v>drilled-water-bentonite:clayeySand</x:v>
      </x:c>
      <x:c r="D615" t="str">
        <x:v>DISCRETE</x:v>
      </x:c>
      <x:c r="E615" t="str">
        <x:v>{"caseId":"drilled-water-bentonite","soil":"clayeySand"}</x:v>
      </x:c>
      <x:c r="F615" t="str">
        <x:v>EXACT</x:v>
      </x:c>
      <x:c r="G615"/>
      <x:c r="H615"/>
      <x:c r="I615"/>
      <x:c r="J615"/>
      <x:c r="K615"/>
      <x:c r="L615"/>
      <x:c r="M615" t="n">
        <x:v>0.6</x:v>
      </x:c>
      <x:c r="N615"/>
      <x:c r="O615"/>
      <x:c r="P615"/>
      <x:c r="Q615"/>
      <x:c r="R615"/>
      <x:c r="S615" t="n">
        <x:v>0.6</x:v>
      </x:c>
      <x:c r="T615" t="n">
        <x:v>0.6</x:v>
      </x:c>
      <x:c r="U615" s="28" t="n">
        <x:f>T615</x:f>
        <x:v>0.6</x:v>
      </x:c>
      <x:c r="V615" s="32" t="n">
        <x:f>IF(AND(ISNUMBER(S615),ISNUMBER(U615)),ABS(S615-U615),IF(S615=U615,0,1))</x:f>
        <x:v>0</x:v>
      </x:c>
      <x:c r="W615" s="30" t="str">
        <x:v>PASS</x:v>
      </x:c>
      <x:c r="X615" s="28" t="str">
        <x:f>IF(V615&lt;=1E-9,"PASS","FAIL")</x:f>
        <x:v>PASS</x:v>
      </x:c>
      <x:c r="Y615" t="str">
        <x:v>tr.39</x:v>
      </x:c>
      <x:c r="Z615" t="str"/>
    </x:row>
    <x:row r="616">
      <x:c r="A616" t="str">
        <x:v>G0613</x:v>
      </x:c>
      <x:c r="B616" t="str">
        <x:v>Bảng 6</x:v>
      </x:c>
      <x:c r="C616" t="str">
        <x:v>drilled-water-bentonite:clay</x:v>
      </x:c>
      <x:c r="D616" t="str">
        <x:v>DISCRETE</x:v>
      </x:c>
      <x:c r="E616" t="str">
        <x:v>{"caseId":"drilled-water-bentonite","soil":"clay"}</x:v>
      </x:c>
      <x:c r="F616" t="str">
        <x:v>EXACT</x:v>
      </x:c>
      <x:c r="G616"/>
      <x:c r="H616"/>
      <x:c r="I616"/>
      <x:c r="J616"/>
      <x:c r="K616"/>
      <x:c r="L616"/>
      <x:c r="M616" t="n">
        <x:v>0.6</x:v>
      </x:c>
      <x:c r="N616"/>
      <x:c r="O616"/>
      <x:c r="P616"/>
      <x:c r="Q616"/>
      <x:c r="R616"/>
      <x:c r="S616" t="n">
        <x:v>0.6</x:v>
      </x:c>
      <x:c r="T616" t="n">
        <x:v>0.6</x:v>
      </x:c>
      <x:c r="U616" s="28" t="n">
        <x:f>T616</x:f>
        <x:v>0.6</x:v>
      </x:c>
      <x:c r="V616" s="32" t="n">
        <x:f>IF(AND(ISNUMBER(S616),ISNUMBER(U616)),ABS(S616-U616),IF(S616=U616,0,1))</x:f>
        <x:v>0</x:v>
      </x:c>
      <x:c r="W616" s="30" t="str">
        <x:v>PASS</x:v>
      </x:c>
      <x:c r="X616" s="28" t="str">
        <x:f>IF(V616&lt;=1E-9,"PASS","FAIL")</x:f>
        <x:v>PASS</x:v>
      </x:c>
      <x:c r="Y616" t="str">
        <x:v>tr.39</x:v>
      </x:c>
      <x:c r="Z616" t="str"/>
    </x:row>
    <x:row r="617">
      <x:c r="A617" t="str">
        <x:v>G0614</x:v>
      </x:c>
      <x:c r="B617" t="str">
        <x:v>Bảng 6</x:v>
      </x:c>
      <x:c r="C617" t="str">
        <x:v>drilled-stiff-mix:sand</x:v>
      </x:c>
      <x:c r="D617" t="str">
        <x:v>DISCRETE</x:v>
      </x:c>
      <x:c r="E617" t="str">
        <x:v>{"caseId":"drilled-stiff-mix","soil":"sand"}</x:v>
      </x:c>
      <x:c r="F617" t="str">
        <x:v>EXACT</x:v>
      </x:c>
      <x:c r="G617"/>
      <x:c r="H617"/>
      <x:c r="I617"/>
      <x:c r="J617"/>
      <x:c r="K617"/>
      <x:c r="L617"/>
      <x:c r="M617" t="n">
        <x:v>0.8</x:v>
      </x:c>
      <x:c r="N617"/>
      <x:c r="O617"/>
      <x:c r="P617"/>
      <x:c r="Q617"/>
      <x:c r="R617"/>
      <x:c r="S617" t="n">
        <x:v>0.8</x:v>
      </x:c>
      <x:c r="T617" t="n">
        <x:v>0.8</x:v>
      </x:c>
      <x:c r="U617" s="28" t="n">
        <x:f>T617</x:f>
        <x:v>0.8</x:v>
      </x:c>
      <x:c r="V617" s="32" t="n">
        <x:f>IF(AND(ISNUMBER(S617),ISNUMBER(U617)),ABS(S617-U617),IF(S617=U617,0,1))</x:f>
        <x:v>0</x:v>
      </x:c>
      <x:c r="W617" s="30" t="str">
        <x:v>PASS</x:v>
      </x:c>
      <x:c r="X617" s="28" t="str">
        <x:f>IF(V617&lt;=1E-9,"PASS","FAIL")</x:f>
        <x:v>PASS</x:v>
      </x:c>
      <x:c r="Y617" t="str">
        <x:v>tr.39</x:v>
      </x:c>
      <x:c r="Z617" t="str"/>
    </x:row>
    <x:row r="618">
      <x:c r="A618" t="str">
        <x:v>G0615</x:v>
      </x:c>
      <x:c r="B618" t="str">
        <x:v>Bảng 6</x:v>
      </x:c>
      <x:c r="C618" t="str">
        <x:v>drilled-stiff-mix:sandyClay</x:v>
      </x:c>
      <x:c r="D618" t="str">
        <x:v>DISCRETE</x:v>
      </x:c>
      <x:c r="E618" t="str">
        <x:v>{"caseId":"drilled-stiff-mix","soil":"sandyClay"}</x:v>
      </x:c>
      <x:c r="F618" t="str">
        <x:v>EXACT</x:v>
      </x:c>
      <x:c r="G618"/>
      <x:c r="H618"/>
      <x:c r="I618"/>
      <x:c r="J618"/>
      <x:c r="K618"/>
      <x:c r="L618"/>
      <x:c r="M618" t="n">
        <x:v>0.8</x:v>
      </x:c>
      <x:c r="N618"/>
      <x:c r="O618"/>
      <x:c r="P618"/>
      <x:c r="Q618"/>
      <x:c r="R618"/>
      <x:c r="S618" t="n">
        <x:v>0.8</x:v>
      </x:c>
      <x:c r="T618" t="n">
        <x:v>0.8</x:v>
      </x:c>
      <x:c r="U618" s="28" t="n">
        <x:f>T618</x:f>
        <x:v>0.8</x:v>
      </x:c>
      <x:c r="V618" s="32" t="n">
        <x:f>IF(AND(ISNUMBER(S618),ISNUMBER(U618)),ABS(S618-U618),IF(S618=U618,0,1))</x:f>
        <x:v>0</x:v>
      </x:c>
      <x:c r="W618" s="30" t="str">
        <x:v>PASS</x:v>
      </x:c>
      <x:c r="X618" s="28" t="str">
        <x:f>IF(V618&lt;=1E-9,"PASS","FAIL")</x:f>
        <x:v>PASS</x:v>
      </x:c>
      <x:c r="Y618" t="str">
        <x:v>tr.39</x:v>
      </x:c>
      <x:c r="Z618" t="str"/>
    </x:row>
    <x:row r="619">
      <x:c r="A619" t="str">
        <x:v>G0616</x:v>
      </x:c>
      <x:c r="B619" t="str">
        <x:v>Bảng 6</x:v>
      </x:c>
      <x:c r="C619" t="str">
        <x:v>drilled-stiff-mix:clayeySand</x:v>
      </x:c>
      <x:c r="D619" t="str">
        <x:v>DISCRETE</x:v>
      </x:c>
      <x:c r="E619" t="str">
        <x:v>{"caseId":"drilled-stiff-mix","soil":"clayeySand"}</x:v>
      </x:c>
      <x:c r="F619" t="str">
        <x:v>EXACT</x:v>
      </x:c>
      <x:c r="G619"/>
      <x:c r="H619"/>
      <x:c r="I619"/>
      <x:c r="J619"/>
      <x:c r="K619"/>
      <x:c r="L619"/>
      <x:c r="M619" t="n">
        <x:v>0.8</x:v>
      </x:c>
      <x:c r="N619"/>
      <x:c r="O619"/>
      <x:c r="P619"/>
      <x:c r="Q619"/>
      <x:c r="R619"/>
      <x:c r="S619" t="n">
        <x:v>0.8</x:v>
      </x:c>
      <x:c r="T619" t="n">
        <x:v>0.8</x:v>
      </x:c>
      <x:c r="U619" s="28" t="n">
        <x:f>T619</x:f>
        <x:v>0.8</x:v>
      </x:c>
      <x:c r="V619" s="32" t="n">
        <x:f>IF(AND(ISNUMBER(S619),ISNUMBER(U619)),ABS(S619-U619),IF(S619=U619,0,1))</x:f>
        <x:v>0</x:v>
      </x:c>
      <x:c r="W619" s="30" t="str">
        <x:v>PASS</x:v>
      </x:c>
      <x:c r="X619" s="28" t="str">
        <x:f>IF(V619&lt;=1E-9,"PASS","FAIL")</x:f>
        <x:v>PASS</x:v>
      </x:c>
      <x:c r="Y619" t="str">
        <x:v>tr.39</x:v>
      </x:c>
      <x:c r="Z619" t="str"/>
    </x:row>
    <x:row r="620">
      <x:c r="A620" t="str">
        <x:v>G0617</x:v>
      </x:c>
      <x:c r="B620" t="str">
        <x:v>Bảng 6</x:v>
      </x:c>
      <x:c r="C620" t="str">
        <x:v>drilled-stiff-mix:clay</x:v>
      </x:c>
      <x:c r="D620" t="str">
        <x:v>DISCRETE</x:v>
      </x:c>
      <x:c r="E620" t="str">
        <x:v>{"caseId":"drilled-stiff-mix","soil":"clay"}</x:v>
      </x:c>
      <x:c r="F620" t="str">
        <x:v>EXACT</x:v>
      </x:c>
      <x:c r="G620"/>
      <x:c r="H620"/>
      <x:c r="I620"/>
      <x:c r="J620"/>
      <x:c r="K620"/>
      <x:c r="L620"/>
      <x:c r="M620" t="n">
        <x:v>0.7</x:v>
      </x:c>
      <x:c r="N620"/>
      <x:c r="O620"/>
      <x:c r="P620"/>
      <x:c r="Q620"/>
      <x:c r="R620"/>
      <x:c r="S620" t="n">
        <x:v>0.7</x:v>
      </x:c>
      <x:c r="T620" t="n">
        <x:v>0.7</x:v>
      </x:c>
      <x:c r="U620" s="28" t="n">
        <x:f>T620</x:f>
        <x:v>0.7</x:v>
      </x:c>
      <x:c r="V620" s="32" t="n">
        <x:f>IF(AND(ISNUMBER(S620),ISNUMBER(U620)),ABS(S620-U620),IF(S620=U620,0,1))</x:f>
        <x:v>0</x:v>
      </x:c>
      <x:c r="W620" s="30" t="str">
        <x:v>PASS</x:v>
      </x:c>
      <x:c r="X620" s="28" t="str">
        <x:f>IF(V620&lt;=1E-9,"PASS","FAIL")</x:f>
        <x:v>PASS</x:v>
      </x:c>
      <x:c r="Y620" t="str">
        <x:v>tr.39</x:v>
      </x:c>
      <x:c r="Z620" t="str"/>
    </x:row>
    <x:row r="621">
      <x:c r="A621" t="str">
        <x:v>G0618</x:v>
      </x:c>
      <x:c r="B621" t="str">
        <x:v>Bảng 6</x:v>
      </x:c>
      <x:c r="C621" t="str">
        <x:v>barrette:sand</x:v>
      </x:c>
      <x:c r="D621" t="str">
        <x:v>DISCRETE</x:v>
      </x:c>
      <x:c r="E621" t="str">
        <x:v>{"caseId":"barrette","soil":"sand"}</x:v>
      </x:c>
      <x:c r="F621" t="str">
        <x:v>EXACT</x:v>
      </x:c>
      <x:c r="G621"/>
      <x:c r="H621"/>
      <x:c r="I621"/>
      <x:c r="J621"/>
      <x:c r="K621"/>
      <x:c r="L621"/>
      <x:c r="M621" t="n">
        <x:v>0.6</x:v>
      </x:c>
      <x:c r="N621"/>
      <x:c r="O621"/>
      <x:c r="P621"/>
      <x:c r="Q621"/>
      <x:c r="R621"/>
      <x:c r="S621" t="n">
        <x:v>0.6</x:v>
      </x:c>
      <x:c r="T621" t="n">
        <x:v>0.6</x:v>
      </x:c>
      <x:c r="U621" s="28" t="n">
        <x:f>T621</x:f>
        <x:v>0.6</x:v>
      </x:c>
      <x:c r="V621" s="32" t="n">
        <x:f>IF(AND(ISNUMBER(S621),ISNUMBER(U621)),ABS(S621-U621),IF(S621=U621,0,1))</x:f>
        <x:v>0</x:v>
      </x:c>
      <x:c r="W621" s="30" t="str">
        <x:v>PASS</x:v>
      </x:c>
      <x:c r="X621" s="28" t="str">
        <x:f>IF(V621&lt;=1E-9,"PASS","FAIL")</x:f>
        <x:v>PASS</x:v>
      </x:c>
      <x:c r="Y621" t="str">
        <x:v>tr.39</x:v>
      </x:c>
      <x:c r="Z621" t="str"/>
    </x:row>
    <x:row r="622">
      <x:c r="A622" t="str">
        <x:v>G0619</x:v>
      </x:c>
      <x:c r="B622" t="str">
        <x:v>Bảng 6</x:v>
      </x:c>
      <x:c r="C622" t="str">
        <x:v>barrette:sandyClay</x:v>
      </x:c>
      <x:c r="D622" t="str">
        <x:v>DISCRETE</x:v>
      </x:c>
      <x:c r="E622" t="str">
        <x:v>{"caseId":"barrette","soil":"sandyClay"}</x:v>
      </x:c>
      <x:c r="F622" t="str">
        <x:v>EXACT</x:v>
      </x:c>
      <x:c r="G622"/>
      <x:c r="H622"/>
      <x:c r="I622"/>
      <x:c r="J622"/>
      <x:c r="K622"/>
      <x:c r="L622"/>
      <x:c r="M622" t="n">
        <x:v>0.6</x:v>
      </x:c>
      <x:c r="N622"/>
      <x:c r="O622"/>
      <x:c r="P622"/>
      <x:c r="Q622"/>
      <x:c r="R622"/>
      <x:c r="S622" t="n">
        <x:v>0.6</x:v>
      </x:c>
      <x:c r="T622" t="n">
        <x:v>0.6</x:v>
      </x:c>
      <x:c r="U622" s="28" t="n">
        <x:f>T622</x:f>
        <x:v>0.6</x:v>
      </x:c>
      <x:c r="V622" s="32" t="n">
        <x:f>IF(AND(ISNUMBER(S622),ISNUMBER(U622)),ABS(S622-U622),IF(S622=U622,0,1))</x:f>
        <x:v>0</x:v>
      </x:c>
      <x:c r="W622" s="30" t="str">
        <x:v>PASS</x:v>
      </x:c>
      <x:c r="X622" s="28" t="str">
        <x:f>IF(V622&lt;=1E-9,"PASS","FAIL")</x:f>
        <x:v>PASS</x:v>
      </x:c>
      <x:c r="Y622" t="str">
        <x:v>tr.39</x:v>
      </x:c>
      <x:c r="Z622" t="str"/>
    </x:row>
    <x:row r="623">
      <x:c r="A623" t="str">
        <x:v>G0620</x:v>
      </x:c>
      <x:c r="B623" t="str">
        <x:v>Bảng 6</x:v>
      </x:c>
      <x:c r="C623" t="str">
        <x:v>barrette:clayeySand</x:v>
      </x:c>
      <x:c r="D623" t="str">
        <x:v>DISCRETE</x:v>
      </x:c>
      <x:c r="E623" t="str">
        <x:v>{"caseId":"barrette","soil":"clayeySand"}</x:v>
      </x:c>
      <x:c r="F623" t="str">
        <x:v>EXACT</x:v>
      </x:c>
      <x:c r="G623"/>
      <x:c r="H623"/>
      <x:c r="I623"/>
      <x:c r="J623"/>
      <x:c r="K623"/>
      <x:c r="L623"/>
      <x:c r="M623" t="n">
        <x:v>0.6</x:v>
      </x:c>
      <x:c r="N623"/>
      <x:c r="O623"/>
      <x:c r="P623"/>
      <x:c r="Q623"/>
      <x:c r="R623"/>
      <x:c r="S623" t="n">
        <x:v>0.6</x:v>
      </x:c>
      <x:c r="T623" t="n">
        <x:v>0.6</x:v>
      </x:c>
      <x:c r="U623" s="28" t="n">
        <x:f>T623</x:f>
        <x:v>0.6</x:v>
      </x:c>
      <x:c r="V623" s="32" t="n">
        <x:f>IF(AND(ISNUMBER(S623),ISNUMBER(U623)),ABS(S623-U623),IF(S623=U623,0,1))</x:f>
        <x:v>0</x:v>
      </x:c>
      <x:c r="W623" s="30" t="str">
        <x:v>PASS</x:v>
      </x:c>
      <x:c r="X623" s="28" t="str">
        <x:f>IF(V623&lt;=1E-9,"PASS","FAIL")</x:f>
        <x:v>PASS</x:v>
      </x:c>
      <x:c r="Y623" t="str">
        <x:v>tr.39</x:v>
      </x:c>
      <x:c r="Z623" t="str"/>
    </x:row>
    <x:row r="624">
      <x:c r="A624" t="str">
        <x:v>G0621</x:v>
      </x:c>
      <x:c r="B624" t="str">
        <x:v>Bảng 6</x:v>
      </x:c>
      <x:c r="C624" t="str">
        <x:v>barrette:clay</x:v>
      </x:c>
      <x:c r="D624" t="str">
        <x:v>DISCRETE</x:v>
      </x:c>
      <x:c r="E624" t="str">
        <x:v>{"caseId":"barrette","soil":"clay"}</x:v>
      </x:c>
      <x:c r="F624" t="str">
        <x:v>EXACT</x:v>
      </x:c>
      <x:c r="G624"/>
      <x:c r="H624"/>
      <x:c r="I624"/>
      <x:c r="J624"/>
      <x:c r="K624"/>
      <x:c r="L624"/>
      <x:c r="M624" t="n">
        <x:v>0.6</x:v>
      </x:c>
      <x:c r="N624"/>
      <x:c r="O624"/>
      <x:c r="P624"/>
      <x:c r="Q624"/>
      <x:c r="R624"/>
      <x:c r="S624" t="n">
        <x:v>0.6</x:v>
      </x:c>
      <x:c r="T624" t="n">
        <x:v>0.6</x:v>
      </x:c>
      <x:c r="U624" s="28" t="n">
        <x:f>T624</x:f>
        <x:v>0.6</x:v>
      </x:c>
      <x:c r="V624" s="32" t="n">
        <x:f>IF(AND(ISNUMBER(S624),ISNUMBER(U624)),ABS(S624-U624),IF(S624=U624,0,1))</x:f>
        <x:v>0</x:v>
      </x:c>
      <x:c r="W624" s="30" t="str">
        <x:v>PASS</x:v>
      </x:c>
      <x:c r="X624" s="28" t="str">
        <x:f>IF(V624&lt;=1E-9,"PASS","FAIL")</x:f>
        <x:v>PASS</x:v>
      </x:c>
      <x:c r="Y624" t="str">
        <x:v>tr.39</x:v>
      </x:c>
      <x:c r="Z624" t="str"/>
    </x:row>
    <x:row r="625">
      <x:c r="A625" t="str">
        <x:v>G0622</x:v>
      </x:c>
      <x:c r="B625" t="str">
        <x:v>Bảng 6</x:v>
      </x:c>
      <x:c r="C625" t="str">
        <x:v>vibro-pipe-excavated:sand</x:v>
      </x:c>
      <x:c r="D625" t="str">
        <x:v>DISCRETE</x:v>
      </x:c>
      <x:c r="E625" t="str">
        <x:v>{"caseId":"vibro-pipe-excavated","soil":"sand"}</x:v>
      </x:c>
      <x:c r="F625" t="str">
        <x:v>EXACT</x:v>
      </x:c>
      <x:c r="G625"/>
      <x:c r="H625"/>
      <x:c r="I625"/>
      <x:c r="J625"/>
      <x:c r="K625"/>
      <x:c r="L625"/>
      <x:c r="M625" t="n">
        <x:v>1</x:v>
      </x:c>
      <x:c r="N625"/>
      <x:c r="O625"/>
      <x:c r="P625"/>
      <x:c r="Q625"/>
      <x:c r="R625"/>
      <x:c r="S625" t="n">
        <x:v>1</x:v>
      </x:c>
      <x:c r="T625" t="n">
        <x:v>1</x:v>
      </x:c>
      <x:c r="U625" s="28" t="n">
        <x:f>T625</x:f>
        <x:v>1</x:v>
      </x:c>
      <x:c r="V625" s="32" t="n">
        <x:f>IF(AND(ISNUMBER(S625),ISNUMBER(U625)),ABS(S625-U625),IF(S625=U625,0,1))</x:f>
        <x:v>0</x:v>
      </x:c>
      <x:c r="W625" s="30" t="str">
        <x:v>PASS</x:v>
      </x:c>
      <x:c r="X625" s="28" t="str">
        <x:f>IF(V625&lt;=1E-9,"PASS","FAIL")</x:f>
        <x:v>PASS</x:v>
      </x:c>
      <x:c r="Y625" t="str">
        <x:v>tr.39</x:v>
      </x:c>
      <x:c r="Z625" t="str"/>
    </x:row>
    <x:row r="626">
      <x:c r="A626" t="str">
        <x:v>G0623</x:v>
      </x:c>
      <x:c r="B626" t="str">
        <x:v>Bảng 6</x:v>
      </x:c>
      <x:c r="C626" t="str">
        <x:v>vibro-pipe-excavated:sandyClay</x:v>
      </x:c>
      <x:c r="D626" t="str">
        <x:v>DISCRETE</x:v>
      </x:c>
      <x:c r="E626" t="str">
        <x:v>{"caseId":"vibro-pipe-excavated","soil":"sandyClay"}</x:v>
      </x:c>
      <x:c r="F626" t="str">
        <x:v>EXACT</x:v>
      </x:c>
      <x:c r="G626"/>
      <x:c r="H626"/>
      <x:c r="I626"/>
      <x:c r="J626"/>
      <x:c r="K626"/>
      <x:c r="L626"/>
      <x:c r="M626" t="n">
        <x:v>0.9</x:v>
      </x:c>
      <x:c r="N626"/>
      <x:c r="O626"/>
      <x:c r="P626"/>
      <x:c r="Q626"/>
      <x:c r="R626"/>
      <x:c r="S626" t="n">
        <x:v>0.9</x:v>
      </x:c>
      <x:c r="T626" t="n">
        <x:v>0.9</x:v>
      </x:c>
      <x:c r="U626" s="28" t="n">
        <x:f>T626</x:f>
        <x:v>0.9</x:v>
      </x:c>
      <x:c r="V626" s="32" t="n">
        <x:f>IF(AND(ISNUMBER(S626),ISNUMBER(U626)),ABS(S626-U626),IF(S626=U626,0,1))</x:f>
        <x:v>0</x:v>
      </x:c>
      <x:c r="W626" s="30" t="str">
        <x:v>PASS</x:v>
      </x:c>
      <x:c r="X626" s="28" t="str">
        <x:f>IF(V626&lt;=1E-9,"PASS","FAIL")</x:f>
        <x:v>PASS</x:v>
      </x:c>
      <x:c r="Y626" t="str">
        <x:v>tr.39</x:v>
      </x:c>
      <x:c r="Z626" t="str"/>
    </x:row>
    <x:row r="627">
      <x:c r="A627" t="str">
        <x:v>G0624</x:v>
      </x:c>
      <x:c r="B627" t="str">
        <x:v>Bảng 6</x:v>
      </x:c>
      <x:c r="C627" t="str">
        <x:v>vibro-pipe-excavated:clayeySand</x:v>
      </x:c>
      <x:c r="D627" t="str">
        <x:v>DISCRETE</x:v>
      </x:c>
      <x:c r="E627" t="str">
        <x:v>{"caseId":"vibro-pipe-excavated","soil":"clayeySand"}</x:v>
      </x:c>
      <x:c r="F627" t="str">
        <x:v>EXACT</x:v>
      </x:c>
      <x:c r="G627"/>
      <x:c r="H627"/>
      <x:c r="I627"/>
      <x:c r="J627"/>
      <x:c r="K627"/>
      <x:c r="L627"/>
      <x:c r="M627" t="n">
        <x:v>0.7</x:v>
      </x:c>
      <x:c r="N627"/>
      <x:c r="O627"/>
      <x:c r="P627"/>
      <x:c r="Q627"/>
      <x:c r="R627"/>
      <x:c r="S627" t="n">
        <x:v>0.7</x:v>
      </x:c>
      <x:c r="T627" t="n">
        <x:v>0.7</x:v>
      </x:c>
      <x:c r="U627" s="28" t="n">
        <x:f>T627</x:f>
        <x:v>0.7</x:v>
      </x:c>
      <x:c r="V627" s="32" t="n">
        <x:f>IF(AND(ISNUMBER(S627),ISNUMBER(U627)),ABS(S627-U627),IF(S627=U627,0,1))</x:f>
        <x:v>0</x:v>
      </x:c>
      <x:c r="W627" s="30" t="str">
        <x:v>PASS</x:v>
      </x:c>
      <x:c r="X627" s="28" t="str">
        <x:f>IF(V627&lt;=1E-9,"PASS","FAIL")</x:f>
        <x:v>PASS</x:v>
      </x:c>
      <x:c r="Y627" t="str">
        <x:v>tr.39</x:v>
      </x:c>
      <x:c r="Z627" t="str"/>
    </x:row>
    <x:row r="628">
      <x:c r="A628" t="str">
        <x:v>G0625</x:v>
      </x:c>
      <x:c r="B628" t="str">
        <x:v>Bảng 6</x:v>
      </x:c>
      <x:c r="C628" t="str">
        <x:v>vibro-pipe-excavated:clay</x:v>
      </x:c>
      <x:c r="D628" t="str">
        <x:v>DISCRETE</x:v>
      </x:c>
      <x:c r="E628" t="str">
        <x:v>{"caseId":"vibro-pipe-excavated","soil":"clay"}</x:v>
      </x:c>
      <x:c r="F628" t="str">
        <x:v>EXACT</x:v>
      </x:c>
      <x:c r="G628"/>
      <x:c r="H628"/>
      <x:c r="I628"/>
      <x:c r="J628"/>
      <x:c r="K628"/>
      <x:c r="L628"/>
      <x:c r="M628" t="n">
        <x:v>0.6</x:v>
      </x:c>
      <x:c r="N628"/>
      <x:c r="O628"/>
      <x:c r="P628"/>
      <x:c r="Q628"/>
      <x:c r="R628"/>
      <x:c r="S628" t="n">
        <x:v>0.6</x:v>
      </x:c>
      <x:c r="T628" t="n">
        <x:v>0.6</x:v>
      </x:c>
      <x:c r="U628" s="28" t="n">
        <x:f>T628</x:f>
        <x:v>0.6</x:v>
      </x:c>
      <x:c r="V628" s="32" t="n">
        <x:f>IF(AND(ISNUMBER(S628),ISNUMBER(U628)),ABS(S628-U628),IF(S628=U628,0,1))</x:f>
        <x:v>0</x:v>
      </x:c>
      <x:c r="W628" s="30" t="str">
        <x:v>PASS</x:v>
      </x:c>
      <x:c r="X628" s="28" t="str">
        <x:f>IF(V628&lt;=1E-9,"PASS","FAIL")</x:f>
        <x:v>PASS</x:v>
      </x:c>
      <x:c r="Y628" t="str">
        <x:v>tr.39</x:v>
      </x:c>
      <x:c r="Z628" t="str"/>
    </x:row>
    <x:row r="629">
      <x:c r="A629" t="str">
        <x:v>G0626</x:v>
      </x:c>
      <x:c r="B629" t="str">
        <x:v>Bảng 6</x:v>
      </x:c>
      <x:c r="C629" t="str">
        <x:v>pier:sand</x:v>
      </x:c>
      <x:c r="D629" t="str">
        <x:v>DISCRETE</x:v>
      </x:c>
      <x:c r="E629" t="str">
        <x:v>{"caseId":"pier","soil":"sand"}</x:v>
      </x:c>
      <x:c r="F629" t="str">
        <x:v>EXACT</x:v>
      </x:c>
      <x:c r="G629"/>
      <x:c r="H629"/>
      <x:c r="I629"/>
      <x:c r="J629"/>
      <x:c r="K629"/>
      <x:c r="L629"/>
      <x:c r="M629" t="n">
        <x:v>0.7</x:v>
      </x:c>
      <x:c r="N629"/>
      <x:c r="O629"/>
      <x:c r="P629"/>
      <x:c r="Q629"/>
      <x:c r="R629"/>
      <x:c r="S629" t="n">
        <x:v>0.7</x:v>
      </x:c>
      <x:c r="T629" t="n">
        <x:v>0.7</x:v>
      </x:c>
      <x:c r="U629" s="28" t="n">
        <x:f>T629</x:f>
        <x:v>0.7</x:v>
      </x:c>
      <x:c r="V629" s="32" t="n">
        <x:f>IF(AND(ISNUMBER(S629),ISNUMBER(U629)),ABS(S629-U629),IF(S629=U629,0,1))</x:f>
        <x:v>0</x:v>
      </x:c>
      <x:c r="W629" s="30" t="str">
        <x:v>PASS</x:v>
      </x:c>
      <x:c r="X629" s="28" t="str">
        <x:f>IF(V629&lt;=1E-9,"PASS","FAIL")</x:f>
        <x:v>PASS</x:v>
      </x:c>
      <x:c r="Y629" t="str">
        <x:v>tr.39</x:v>
      </x:c>
      <x:c r="Z629" t="str"/>
    </x:row>
    <x:row r="630">
      <x:c r="A630" t="str">
        <x:v>G0627</x:v>
      </x:c>
      <x:c r="B630" t="str">
        <x:v>Bảng 6</x:v>
      </x:c>
      <x:c r="C630" t="str">
        <x:v>pier:sandyClay</x:v>
      </x:c>
      <x:c r="D630" t="str">
        <x:v>DISCRETE</x:v>
      </x:c>
      <x:c r="E630" t="str">
        <x:v>{"caseId":"pier","soil":"sandyClay"}</x:v>
      </x:c>
      <x:c r="F630" t="str">
        <x:v>EXACT</x:v>
      </x:c>
      <x:c r="G630"/>
      <x:c r="H630"/>
      <x:c r="I630"/>
      <x:c r="J630"/>
      <x:c r="K630"/>
      <x:c r="L630"/>
      <x:c r="M630" t="n">
        <x:v>0.7</x:v>
      </x:c>
      <x:c r="N630"/>
      <x:c r="O630"/>
      <x:c r="P630"/>
      <x:c r="Q630"/>
      <x:c r="R630"/>
      <x:c r="S630" t="n">
        <x:v>0.7</x:v>
      </x:c>
      <x:c r="T630" t="n">
        <x:v>0.7</x:v>
      </x:c>
      <x:c r="U630" s="28" t="n">
        <x:f>T630</x:f>
        <x:v>0.7</x:v>
      </x:c>
      <x:c r="V630" s="32" t="n">
        <x:f>IF(AND(ISNUMBER(S630),ISNUMBER(U630)),ABS(S630-U630),IF(S630=U630,0,1))</x:f>
        <x:v>0</x:v>
      </x:c>
      <x:c r="W630" s="30" t="str">
        <x:v>PASS</x:v>
      </x:c>
      <x:c r="X630" s="28" t="str">
        <x:f>IF(V630&lt;=1E-9,"PASS","FAIL")</x:f>
        <x:v>PASS</x:v>
      </x:c>
      <x:c r="Y630" t="str">
        <x:v>tr.39</x:v>
      </x:c>
      <x:c r="Z630" t="str"/>
    </x:row>
    <x:row r="631">
      <x:c r="A631" t="str">
        <x:v>G0628</x:v>
      </x:c>
      <x:c r="B631" t="str">
        <x:v>Bảng 6</x:v>
      </x:c>
      <x:c r="C631" t="str">
        <x:v>pier:clayeySand</x:v>
      </x:c>
      <x:c r="D631" t="str">
        <x:v>DISCRETE</x:v>
      </x:c>
      <x:c r="E631" t="str">
        <x:v>{"caseId":"pier","soil":"clayeySand"}</x:v>
      </x:c>
      <x:c r="F631" t="str">
        <x:v>EXACT</x:v>
      </x:c>
      <x:c r="G631"/>
      <x:c r="H631"/>
      <x:c r="I631"/>
      <x:c r="J631"/>
      <x:c r="K631"/>
      <x:c r="L631"/>
      <x:c r="M631" t="n">
        <x:v>0.7</x:v>
      </x:c>
      <x:c r="N631"/>
      <x:c r="O631"/>
      <x:c r="P631"/>
      <x:c r="Q631"/>
      <x:c r="R631"/>
      <x:c r="S631" t="n">
        <x:v>0.7</x:v>
      </x:c>
      <x:c r="T631" t="n">
        <x:v>0.7</x:v>
      </x:c>
      <x:c r="U631" s="28" t="n">
        <x:f>T631</x:f>
        <x:v>0.7</x:v>
      </x:c>
      <x:c r="V631" s="32" t="n">
        <x:f>IF(AND(ISNUMBER(S631),ISNUMBER(U631)),ABS(S631-U631),IF(S631=U631,0,1))</x:f>
        <x:v>0</x:v>
      </x:c>
      <x:c r="W631" s="30" t="str">
        <x:v>PASS</x:v>
      </x:c>
      <x:c r="X631" s="28" t="str">
        <x:f>IF(V631&lt;=1E-9,"PASS","FAIL")</x:f>
        <x:v>PASS</x:v>
      </x:c>
      <x:c r="Y631" t="str">
        <x:v>tr.39</x:v>
      </x:c>
      <x:c r="Z631" t="str"/>
    </x:row>
    <x:row r="632">
      <x:c r="A632" t="str">
        <x:v>G0629</x:v>
      </x:c>
      <x:c r="B632" t="str">
        <x:v>Bảng 6</x:v>
      </x:c>
      <x:c r="C632" t="str">
        <x:v>pier:clay</x:v>
      </x:c>
      <x:c r="D632" t="str">
        <x:v>DISCRETE</x:v>
      </x:c>
      <x:c r="E632" t="str">
        <x:v>{"caseId":"pier","soil":"clay"}</x:v>
      </x:c>
      <x:c r="F632" t="str">
        <x:v>EXACT</x:v>
      </x:c>
      <x:c r="G632"/>
      <x:c r="H632"/>
      <x:c r="I632"/>
      <x:c r="J632"/>
      <x:c r="K632"/>
      <x:c r="L632"/>
      <x:c r="M632" t="n">
        <x:v>0.6</x:v>
      </x:c>
      <x:c r="N632"/>
      <x:c r="O632"/>
      <x:c r="P632"/>
      <x:c r="Q632"/>
      <x:c r="R632"/>
      <x:c r="S632" t="n">
        <x:v>0.6</x:v>
      </x:c>
      <x:c r="T632" t="n">
        <x:v>0.6</x:v>
      </x:c>
      <x:c r="U632" s="28" t="n">
        <x:f>T632</x:f>
        <x:v>0.6</x:v>
      </x:c>
      <x:c r="V632" s="32" t="n">
        <x:f>IF(AND(ISNUMBER(S632),ISNUMBER(U632)),ABS(S632-U632),IF(S632=U632,0,1))</x:f>
        <x:v>0</x:v>
      </x:c>
      <x:c r="W632" s="30" t="str">
        <x:v>PASS</x:v>
      </x:c>
      <x:c r="X632" s="28" t="str">
        <x:f>IF(V632&lt;=1E-9,"PASS","FAIL")</x:f>
        <x:v>PASS</x:v>
      </x:c>
      <x:c r="Y632" t="str">
        <x:v>tr.39</x:v>
      </x:c>
      <x:c r="Z632" t="str"/>
    </x:row>
    <x:row r="633">
      <x:c r="A633" t="str">
        <x:v>G0630</x:v>
      </x:c>
      <x:c r="B633" t="str">
        <x:v>Bảng 6</x:v>
      </x:c>
      <x:c r="C633" t="str">
        <x:v>jet-grout-pressure:sand</x:v>
      </x:c>
      <x:c r="D633" t="str">
        <x:v>DISCRETE</x:v>
      </x:c>
      <x:c r="E633" t="str">
        <x:v>{"caseId":"jet-grout-pressure","soil":"sand"}</x:v>
      </x:c>
      <x:c r="F633" t="str">
        <x:v>EXACT</x:v>
      </x:c>
      <x:c r="G633"/>
      <x:c r="H633"/>
      <x:c r="I633"/>
      <x:c r="J633"/>
      <x:c r="K633"/>
      <x:c r="L633"/>
      <x:c r="M633" t="n">
        <x:v>0.9</x:v>
      </x:c>
      <x:c r="N633"/>
      <x:c r="O633"/>
      <x:c r="P633"/>
      <x:c r="Q633"/>
      <x:c r="R633"/>
      <x:c r="S633" t="n">
        <x:v>0.9</x:v>
      </x:c>
      <x:c r="T633" t="n">
        <x:v>0.9</x:v>
      </x:c>
      <x:c r="U633" s="28" t="n">
        <x:f>T633</x:f>
        <x:v>0.9</x:v>
      </x:c>
      <x:c r="V633" s="32" t="n">
        <x:f>IF(AND(ISNUMBER(S633),ISNUMBER(U633)),ABS(S633-U633),IF(S633=U633,0,1))</x:f>
        <x:v>0</x:v>
      </x:c>
      <x:c r="W633" s="30" t="str">
        <x:v>PASS</x:v>
      </x:c>
      <x:c r="X633" s="28" t="str">
        <x:f>IF(V633&lt;=1E-9,"PASS","FAIL")</x:f>
        <x:v>PASS</x:v>
      </x:c>
      <x:c r="Y633" t="str">
        <x:v>tr.39</x:v>
      </x:c>
      <x:c r="Z633" t="str"/>
    </x:row>
    <x:row r="634">
      <x:c r="A634" t="str">
        <x:v>G0631</x:v>
      </x:c>
      <x:c r="B634" t="str">
        <x:v>Bảng 6</x:v>
      </x:c>
      <x:c r="C634" t="str">
        <x:v>jet-grout-pressure:sandyClay</x:v>
      </x:c>
      <x:c r="D634" t="str">
        <x:v>DISCRETE</x:v>
      </x:c>
      <x:c r="E634" t="str">
        <x:v>{"caseId":"jet-grout-pressure","soil":"sandyClay"}</x:v>
      </x:c>
      <x:c r="F634" t="str">
        <x:v>EXACT</x:v>
      </x:c>
      <x:c r="G634"/>
      <x:c r="H634"/>
      <x:c r="I634"/>
      <x:c r="J634"/>
      <x:c r="K634"/>
      <x:c r="L634"/>
      <x:c r="M634" t="n">
        <x:v>0.8</x:v>
      </x:c>
      <x:c r="N634"/>
      <x:c r="O634"/>
      <x:c r="P634"/>
      <x:c r="Q634"/>
      <x:c r="R634"/>
      <x:c r="S634" t="n">
        <x:v>0.8</x:v>
      </x:c>
      <x:c r="T634" t="n">
        <x:v>0.8</x:v>
      </x:c>
      <x:c r="U634" s="28" t="n">
        <x:f>T634</x:f>
        <x:v>0.8</x:v>
      </x:c>
      <x:c r="V634" s="32" t="n">
        <x:f>IF(AND(ISNUMBER(S634),ISNUMBER(U634)),ABS(S634-U634),IF(S634=U634,0,1))</x:f>
        <x:v>0</x:v>
      </x:c>
      <x:c r="W634" s="30" t="str">
        <x:v>PASS</x:v>
      </x:c>
      <x:c r="X634" s="28" t="str">
        <x:f>IF(V634&lt;=1E-9,"PASS","FAIL")</x:f>
        <x:v>PASS</x:v>
      </x:c>
      <x:c r="Y634" t="str">
        <x:v>tr.39</x:v>
      </x:c>
      <x:c r="Z634" t="str"/>
    </x:row>
    <x:row r="635">
      <x:c r="A635" t="str">
        <x:v>G0632</x:v>
      </x:c>
      <x:c r="B635" t="str">
        <x:v>Bảng 6</x:v>
      </x:c>
      <x:c r="C635" t="str">
        <x:v>jet-grout-pressure:clayeySand</x:v>
      </x:c>
      <x:c r="D635" t="str">
        <x:v>DISCRETE</x:v>
      </x:c>
      <x:c r="E635" t="str">
        <x:v>{"caseId":"jet-grout-pressure","soil":"clayeySand"}</x:v>
      </x:c>
      <x:c r="F635" t="str">
        <x:v>EXACT</x:v>
      </x:c>
      <x:c r="G635"/>
      <x:c r="H635"/>
      <x:c r="I635"/>
      <x:c r="J635"/>
      <x:c r="K635"/>
      <x:c r="L635"/>
      <x:c r="M635" t="n">
        <x:v>0.8</x:v>
      </x:c>
      <x:c r="N635"/>
      <x:c r="O635"/>
      <x:c r="P635"/>
      <x:c r="Q635"/>
      <x:c r="R635"/>
      <x:c r="S635" t="n">
        <x:v>0.8</x:v>
      </x:c>
      <x:c r="T635" t="n">
        <x:v>0.8</x:v>
      </x:c>
      <x:c r="U635" s="28" t="n">
        <x:f>T635</x:f>
        <x:v>0.8</x:v>
      </x:c>
      <x:c r="V635" s="32" t="n">
        <x:f>IF(AND(ISNUMBER(S635),ISNUMBER(U635)),ABS(S635-U635),IF(S635=U635,0,1))</x:f>
        <x:v>0</x:v>
      </x:c>
      <x:c r="W635" s="30" t="str">
        <x:v>PASS</x:v>
      </x:c>
      <x:c r="X635" s="28" t="str">
        <x:f>IF(V635&lt;=1E-9,"PASS","FAIL")</x:f>
        <x:v>PASS</x:v>
      </x:c>
      <x:c r="Y635" t="str">
        <x:v>tr.39</x:v>
      </x:c>
      <x:c r="Z635" t="str"/>
    </x:row>
    <x:row r="636">
      <x:c r="A636" t="str">
        <x:v>G0633</x:v>
      </x:c>
      <x:c r="B636" t="str">
        <x:v>Bảng 6</x:v>
      </x:c>
      <x:c r="C636" t="str">
        <x:v>jet-grout-pressure:clay</x:v>
      </x:c>
      <x:c r="D636" t="str">
        <x:v>DISCRETE</x:v>
      </x:c>
      <x:c r="E636" t="str">
        <x:v>{"caseId":"jet-grout-pressure","soil":"clay"}</x:v>
      </x:c>
      <x:c r="F636" t="str">
        <x:v>EXACT</x:v>
      </x:c>
      <x:c r="G636"/>
      <x:c r="H636"/>
      <x:c r="I636"/>
      <x:c r="J636"/>
      <x:c r="K636"/>
      <x:c r="L636"/>
      <x:c r="M636" t="n">
        <x:v>0.8</x:v>
      </x:c>
      <x:c r="N636"/>
      <x:c r="O636"/>
      <x:c r="P636"/>
      <x:c r="Q636"/>
      <x:c r="R636"/>
      <x:c r="S636" t="n">
        <x:v>0.8</x:v>
      </x:c>
      <x:c r="T636" t="n">
        <x:v>0.8</x:v>
      </x:c>
      <x:c r="U636" s="28" t="n">
        <x:f>T636</x:f>
        <x:v>0.8</x:v>
      </x:c>
      <x:c r="V636" s="32" t="n">
        <x:f>IF(AND(ISNUMBER(S636),ISNUMBER(U636)),ABS(S636-U636),IF(S636=U636,0,1))</x:f>
        <x:v>0</x:v>
      </x:c>
      <x:c r="W636" s="30" t="str">
        <x:v>PASS</x:v>
      </x:c>
      <x:c r="X636" s="28" t="str">
        <x:f>IF(V636&lt;=1E-9,"PASS","FAIL")</x:f>
        <x:v>PASS</x:v>
      </x:c>
      <x:c r="Y636" t="str">
        <x:v>tr.39</x:v>
      </x:c>
      <x:c r="Z636" t="str"/>
    </x:row>
    <x:row r="637">
      <x:c r="A637" t="str">
        <x:v>G0634</x:v>
      </x:c>
      <x:c r="B637" t="str">
        <x:v>Bảng 6</x:v>
      </x:c>
      <x:c r="C637" t="str">
        <x:v>jet-grout-pdt:sand</x:v>
      </x:c>
      <x:c r="D637" t="str">
        <x:v>DISCRETE</x:v>
      </x:c>
      <x:c r="E637" t="str">
        <x:v>{"caseId":"jet-grout-pdt","soil":"sand"}</x:v>
      </x:c>
      <x:c r="F637" t="str">
        <x:v>EXACT</x:v>
      </x:c>
      <x:c r="G637"/>
      <x:c r="H637"/>
      <x:c r="I637"/>
      <x:c r="J637"/>
      <x:c r="K637"/>
      <x:c r="L637"/>
      <x:c r="M637" t="n">
        <x:v>1.3</x:v>
      </x:c>
      <x:c r="N637"/>
      <x:c r="O637"/>
      <x:c r="P637"/>
      <x:c r="Q637"/>
      <x:c r="R637"/>
      <x:c r="S637" t="n">
        <x:v>1.3</x:v>
      </x:c>
      <x:c r="T637" t="n">
        <x:v>1.3</x:v>
      </x:c>
      <x:c r="U637" s="28" t="n">
        <x:f>T637</x:f>
        <x:v>1.3</x:v>
      </x:c>
      <x:c r="V637" s="32" t="n">
        <x:f>IF(AND(ISNUMBER(S637),ISNUMBER(U637)),ABS(S637-U637),IF(S637=U637,0,1))</x:f>
        <x:v>0</x:v>
      </x:c>
      <x:c r="W637" s="30" t="str">
        <x:v>PASS</x:v>
      </x:c>
      <x:c r="X637" s="28" t="str">
        <x:f>IF(V637&lt;=1E-9,"PASS","FAIL")</x:f>
        <x:v>PASS</x:v>
      </x:c>
      <x:c r="Y637" t="str">
        <x:v>tr.39</x:v>
      </x:c>
      <x:c r="Z637" t="str"/>
    </x:row>
    <x:row r="638">
      <x:c r="A638" t="str">
        <x:v>G0635</x:v>
      </x:c>
      <x:c r="B638" t="str">
        <x:v>Bảng 6</x:v>
      </x:c>
      <x:c r="C638" t="str">
        <x:v>jet-grout-pdt:sandyClay</x:v>
      </x:c>
      <x:c r="D638" t="str">
        <x:v>DISCRETE</x:v>
      </x:c>
      <x:c r="E638" t="str">
        <x:v>{"caseId":"jet-grout-pdt","soil":"sandyClay"}</x:v>
      </x:c>
      <x:c r="F638" t="str">
        <x:v>EXACT</x:v>
      </x:c>
      <x:c r="G638"/>
      <x:c r="H638"/>
      <x:c r="I638"/>
      <x:c r="J638"/>
      <x:c r="K638"/>
      <x:c r="L638"/>
      <x:c r="M638" t="n">
        <x:v>1.3</x:v>
      </x:c>
      <x:c r="N638"/>
      <x:c r="O638"/>
      <x:c r="P638"/>
      <x:c r="Q638"/>
      <x:c r="R638"/>
      <x:c r="S638" t="n">
        <x:v>1.3</x:v>
      </x:c>
      <x:c r="T638" t="n">
        <x:v>1.3</x:v>
      </x:c>
      <x:c r="U638" s="28" t="n">
        <x:f>T638</x:f>
        <x:v>1.3</x:v>
      </x:c>
      <x:c r="V638" s="32" t="n">
        <x:f>IF(AND(ISNUMBER(S638),ISNUMBER(U638)),ABS(S638-U638),IF(S638=U638,0,1))</x:f>
        <x:v>0</x:v>
      </x:c>
      <x:c r="W638" s="30" t="str">
        <x:v>PASS</x:v>
      </x:c>
      <x:c r="X638" s="28" t="str">
        <x:f>IF(V638&lt;=1E-9,"PASS","FAIL")</x:f>
        <x:v>PASS</x:v>
      </x:c>
      <x:c r="Y638" t="str">
        <x:v>tr.39</x:v>
      </x:c>
      <x:c r="Z638" t="str"/>
    </x:row>
    <x:row r="639">
      <x:c r="A639" t="str">
        <x:v>G0636</x:v>
      </x:c>
      <x:c r="B639" t="str">
        <x:v>Bảng 6</x:v>
      </x:c>
      <x:c r="C639" t="str">
        <x:v>jet-grout-pdt:clayeySand</x:v>
      </x:c>
      <x:c r="D639" t="str">
        <x:v>DISCRETE</x:v>
      </x:c>
      <x:c r="E639" t="str">
        <x:v>{"caseId":"jet-grout-pdt","soil":"clayeySand"}</x:v>
      </x:c>
      <x:c r="F639" t="str">
        <x:v>EXACT</x:v>
      </x:c>
      <x:c r="G639"/>
      <x:c r="H639"/>
      <x:c r="I639"/>
      <x:c r="J639"/>
      <x:c r="K639"/>
      <x:c r="L639"/>
      <x:c r="M639" t="n">
        <x:v>1.1</x:v>
      </x:c>
      <x:c r="N639"/>
      <x:c r="O639"/>
      <x:c r="P639"/>
      <x:c r="Q639"/>
      <x:c r="R639"/>
      <x:c r="S639" t="n">
        <x:v>1.1</x:v>
      </x:c>
      <x:c r="T639" t="n">
        <x:v>1.1</x:v>
      </x:c>
      <x:c r="U639" s="28" t="n">
        <x:f>T639</x:f>
        <x:v>1.1</x:v>
      </x:c>
      <x:c r="V639" s="32" t="n">
        <x:f>IF(AND(ISNUMBER(S639),ISNUMBER(U639)),ABS(S639-U639),IF(S639=U639,0,1))</x:f>
        <x:v>0</x:v>
      </x:c>
      <x:c r="W639" s="30" t="str">
        <x:v>PASS</x:v>
      </x:c>
      <x:c r="X639" s="28" t="str">
        <x:f>IF(V639&lt;=1E-9,"PASS","FAIL")</x:f>
        <x:v>PASS</x:v>
      </x:c>
      <x:c r="Y639" t="str">
        <x:v>tr.39</x:v>
      </x:c>
      <x:c r="Z639" t="str"/>
    </x:row>
    <x:row r="640">
      <x:c r="A640" t="str">
        <x:v>G0637</x:v>
      </x:c>
      <x:c r="B640" t="str">
        <x:v>Bảng 6</x:v>
      </x:c>
      <x:c r="C640" t="str">
        <x:v>jet-grout-pdt:clay</x:v>
      </x:c>
      <x:c r="D640" t="str">
        <x:v>DISCRETE</x:v>
      </x:c>
      <x:c r="E640" t="str">
        <x:v>{"caseId":"jet-grout-pdt","soil":"clay"}</x:v>
      </x:c>
      <x:c r="F640" t="str">
        <x:v>EXACT</x:v>
      </x:c>
      <x:c r="G640"/>
      <x:c r="H640"/>
      <x:c r="I640"/>
      <x:c r="J640"/>
      <x:c r="K640"/>
      <x:c r="L640"/>
      <x:c r="M640" t="n">
        <x:v>1.1</x:v>
      </x:c>
      <x:c r="N640"/>
      <x:c r="O640"/>
      <x:c r="P640"/>
      <x:c r="Q640"/>
      <x:c r="R640"/>
      <x:c r="S640" t="n">
        <x:v>1.1</x:v>
      </x:c>
      <x:c r="T640" t="n">
        <x:v>1.1</x:v>
      </x:c>
      <x:c r="U640" s="28" t="n">
        <x:f>T640</x:f>
        <x:v>1.1</x:v>
      </x:c>
      <x:c r="V640" s="32" t="n">
        <x:f>IF(AND(ISNUMBER(S640),ISNUMBER(U640)),ABS(S640-U640),IF(S640=U640,0,1))</x:f>
        <x:v>0</x:v>
      </x:c>
      <x:c r="W640" s="30" t="str">
        <x:v>PASS</x:v>
      </x:c>
      <x:c r="X640" s="28" t="str">
        <x:f>IF(V640&lt;=1E-9,"PASS","FAIL")</x:f>
        <x:v>PASS</x:v>
      </x:c>
      <x:c r="Y640" t="str">
        <x:v>tr.39</x:v>
      </x:c>
      <x:c r="Z640" t="str"/>
    </x:row>
    <x:row r="641">
      <x:c r="A641" t="str">
        <x:v>G0638</x:v>
      </x:c>
      <x:c r="B641" t="str">
        <x:v>Bảng 6</x:v>
      </x:c>
      <x:c r="C641" t="str">
        <x:v>invalid-method</x:v>
      </x:c>
      <x:c r="D641" t="str">
        <x:v>OUTSIDE</x:v>
      </x:c>
      <x:c r="E641" t="str">
        <x:v>{}</x:v>
      </x:c>
      <x:c r="F641" t="str">
        <x:v>BLOCK</x:v>
      </x:c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 t="str">
        <x:v>BLOCK</x:v>
      </x:c>
      <x:c r="T641" t="str">
        <x:v>BLOCK</x:v>
      </x:c>
      <x:c r="U641" s="28" t="str">
        <x:f>"BLOCK"</x:f>
        <x:v>BLOCK</x:v>
      </x:c>
      <x:c r="V641" s="32" t="n">
        <x:f>IF(AND(ISNUMBER(S641),ISNUMBER(U641)),ABS(S641-U641),IF(S641=U641,0,1))</x:f>
        <x:v>0</x:v>
      </x:c>
      <x:c r="W641" s="30" t="str">
        <x:v>PASS</x:v>
      </x:c>
      <x:c r="X641" s="28" t="str">
        <x:f>IF(V641&lt;=1E-9,"PASS","FAIL")</x:f>
        <x:v>PASS</x:v>
      </x:c>
      <x:c r="Y641" t="str">
        <x:v>DISCRETE</x:v>
      </x:c>
      <x:c r="Z641" t="str">
        <x:v>Bảng 6: cần chọn đúng phương pháp thi công.</x:v>
      </x:c>
    </x:row>
    <x:row r="642">
      <x:c r="A642" t="str">
        <x:v>G0639</x:v>
      </x:c>
      <x:c r="B642" t="str">
        <x:v>Bảng 6</x:v>
      </x:c>
      <x:c r="C642" t="str">
        <x:v>invalid-soil</x:v>
      </x:c>
      <x:c r="D642" t="str">
        <x:v>OUTSIDE</x:v>
      </x:c>
      <x:c r="E642" t="str">
        <x:v>{}</x:v>
      </x:c>
      <x:c r="F642" t="str">
        <x:v>BLOCK</x:v>
      </x:c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 t="str">
        <x:v>BLOCK</x:v>
      </x:c>
      <x:c r="T642" t="str">
        <x:v>BLOCK</x:v>
      </x:c>
      <x:c r="U642" s="28" t="str">
        <x:f>"BLOCK"</x:f>
        <x:v>BLOCK</x:v>
      </x:c>
      <x:c r="V642" s="32" t="n">
        <x:f>IF(AND(ISNUMBER(S642),ISNUMBER(U642)),ABS(S642-U642),IF(S642=U642,0,1))</x:f>
        <x:v>0</x:v>
      </x:c>
      <x:c r="W642" s="30" t="str">
        <x:v>PASS</x:v>
      </x:c>
      <x:c r="X642" s="28" t="str">
        <x:f>IF(V642&lt;=1E-9,"PASS","FAIL")</x:f>
        <x:v>PASS</x:v>
      </x:c>
      <x:c r="Y642" t="str">
        <x:v>DISCRETE</x:v>
      </x:c>
      <x:c r="Z642" t="str">
        <x:v>Bảng 6: nhóm đất không hợp lệ.</x:v>
      </x:c>
    </x:row>
    <x:row r="643">
      <x:c r="A643" t="str">
        <x:v>G0640</x:v>
      </x:c>
      <x:c r="B643" t="str">
        <x:v>Bảng 7</x:v>
      </x:c>
      <x:c r="C643" t="str">
        <x:v>alpha1/2 exact phi</x:v>
      </x:c>
      <x:c r="D643" t="str">
        <x:v>EXACT</x:v>
      </x:c>
      <x:c r="E643" t="str">
        <x:v>{"phi":23,"hd":10,"d":0.8}</x:v>
      </x:c>
      <x:c r="F643" t="str">
        <x:v>EXACT</x:v>
      </x:c>
      <x:c r="G643"/>
      <x:c r="H643"/>
      <x:c r="I643"/>
      <x:c r="J643"/>
      <x:c r="K643"/>
      <x:c r="L643"/>
      <x:c r="M643" t="n">
        <x:v>9.5186</x:v>
      </x:c>
      <x:c r="N643"/>
      <x:c r="O643"/>
      <x:c r="P643"/>
      <x:c r="Q643"/>
      <x:c r="R643"/>
      <x:c r="S643" t="n">
        <x:v>9.5186</x:v>
      </x:c>
      <x:c r="T643" t="n">
        <x:v>9.5186</x:v>
      </x:c>
      <x:c r="U643" s="28" t="n">
        <x:f>T643</x:f>
        <x:v>9.5186</x:v>
      </x:c>
      <x:c r="V643" s="32" t="n">
        <x:f>IF(AND(ISNUMBER(S643),ISNUMBER(U643)),ABS(S643-U643),IF(S643=U643,0,1))</x:f>
        <x:v>0</x:v>
      </x:c>
      <x:c r="W643" s="30" t="str">
        <x:v>PASS</x:v>
      </x:c>
      <x:c r="X643" s="28" t="str">
        <x:f>IF(V643&lt;=1E-9,"PASS","FAIL")</x:f>
        <x:v>PASS</x:v>
      </x:c>
      <x:c r="Y643" t="str">
        <x:v>tr.41</x:v>
      </x:c>
      <x:c r="Z643" t="str"/>
    </x:row>
    <x:row r="644">
      <x:c r="A644" t="str">
        <x:v>G0641</x:v>
      </x:c>
      <x:c r="B644" t="str">
        <x:v>Bảng 7</x:v>
      </x:c>
      <x:c r="C644" t="str">
        <x:v>alpha1/2 exact phi</x:v>
      </x:c>
      <x:c r="D644" t="str">
        <x:v>EXACT</x:v>
      </x:c>
      <x:c r="E644" t="str">
        <x:v>{"phi":25,"hd":10,"d":0.8}</x:v>
      </x:c>
      <x:c r="F644" t="str">
        <x:v>EXACT</x:v>
      </x:c>
      <x:c r="G644"/>
      <x:c r="H644"/>
      <x:c r="I644"/>
      <x:c r="J644"/>
      <x:c r="K644"/>
      <x:c r="L644"/>
      <x:c r="M644" t="n">
        <x:v>12.6248</x:v>
      </x:c>
      <x:c r="N644"/>
      <x:c r="O644"/>
      <x:c r="P644"/>
      <x:c r="Q644"/>
      <x:c r="R644"/>
      <x:c r="S644" t="n">
        <x:v>12.6248</x:v>
      </x:c>
      <x:c r="T644" t="n">
        <x:v>12.6248</x:v>
      </x:c>
      <x:c r="U644" s="28" t="n">
        <x:f>T644</x:f>
        <x:v>12.6248</x:v>
      </x:c>
      <x:c r="V644" s="32" t="n">
        <x:f>IF(AND(ISNUMBER(S644),ISNUMBER(U644)),ABS(S644-U644),IF(S644=U644,0,1))</x:f>
        <x:v>0</x:v>
      </x:c>
      <x:c r="W644" s="30" t="str">
        <x:v>PASS</x:v>
      </x:c>
      <x:c r="X644" s="28" t="str">
        <x:f>IF(V644&lt;=1E-9,"PASS","FAIL")</x:f>
        <x:v>PASS</x:v>
      </x:c>
      <x:c r="Y644" t="str">
        <x:v>tr.41</x:v>
      </x:c>
      <x:c r="Z644" t="str"/>
    </x:row>
    <x:row r="645">
      <x:c r="A645" t="str">
        <x:v>G0642</x:v>
      </x:c>
      <x:c r="B645" t="str">
        <x:v>Bảng 7</x:v>
      </x:c>
      <x:c r="C645" t="str">
        <x:v>alpha1/2 exact phi</x:v>
      </x:c>
      <x:c r="D645" t="str">
        <x:v>EXACT</x:v>
      </x:c>
      <x:c r="E645" t="str">
        <x:v>{"phi":27,"hd":10,"d":0.8}</x:v>
      </x:c>
      <x:c r="F645" t="str">
        <x:v>EXACT</x:v>
      </x:c>
      <x:c r="G645"/>
      <x:c r="H645"/>
      <x:c r="I645"/>
      <x:c r="J645"/>
      <x:c r="K645"/>
      <x:c r="L645"/>
      <x:c r="M645" t="n">
        <x:v>17.332800000000002</x:v>
      </x:c>
      <x:c r="N645"/>
      <x:c r="O645"/>
      <x:c r="P645"/>
      <x:c r="Q645"/>
      <x:c r="R645"/>
      <x:c r="S645" t="n">
        <x:v>17.332800000000002</x:v>
      </x:c>
      <x:c r="T645" t="n">
        <x:v>17.332800000000002</x:v>
      </x:c>
      <x:c r="U645" s="28" t="n">
        <x:f>T645</x:f>
        <x:v>17.332800000000002</x:v>
      </x:c>
      <x:c r="V645" s="32" t="n">
        <x:f>IF(AND(ISNUMBER(S645),ISNUMBER(U645)),ABS(S645-U645),IF(S645=U645,0,1))</x:f>
        <x:v>0</x:v>
      </x:c>
      <x:c r="W645" s="30" t="str">
        <x:v>PASS</x:v>
      </x:c>
      <x:c r="X645" s="28" t="str">
        <x:f>IF(V645&lt;=1E-9,"PASS","FAIL")</x:f>
        <x:v>PASS</x:v>
      </x:c>
      <x:c r="Y645" t="str">
        <x:v>tr.41</x:v>
      </x:c>
      <x:c r="Z645" t="str"/>
    </x:row>
    <x:row r="646">
      <x:c r="A646" t="str">
        <x:v>G0643</x:v>
      </x:c>
      <x:c r="B646" t="str">
        <x:v>Bảng 7</x:v>
      </x:c>
      <x:c r="C646" t="str">
        <x:v>alpha1/2 exact phi</x:v>
      </x:c>
      <x:c r="D646" t="str">
        <x:v>EXACT</x:v>
      </x:c>
      <x:c r="E646" t="str">
        <x:v>{"phi":29,"hd":10,"d":0.8}</x:v>
      </x:c>
      <x:c r="F646" t="str">
        <x:v>EXACT</x:v>
      </x:c>
      <x:c r="G646"/>
      <x:c r="H646"/>
      <x:c r="I646"/>
      <x:c r="J646"/>
      <x:c r="K646"/>
      <x:c r="L646"/>
      <x:c r="M646" t="n">
        <x:v>24.4455</x:v>
      </x:c>
      <x:c r="N646"/>
      <x:c r="O646"/>
      <x:c r="P646"/>
      <x:c r="Q646"/>
      <x:c r="R646"/>
      <x:c r="S646" t="n">
        <x:v>24.4455</x:v>
      </x:c>
      <x:c r="T646" t="n">
        <x:v>24.4455</x:v>
      </x:c>
      <x:c r="U646" s="28" t="n">
        <x:f>T646</x:f>
        <x:v>24.4455</x:v>
      </x:c>
      <x:c r="V646" s="32" t="n">
        <x:f>IF(AND(ISNUMBER(S646),ISNUMBER(U646)),ABS(S646-U646),IF(S646=U646,0,1))</x:f>
        <x:v>0</x:v>
      </x:c>
      <x:c r="W646" s="30" t="str">
        <x:v>PASS</x:v>
      </x:c>
      <x:c r="X646" s="28" t="str">
        <x:f>IF(V646&lt;=1E-9,"PASS","FAIL")</x:f>
        <x:v>PASS</x:v>
      </x:c>
      <x:c r="Y646" t="str">
        <x:v>tr.41</x:v>
      </x:c>
      <x:c r="Z646" t="str"/>
    </x:row>
    <x:row r="647">
      <x:c r="A647" t="str">
        <x:v>G0644</x:v>
      </x:c>
      <x:c r="B647" t="str">
        <x:v>Bảng 7</x:v>
      </x:c>
      <x:c r="C647" t="str">
        <x:v>alpha1/2 exact phi</x:v>
      </x:c>
      <x:c r="D647" t="str">
        <x:v>EXACT</x:v>
      </x:c>
      <x:c r="E647" t="str">
        <x:v>{"phi":31,"hd":10,"d":0.8}</x:v>
      </x:c>
      <x:c r="F647" t="str">
        <x:v>EXACT</x:v>
      </x:c>
      <x:c r="G647"/>
      <x:c r="H647"/>
      <x:c r="I647"/>
      <x:c r="J647"/>
      <x:c r="K647"/>
      <x:c r="L647"/>
      <x:c r="M647" t="n">
        <x:v>34.664</x:v>
      </x:c>
      <x:c r="N647"/>
      <x:c r="O647"/>
      <x:c r="P647"/>
      <x:c r="Q647"/>
      <x:c r="R647"/>
      <x:c r="S647" t="n">
        <x:v>34.664</x:v>
      </x:c>
      <x:c r="T647" t="n">
        <x:v>34.664</x:v>
      </x:c>
      <x:c r="U647" s="28" t="n">
        <x:f>T647</x:f>
        <x:v>34.664</x:v>
      </x:c>
      <x:c r="V647" s="32" t="n">
        <x:f>IF(AND(ISNUMBER(S647),ISNUMBER(U647)),ABS(S647-U647),IF(S647=U647,0,1))</x:f>
        <x:v>0</x:v>
      </x:c>
      <x:c r="W647" s="30" t="str">
        <x:v>PASS</x:v>
      </x:c>
      <x:c r="X647" s="28" t="str">
        <x:f>IF(V647&lt;=1E-9,"PASS","FAIL")</x:f>
        <x:v>PASS</x:v>
      </x:c>
      <x:c r="Y647" t="str">
        <x:v>tr.41</x:v>
      </x:c>
      <x:c r="Z647" t="str"/>
    </x:row>
    <x:row r="648">
      <x:c r="A648" t="str">
        <x:v>G0645</x:v>
      </x:c>
      <x:c r="B648" t="str">
        <x:v>Bảng 7</x:v>
      </x:c>
      <x:c r="C648" t="str">
        <x:v>alpha1/2 exact phi</x:v>
      </x:c>
      <x:c r="D648" t="str">
        <x:v>EXACT</x:v>
      </x:c>
      <x:c r="E648" t="str">
        <x:v>{"phi":33,"hd":10,"d":0.8}</x:v>
      </x:c>
      <x:c r="F648" t="str">
        <x:v>EXACT</x:v>
      </x:c>
      <x:c r="G648"/>
      <x:c r="H648"/>
      <x:c r="I648"/>
      <x:c r="J648"/>
      <x:c r="K648"/>
      <x:c r="L648"/>
      <x:c r="M648" t="n">
        <x:v>48.6876</x:v>
      </x:c>
      <x:c r="N648"/>
      <x:c r="O648"/>
      <x:c r="P648"/>
      <x:c r="Q648"/>
      <x:c r="R648"/>
      <x:c r="S648" t="n">
        <x:v>48.6876</x:v>
      </x:c>
      <x:c r="T648" t="n">
        <x:v>48.6876</x:v>
      </x:c>
      <x:c r="U648" s="28" t="n">
        <x:f>T648</x:f>
        <x:v>48.6876</x:v>
      </x:c>
      <x:c r="V648" s="32" t="n">
        <x:f>IF(AND(ISNUMBER(S648),ISNUMBER(U648)),ABS(S648-U648),IF(S648=U648,0,1))</x:f>
        <x:v>0</x:v>
      </x:c>
      <x:c r="W648" s="30" t="str">
        <x:v>PASS</x:v>
      </x:c>
      <x:c r="X648" s="28" t="str">
        <x:f>IF(V648&lt;=1E-9,"PASS","FAIL")</x:f>
        <x:v>PASS</x:v>
      </x:c>
      <x:c r="Y648" t="str">
        <x:v>tr.41</x:v>
      </x:c>
      <x:c r="Z648" t="str"/>
    </x:row>
    <x:row r="649">
      <x:c r="A649" t="str">
        <x:v>G0646</x:v>
      </x:c>
      <x:c r="B649" t="str">
        <x:v>Bảng 7</x:v>
      </x:c>
      <x:c r="C649" t="str">
        <x:v>alpha1/2 exact phi</x:v>
      </x:c>
      <x:c r="D649" t="str">
        <x:v>EXACT</x:v>
      </x:c>
      <x:c r="E649" t="str">
        <x:v>{"phi":35,"hd":10,"d":0.8}</x:v>
      </x:c>
      <x:c r="F649" t="str">
        <x:v>EXACT</x:v>
      </x:c>
      <x:c r="G649"/>
      <x:c r="H649"/>
      <x:c r="I649"/>
      <x:c r="J649"/>
      <x:c r="K649"/>
      <x:c r="L649"/>
      <x:c r="M649" t="n">
        <x:v>71.42699999999999</x:v>
      </x:c>
      <x:c r="N649"/>
      <x:c r="O649"/>
      <x:c r="P649"/>
      <x:c r="Q649"/>
      <x:c r="R649"/>
      <x:c r="S649" t="n">
        <x:v>71.42699999999999</x:v>
      </x:c>
      <x:c r="T649" t="n">
        <x:v>71.42699999999999</x:v>
      </x:c>
      <x:c r="U649" s="28" t="n">
        <x:f>T649</x:f>
        <x:v>71.42699999999999</x:v>
      </x:c>
      <x:c r="V649" s="32" t="n">
        <x:f>IF(AND(ISNUMBER(S649),ISNUMBER(U649)),ABS(S649-U649),IF(S649=U649,0,1))</x:f>
        <x:v>0</x:v>
      </x:c>
      <x:c r="W649" s="30" t="str">
        <x:v>PASS</x:v>
      </x:c>
      <x:c r="X649" s="28" t="str">
        <x:f>IF(V649&lt;=1E-9,"PASS","FAIL")</x:f>
        <x:v>PASS</x:v>
      </x:c>
      <x:c r="Y649" t="str">
        <x:v>tr.41</x:v>
      </x:c>
      <x:c r="Z649" t="str"/>
    </x:row>
    <x:row r="650">
      <x:c r="A650" t="str">
        <x:v>G0647</x:v>
      </x:c>
      <x:c r="B650" t="str">
        <x:v>Bảng 7</x:v>
      </x:c>
      <x:c r="C650" t="str">
        <x:v>alpha1/2 exact phi</x:v>
      </x:c>
      <x:c r="D650" t="str">
        <x:v>EXACT</x:v>
      </x:c>
      <x:c r="E650" t="str">
        <x:v>{"phi":37,"hd":10,"d":0.8}</x:v>
      </x:c>
      <x:c r="F650" t="str">
        <x:v>EXACT</x:v>
      </x:c>
      <x:c r="G650"/>
      <x:c r="H650"/>
      <x:c r="I650"/>
      <x:c r="J650"/>
      <x:c r="K650"/>
      <x:c r="L650"/>
      <x:c r="M650" t="n">
        <x:v>108.185</x:v>
      </x:c>
      <x:c r="N650"/>
      <x:c r="O650"/>
      <x:c r="P650"/>
      <x:c r="Q650"/>
      <x:c r="R650"/>
      <x:c r="S650" t="n">
        <x:v>108.185</x:v>
      </x:c>
      <x:c r="T650" t="n">
        <x:v>108.185</x:v>
      </x:c>
      <x:c r="U650" s="28" t="n">
        <x:f>T650</x:f>
        <x:v>108.185</x:v>
      </x:c>
      <x:c r="V650" s="32" t="n">
        <x:f>IF(AND(ISNUMBER(S650),ISNUMBER(U650)),ABS(S650-U650),IF(S650=U650,0,1))</x:f>
        <x:v>0</x:v>
      </x:c>
      <x:c r="W650" s="30" t="str">
        <x:v>PASS</x:v>
      </x:c>
      <x:c r="X650" s="28" t="str">
        <x:f>IF(V650&lt;=1E-9,"PASS","FAIL")</x:f>
        <x:v>PASS</x:v>
      </x:c>
      <x:c r="Y650" t="str">
        <x:v>tr.41</x:v>
      </x:c>
      <x:c r="Z650" t="str"/>
    </x:row>
    <x:row r="651">
      <x:c r="A651" t="str">
        <x:v>G0648</x:v>
      </x:c>
      <x:c r="B651" t="str">
        <x:v>Bảng 7</x:v>
      </x:c>
      <x:c r="C651" t="str">
        <x:v>alpha1/2 exact phi</x:v>
      </x:c>
      <x:c r="D651" t="str">
        <x:v>EXACT</x:v>
      </x:c>
      <x:c r="E651" t="str">
        <x:v>{"phi":39,"hd":10,"d":0.8}</x:v>
      </x:c>
      <x:c r="F651" t="str">
        <x:v>EXACT</x:v>
      </x:c>
      <x:c r="G651"/>
      <x:c r="H651"/>
      <x:c r="I651"/>
      <x:c r="J651"/>
      <x:c r="K651"/>
      <x:c r="L651"/>
      <x:c r="M651" t="n">
        <x:v>163.26</x:v>
      </x:c>
      <x:c r="N651"/>
      <x:c r="O651"/>
      <x:c r="P651"/>
      <x:c r="Q651"/>
      <x:c r="R651"/>
      <x:c r="S651" t="n">
        <x:v>163.26</x:v>
      </x:c>
      <x:c r="T651" t="n">
        <x:v>163.26</x:v>
      </x:c>
      <x:c r="U651" s="28" t="n">
        <x:f>T651</x:f>
        <x:v>163.26</x:v>
      </x:c>
      <x:c r="V651" s="32" t="n">
        <x:f>IF(AND(ISNUMBER(S651),ISNUMBER(U651)),ABS(S651-U651),IF(S651=U651,0,1))</x:f>
        <x:v>0</x:v>
      </x:c>
      <x:c r="W651" s="30" t="str">
        <x:v>PASS</x:v>
      </x:c>
      <x:c r="X651" s="28" t="str">
        <x:f>IF(V651&lt;=1E-9,"PASS","FAIL")</x:f>
        <x:v>PASS</x:v>
      </x:c>
      <x:c r="Y651" t="str">
        <x:v>tr.41</x:v>
      </x:c>
      <x:c r="Z651" t="str"/>
    </x:row>
    <x:row r="652">
      <x:c r="A652" t="str">
        <x:v>G0649</x:v>
      </x:c>
      <x:c r="B652" t="str">
        <x:v>Bảng 7</x:v>
      </x:c>
      <x:c r="C652" t="str">
        <x:v>alpha3 exact grid</x:v>
      </x:c>
      <x:c r="D652" t="str">
        <x:v>EXACT</x:v>
      </x:c>
      <x:c r="E652" t="str">
        <x:v>{"phi":23,"hd":4,"d":0.8}</x:v>
      </x:c>
      <x:c r="F652" t="str">
        <x:v>EXACT</x:v>
      </x:c>
      <x:c r="G652"/>
      <x:c r="H652"/>
      <x:c r="I652"/>
      <x:c r="J652"/>
      <x:c r="K652"/>
      <x:c r="L652"/>
      <x:c r="M652" t="n">
        <x:v>0.78</x:v>
      </x:c>
      <x:c r="N652"/>
      <x:c r="O652"/>
      <x:c r="P652"/>
      <x:c r="Q652"/>
      <x:c r="R652"/>
      <x:c r="S652" t="n">
        <x:v>0.78</x:v>
      </x:c>
      <x:c r="T652" t="n">
        <x:v>0.78</x:v>
      </x:c>
      <x:c r="U652" s="28" t="n">
        <x:f>T652</x:f>
        <x:v>0.78</x:v>
      </x:c>
      <x:c r="V652" s="32" t="n">
        <x:f>IF(AND(ISNUMBER(S652),ISNUMBER(U652)),ABS(S652-U652),IF(S652=U652,0,1))</x:f>
        <x:v>0</x:v>
      </x:c>
      <x:c r="W652" s="30" t="str">
        <x:v>PASS</x:v>
      </x:c>
      <x:c r="X652" s="28" t="str">
        <x:f>IF(V652&lt;=1E-9,"PASS","FAIL")</x:f>
        <x:v>PASS</x:v>
      </x:c>
      <x:c r="Y652" t="str">
        <x:v>tr.41</x:v>
      </x:c>
      <x:c r="Z652" t="str"/>
    </x:row>
    <x:row r="653">
      <x:c r="A653" t="str">
        <x:v>G0650</x:v>
      </x:c>
      <x:c r="B653" t="str">
        <x:v>Bảng 7</x:v>
      </x:c>
      <x:c r="C653" t="str">
        <x:v>alpha3 exact grid</x:v>
      </x:c>
      <x:c r="D653" t="str">
        <x:v>EXACT</x:v>
      </x:c>
      <x:c r="E653" t="str">
        <x:v>{"phi":25,"hd":4,"d":0.8}</x:v>
      </x:c>
      <x:c r="F653" t="str">
        <x:v>EXACT</x:v>
      </x:c>
      <x:c r="G653"/>
      <x:c r="H653"/>
      <x:c r="I653"/>
      <x:c r="J653"/>
      <x:c r="K653"/>
      <x:c r="L653"/>
      <x:c r="M653" t="n">
        <x:v>0.79</x:v>
      </x:c>
      <x:c r="N653"/>
      <x:c r="O653"/>
      <x:c r="P653"/>
      <x:c r="Q653"/>
      <x:c r="R653"/>
      <x:c r="S653" t="n">
        <x:v>0.79</x:v>
      </x:c>
      <x:c r="T653" t="n">
        <x:v>0.79</x:v>
      </x:c>
      <x:c r="U653" s="28" t="n">
        <x:f>T653</x:f>
        <x:v>0.79</x:v>
      </x:c>
      <x:c r="V653" s="32" t="n">
        <x:f>IF(AND(ISNUMBER(S653),ISNUMBER(U653)),ABS(S653-U653),IF(S653=U653,0,1))</x:f>
        <x:v>0</x:v>
      </x:c>
      <x:c r="W653" s="30" t="str">
        <x:v>PASS</x:v>
      </x:c>
      <x:c r="X653" s="28" t="str">
        <x:f>IF(V653&lt;=1E-9,"PASS","FAIL")</x:f>
        <x:v>PASS</x:v>
      </x:c>
      <x:c r="Y653" t="str">
        <x:v>tr.41</x:v>
      </x:c>
      <x:c r="Z653" t="str"/>
    </x:row>
    <x:row r="654">
      <x:c r="A654" t="str">
        <x:v>G0651</x:v>
      </x:c>
      <x:c r="B654" t="str">
        <x:v>Bảng 7</x:v>
      </x:c>
      <x:c r="C654" t="str">
        <x:v>alpha3 exact grid</x:v>
      </x:c>
      <x:c r="D654" t="str">
        <x:v>EXACT</x:v>
      </x:c>
      <x:c r="E654" t="str">
        <x:v>{"phi":27,"hd":4,"d":0.8}</x:v>
      </x:c>
      <x:c r="F654" t="str">
        <x:v>EXACT</x:v>
      </x:c>
      <x:c r="G654"/>
      <x:c r="H654"/>
      <x:c r="I654"/>
      <x:c r="J654"/>
      <x:c r="K654"/>
      <x:c r="L654"/>
      <x:c r="M654" t="n">
        <x:v>0.8</x:v>
      </x:c>
      <x:c r="N654"/>
      <x:c r="O654"/>
      <x:c r="P654"/>
      <x:c r="Q654"/>
      <x:c r="R654"/>
      <x:c r="S654" t="n">
        <x:v>0.8</x:v>
      </x:c>
      <x:c r="T654" t="n">
        <x:v>0.8</x:v>
      </x:c>
      <x:c r="U654" s="28" t="n">
        <x:f>T654</x:f>
        <x:v>0.8</x:v>
      </x:c>
      <x:c r="V654" s="32" t="n">
        <x:f>IF(AND(ISNUMBER(S654),ISNUMBER(U654)),ABS(S654-U654),IF(S654=U654,0,1))</x:f>
        <x:v>0</x:v>
      </x:c>
      <x:c r="W654" s="30" t="str">
        <x:v>PASS</x:v>
      </x:c>
      <x:c r="X654" s="28" t="str">
        <x:f>IF(V654&lt;=1E-9,"PASS","FAIL")</x:f>
        <x:v>PASS</x:v>
      </x:c>
      <x:c r="Y654" t="str">
        <x:v>tr.41</x:v>
      </x:c>
      <x:c r="Z654" t="str"/>
    </x:row>
    <x:row r="655">
      <x:c r="A655" t="str">
        <x:v>G0652</x:v>
      </x:c>
      <x:c r="B655" t="str">
        <x:v>Bảng 7</x:v>
      </x:c>
      <x:c r="C655" t="str">
        <x:v>alpha3 exact grid</x:v>
      </x:c>
      <x:c r="D655" t="str">
        <x:v>EXACT</x:v>
      </x:c>
      <x:c r="E655" t="str">
        <x:v>{"phi":29,"hd":4,"d":0.8}</x:v>
      </x:c>
      <x:c r="F655" t="str">
        <x:v>EXACT</x:v>
      </x:c>
      <x:c r="G655"/>
      <x:c r="H655"/>
      <x:c r="I655"/>
      <x:c r="J655"/>
      <x:c r="K655"/>
      <x:c r="L655"/>
      <x:c r="M655" t="n">
        <x:v>0.82</x:v>
      </x:c>
      <x:c r="N655"/>
      <x:c r="O655"/>
      <x:c r="P655"/>
      <x:c r="Q655"/>
      <x:c r="R655"/>
      <x:c r="S655" t="n">
        <x:v>0.82</x:v>
      </x:c>
      <x:c r="T655" t="n">
        <x:v>0.82</x:v>
      </x:c>
      <x:c r="U655" s="28" t="n">
        <x:f>T655</x:f>
        <x:v>0.82</x:v>
      </x:c>
      <x:c r="V655" s="32" t="n">
        <x:f>IF(AND(ISNUMBER(S655),ISNUMBER(U655)),ABS(S655-U655),IF(S655=U655,0,1))</x:f>
        <x:v>0</x:v>
      </x:c>
      <x:c r="W655" s="30" t="str">
        <x:v>PASS</x:v>
      </x:c>
      <x:c r="X655" s="28" t="str">
        <x:f>IF(V655&lt;=1E-9,"PASS","FAIL")</x:f>
        <x:v>PASS</x:v>
      </x:c>
      <x:c r="Y655" t="str">
        <x:v>tr.41</x:v>
      </x:c>
      <x:c r="Z655" t="str"/>
    </x:row>
    <x:row r="656">
      <x:c r="A656" t="str">
        <x:v>G0653</x:v>
      </x:c>
      <x:c r="B656" t="str">
        <x:v>Bảng 7</x:v>
      </x:c>
      <x:c r="C656" t="str">
        <x:v>alpha3 exact grid</x:v>
      </x:c>
      <x:c r="D656" t="str">
        <x:v>EXACT</x:v>
      </x:c>
      <x:c r="E656" t="str">
        <x:v>{"phi":31,"hd":4,"d":0.8}</x:v>
      </x:c>
      <x:c r="F656" t="str">
        <x:v>EXACT</x:v>
      </x:c>
      <x:c r="G656"/>
      <x:c r="H656"/>
      <x:c r="I656"/>
      <x:c r="J656"/>
      <x:c r="K656"/>
      <x:c r="L656"/>
      <x:c r="M656" t="n">
        <x:v>0.84</x:v>
      </x:c>
      <x:c r="N656"/>
      <x:c r="O656"/>
      <x:c r="P656"/>
      <x:c r="Q656"/>
      <x:c r="R656"/>
      <x:c r="S656" t="n">
        <x:v>0.84</x:v>
      </x:c>
      <x:c r="T656" t="n">
        <x:v>0.84</x:v>
      </x:c>
      <x:c r="U656" s="28" t="n">
        <x:f>T656</x:f>
        <x:v>0.84</x:v>
      </x:c>
      <x:c r="V656" s="32" t="n">
        <x:f>IF(AND(ISNUMBER(S656),ISNUMBER(U656)),ABS(S656-U656),IF(S656=U656,0,1))</x:f>
        <x:v>0</x:v>
      </x:c>
      <x:c r="W656" s="30" t="str">
        <x:v>PASS</x:v>
      </x:c>
      <x:c r="X656" s="28" t="str">
        <x:f>IF(V656&lt;=1E-9,"PASS","FAIL")</x:f>
        <x:v>PASS</x:v>
      </x:c>
      <x:c r="Y656" t="str">
        <x:v>tr.41</x:v>
      </x:c>
      <x:c r="Z656" t="str"/>
    </x:row>
    <x:row r="657">
      <x:c r="A657" t="str">
        <x:v>G0654</x:v>
      </x:c>
      <x:c r="B657" t="str">
        <x:v>Bảng 7</x:v>
      </x:c>
      <x:c r="C657" t="str">
        <x:v>alpha3 exact grid</x:v>
      </x:c>
      <x:c r="D657" t="str">
        <x:v>EXACT</x:v>
      </x:c>
      <x:c r="E657" t="str">
        <x:v>{"phi":33,"hd":4,"d":0.8}</x:v>
      </x:c>
      <x:c r="F657" t="str">
        <x:v>EXACT</x:v>
      </x:c>
      <x:c r="G657"/>
      <x:c r="H657"/>
      <x:c r="I657"/>
      <x:c r="J657"/>
      <x:c r="K657"/>
      <x:c r="L657"/>
      <x:c r="M657" t="n">
        <x:v>0.85</x:v>
      </x:c>
      <x:c r="N657"/>
      <x:c r="O657"/>
      <x:c r="P657"/>
      <x:c r="Q657"/>
      <x:c r="R657"/>
      <x:c r="S657" t="n">
        <x:v>0.85</x:v>
      </x:c>
      <x:c r="T657" t="n">
        <x:v>0.85</x:v>
      </x:c>
      <x:c r="U657" s="28" t="n">
        <x:f>T657</x:f>
        <x:v>0.85</x:v>
      </x:c>
      <x:c r="V657" s="32" t="n">
        <x:f>IF(AND(ISNUMBER(S657),ISNUMBER(U657)),ABS(S657-U657),IF(S657=U657,0,1))</x:f>
        <x:v>0</x:v>
      </x:c>
      <x:c r="W657" s="30" t="str">
        <x:v>PASS</x:v>
      </x:c>
      <x:c r="X657" s="28" t="str">
        <x:f>IF(V657&lt;=1E-9,"PASS","FAIL")</x:f>
        <x:v>PASS</x:v>
      </x:c>
      <x:c r="Y657" t="str">
        <x:v>tr.41</x:v>
      </x:c>
      <x:c r="Z657" t="str"/>
    </x:row>
    <x:row r="658">
      <x:c r="A658" t="str">
        <x:v>G0655</x:v>
      </x:c>
      <x:c r="B658" t="str">
        <x:v>Bảng 7</x:v>
      </x:c>
      <x:c r="C658" t="str">
        <x:v>alpha3 exact grid</x:v>
      </x:c>
      <x:c r="D658" t="str">
        <x:v>EXACT</x:v>
      </x:c>
      <x:c r="E658" t="str">
        <x:v>{"phi":35,"hd":4,"d":0.8}</x:v>
      </x:c>
      <x:c r="F658" t="str">
        <x:v>EXACT</x:v>
      </x:c>
      <x:c r="G658"/>
      <x:c r="H658"/>
      <x:c r="I658"/>
      <x:c r="J658"/>
      <x:c r="K658"/>
      <x:c r="L658"/>
      <x:c r="M658" t="n">
        <x:v>0.85</x:v>
      </x:c>
      <x:c r="N658"/>
      <x:c r="O658"/>
      <x:c r="P658"/>
      <x:c r="Q658"/>
      <x:c r="R658"/>
      <x:c r="S658" t="n">
        <x:v>0.85</x:v>
      </x:c>
      <x:c r="T658" t="n">
        <x:v>0.85</x:v>
      </x:c>
      <x:c r="U658" s="28" t="n">
        <x:f>T658</x:f>
        <x:v>0.85</x:v>
      </x:c>
      <x:c r="V658" s="32" t="n">
        <x:f>IF(AND(ISNUMBER(S658),ISNUMBER(U658)),ABS(S658-U658),IF(S658=U658,0,1))</x:f>
        <x:v>0</x:v>
      </x:c>
      <x:c r="W658" s="30" t="str">
        <x:v>PASS</x:v>
      </x:c>
      <x:c r="X658" s="28" t="str">
        <x:f>IF(V658&lt;=1E-9,"PASS","FAIL")</x:f>
        <x:v>PASS</x:v>
      </x:c>
      <x:c r="Y658" t="str">
        <x:v>tr.41</x:v>
      </x:c>
      <x:c r="Z658" t="str"/>
    </x:row>
    <x:row r="659">
      <x:c r="A659" t="str">
        <x:v>G0656</x:v>
      </x:c>
      <x:c r="B659" t="str">
        <x:v>Bảng 7</x:v>
      </x:c>
      <x:c r="C659" t="str">
        <x:v>alpha3 exact grid</x:v>
      </x:c>
      <x:c r="D659" t="str">
        <x:v>EXACT</x:v>
      </x:c>
      <x:c r="E659" t="str">
        <x:v>{"phi":37,"hd":4,"d":0.8}</x:v>
      </x:c>
      <x:c r="F659" t="str">
        <x:v>EXACT</x:v>
      </x:c>
      <x:c r="G659"/>
      <x:c r="H659"/>
      <x:c r="I659"/>
      <x:c r="J659"/>
      <x:c r="K659"/>
      <x:c r="L659"/>
      <x:c r="M659" t="n">
        <x:v>0.85</x:v>
      </x:c>
      <x:c r="N659"/>
      <x:c r="O659"/>
      <x:c r="P659"/>
      <x:c r="Q659"/>
      <x:c r="R659"/>
      <x:c r="S659" t="n">
        <x:v>0.85</x:v>
      </x:c>
      <x:c r="T659" t="n">
        <x:v>0.85</x:v>
      </x:c>
      <x:c r="U659" s="28" t="n">
        <x:f>T659</x:f>
        <x:v>0.85</x:v>
      </x:c>
      <x:c r="V659" s="32" t="n">
        <x:f>IF(AND(ISNUMBER(S659),ISNUMBER(U659)),ABS(S659-U659),IF(S659=U659,0,1))</x:f>
        <x:v>0</x:v>
      </x:c>
      <x:c r="W659" s="30" t="str">
        <x:v>PASS</x:v>
      </x:c>
      <x:c r="X659" s="28" t="str">
        <x:f>IF(V659&lt;=1E-9,"PASS","FAIL")</x:f>
        <x:v>PASS</x:v>
      </x:c>
      <x:c r="Y659" t="str">
        <x:v>tr.41</x:v>
      </x:c>
      <x:c r="Z659" t="str"/>
    </x:row>
    <x:row r="660">
      <x:c r="A660" t="str">
        <x:v>G0657</x:v>
      </x:c>
      <x:c r="B660" t="str">
        <x:v>Bảng 7</x:v>
      </x:c>
      <x:c r="C660" t="str">
        <x:v>alpha3 exact grid</x:v>
      </x:c>
      <x:c r="D660" t="str">
        <x:v>EXACT</x:v>
      </x:c>
      <x:c r="E660" t="str">
        <x:v>{"phi":39,"hd":4,"d":0.8}</x:v>
      </x:c>
      <x:c r="F660" t="str">
        <x:v>EXACT</x:v>
      </x:c>
      <x:c r="G660"/>
      <x:c r="H660"/>
      <x:c r="I660"/>
      <x:c r="J660"/>
      <x:c r="K660"/>
      <x:c r="L660"/>
      <x:c r="M660" t="n">
        <x:v>0.87</x:v>
      </x:c>
      <x:c r="N660"/>
      <x:c r="O660"/>
      <x:c r="P660"/>
      <x:c r="Q660"/>
      <x:c r="R660"/>
      <x:c r="S660" t="n">
        <x:v>0.87</x:v>
      </x:c>
      <x:c r="T660" t="n">
        <x:v>0.87</x:v>
      </x:c>
      <x:c r="U660" s="28" t="n">
        <x:f>T660</x:f>
        <x:v>0.87</x:v>
      </x:c>
      <x:c r="V660" s="32" t="n">
        <x:f>IF(AND(ISNUMBER(S660),ISNUMBER(U660)),ABS(S660-U660),IF(S660=U660,0,1))</x:f>
        <x:v>0</x:v>
      </x:c>
      <x:c r="W660" s="30" t="str">
        <x:v>PASS</x:v>
      </x:c>
      <x:c r="X660" s="28" t="str">
        <x:f>IF(V660&lt;=1E-9,"PASS","FAIL")</x:f>
        <x:v>PASS</x:v>
      </x:c>
      <x:c r="Y660" t="str">
        <x:v>tr.41</x:v>
      </x:c>
      <x:c r="Z660" t="str"/>
    </x:row>
    <x:row r="661">
      <x:c r="A661" t="str">
        <x:v>G0658</x:v>
      </x:c>
      <x:c r="B661" t="str">
        <x:v>Bảng 7</x:v>
      </x:c>
      <x:c r="C661" t="str">
        <x:v>alpha3 exact grid</x:v>
      </x:c>
      <x:c r="D661" t="str">
        <x:v>EXACT</x:v>
      </x:c>
      <x:c r="E661" t="str">
        <x:v>{"phi":23,"hd":5,"d":0.8}</x:v>
      </x:c>
      <x:c r="F661" t="str">
        <x:v>EXACT</x:v>
      </x:c>
      <x:c r="G661"/>
      <x:c r="H661"/>
      <x:c r="I661"/>
      <x:c r="J661"/>
      <x:c r="K661"/>
      <x:c r="L661"/>
      <x:c r="M661" t="n">
        <x:v>0.75</x:v>
      </x:c>
      <x:c r="N661"/>
      <x:c r="O661"/>
      <x:c r="P661"/>
      <x:c r="Q661"/>
      <x:c r="R661"/>
      <x:c r="S661" t="n">
        <x:v>0.75</x:v>
      </x:c>
      <x:c r="T661" t="n">
        <x:v>0.75</x:v>
      </x:c>
      <x:c r="U661" s="28" t="n">
        <x:f>T661</x:f>
        <x:v>0.75</x:v>
      </x:c>
      <x:c r="V661" s="32" t="n">
        <x:f>IF(AND(ISNUMBER(S661),ISNUMBER(U661)),ABS(S661-U661),IF(S661=U661,0,1))</x:f>
        <x:v>0</x:v>
      </x:c>
      <x:c r="W661" s="30" t="str">
        <x:v>PASS</x:v>
      </x:c>
      <x:c r="X661" s="28" t="str">
        <x:f>IF(V661&lt;=1E-9,"PASS","FAIL")</x:f>
        <x:v>PASS</x:v>
      </x:c>
      <x:c r="Y661" t="str">
        <x:v>tr.41</x:v>
      </x:c>
      <x:c r="Z661" t="str"/>
    </x:row>
    <x:row r="662">
      <x:c r="A662" t="str">
        <x:v>G0659</x:v>
      </x:c>
      <x:c r="B662" t="str">
        <x:v>Bảng 7</x:v>
      </x:c>
      <x:c r="C662" t="str">
        <x:v>alpha3 exact grid</x:v>
      </x:c>
      <x:c r="D662" t="str">
        <x:v>EXACT</x:v>
      </x:c>
      <x:c r="E662" t="str">
        <x:v>{"phi":25,"hd":5,"d":0.8}</x:v>
      </x:c>
      <x:c r="F662" t="str">
        <x:v>EXACT</x:v>
      </x:c>
      <x:c r="G662"/>
      <x:c r="H662"/>
      <x:c r="I662"/>
      <x:c r="J662"/>
      <x:c r="K662"/>
      <x:c r="L662"/>
      <x:c r="M662" t="n">
        <x:v>0.76</x:v>
      </x:c>
      <x:c r="N662"/>
      <x:c r="O662"/>
      <x:c r="P662"/>
      <x:c r="Q662"/>
      <x:c r="R662"/>
      <x:c r="S662" t="n">
        <x:v>0.76</x:v>
      </x:c>
      <x:c r="T662" t="n">
        <x:v>0.76</x:v>
      </x:c>
      <x:c r="U662" s="28" t="n">
        <x:f>T662</x:f>
        <x:v>0.76</x:v>
      </x:c>
      <x:c r="V662" s="32" t="n">
        <x:f>IF(AND(ISNUMBER(S662),ISNUMBER(U662)),ABS(S662-U662),IF(S662=U662,0,1))</x:f>
        <x:v>0</x:v>
      </x:c>
      <x:c r="W662" s="30" t="str">
        <x:v>PASS</x:v>
      </x:c>
      <x:c r="X662" s="28" t="str">
        <x:f>IF(V662&lt;=1E-9,"PASS","FAIL")</x:f>
        <x:v>PASS</x:v>
      </x:c>
      <x:c r="Y662" t="str">
        <x:v>tr.41</x:v>
      </x:c>
      <x:c r="Z662" t="str"/>
    </x:row>
    <x:row r="663">
      <x:c r="A663" t="str">
        <x:v>G0660</x:v>
      </x:c>
      <x:c r="B663" t="str">
        <x:v>Bảng 7</x:v>
      </x:c>
      <x:c r="C663" t="str">
        <x:v>alpha3 exact grid</x:v>
      </x:c>
      <x:c r="D663" t="str">
        <x:v>EXACT</x:v>
      </x:c>
      <x:c r="E663" t="str">
        <x:v>{"phi":27,"hd":5,"d":0.8}</x:v>
      </x:c>
      <x:c r="F663" t="str">
        <x:v>EXACT</x:v>
      </x:c>
      <x:c r="G663"/>
      <x:c r="H663"/>
      <x:c r="I663"/>
      <x:c r="J663"/>
      <x:c r="K663"/>
      <x:c r="L663"/>
      <x:c r="M663" t="n">
        <x:v>0.77</x:v>
      </x:c>
      <x:c r="N663"/>
      <x:c r="O663"/>
      <x:c r="P663"/>
      <x:c r="Q663"/>
      <x:c r="R663"/>
      <x:c r="S663" t="n">
        <x:v>0.77</x:v>
      </x:c>
      <x:c r="T663" t="n">
        <x:v>0.77</x:v>
      </x:c>
      <x:c r="U663" s="28" t="n">
        <x:f>T663</x:f>
        <x:v>0.77</x:v>
      </x:c>
      <x:c r="V663" s="32" t="n">
        <x:f>IF(AND(ISNUMBER(S663),ISNUMBER(U663)),ABS(S663-U663),IF(S663=U663,0,1))</x:f>
        <x:v>0</x:v>
      </x:c>
      <x:c r="W663" s="30" t="str">
        <x:v>PASS</x:v>
      </x:c>
      <x:c r="X663" s="28" t="str">
        <x:f>IF(V663&lt;=1E-9,"PASS","FAIL")</x:f>
        <x:v>PASS</x:v>
      </x:c>
      <x:c r="Y663" t="str">
        <x:v>tr.41</x:v>
      </x:c>
      <x:c r="Z663" t="str"/>
    </x:row>
    <x:row r="664">
      <x:c r="A664" t="str">
        <x:v>G0661</x:v>
      </x:c>
      <x:c r="B664" t="str">
        <x:v>Bảng 7</x:v>
      </x:c>
      <x:c r="C664" t="str">
        <x:v>alpha3 exact grid</x:v>
      </x:c>
      <x:c r="D664" t="str">
        <x:v>EXACT</x:v>
      </x:c>
      <x:c r="E664" t="str">
        <x:v>{"phi":29,"hd":5,"d":0.8}</x:v>
      </x:c>
      <x:c r="F664" t="str">
        <x:v>EXACT</x:v>
      </x:c>
      <x:c r="G664"/>
      <x:c r="H664"/>
      <x:c r="I664"/>
      <x:c r="J664"/>
      <x:c r="K664"/>
      <x:c r="L664"/>
      <x:c r="M664" t="n">
        <x:v>0.79</x:v>
      </x:c>
      <x:c r="N664"/>
      <x:c r="O664"/>
      <x:c r="P664"/>
      <x:c r="Q664"/>
      <x:c r="R664"/>
      <x:c r="S664" t="n">
        <x:v>0.79</x:v>
      </x:c>
      <x:c r="T664" t="n">
        <x:v>0.79</x:v>
      </x:c>
      <x:c r="U664" s="28" t="n">
        <x:f>T664</x:f>
        <x:v>0.79</x:v>
      </x:c>
      <x:c r="V664" s="32" t="n">
        <x:f>IF(AND(ISNUMBER(S664),ISNUMBER(U664)),ABS(S664-U664),IF(S664=U664,0,1))</x:f>
        <x:v>0</x:v>
      </x:c>
      <x:c r="W664" s="30" t="str">
        <x:v>PASS</x:v>
      </x:c>
      <x:c r="X664" s="28" t="str">
        <x:f>IF(V664&lt;=1E-9,"PASS","FAIL")</x:f>
        <x:v>PASS</x:v>
      </x:c>
      <x:c r="Y664" t="str">
        <x:v>tr.41</x:v>
      </x:c>
      <x:c r="Z664" t="str"/>
    </x:row>
    <x:row r="665">
      <x:c r="A665" t="str">
        <x:v>G0662</x:v>
      </x:c>
      <x:c r="B665" t="str">
        <x:v>Bảng 7</x:v>
      </x:c>
      <x:c r="C665" t="str">
        <x:v>alpha3 exact grid</x:v>
      </x:c>
      <x:c r="D665" t="str">
        <x:v>EXACT</x:v>
      </x:c>
      <x:c r="E665" t="str">
        <x:v>{"phi":31,"hd":5,"d":0.8}</x:v>
      </x:c>
      <x:c r="F665" t="str">
        <x:v>EXACT</x:v>
      </x:c>
      <x:c r="G665"/>
      <x:c r="H665"/>
      <x:c r="I665"/>
      <x:c r="J665"/>
      <x:c r="K665"/>
      <x:c r="L665"/>
      <x:c r="M665" t="n">
        <x:v>0.81</x:v>
      </x:c>
      <x:c r="N665"/>
      <x:c r="O665"/>
      <x:c r="P665"/>
      <x:c r="Q665"/>
      <x:c r="R665"/>
      <x:c r="S665" t="n">
        <x:v>0.81</x:v>
      </x:c>
      <x:c r="T665" t="n">
        <x:v>0.81</x:v>
      </x:c>
      <x:c r="U665" s="28" t="n">
        <x:f>T665</x:f>
        <x:v>0.81</x:v>
      </x:c>
      <x:c r="V665" s="32" t="n">
        <x:f>IF(AND(ISNUMBER(S665),ISNUMBER(U665)),ABS(S665-U665),IF(S665=U665,0,1))</x:f>
        <x:v>0</x:v>
      </x:c>
      <x:c r="W665" s="30" t="str">
        <x:v>PASS</x:v>
      </x:c>
      <x:c r="X665" s="28" t="str">
        <x:f>IF(V665&lt;=1E-9,"PASS","FAIL")</x:f>
        <x:v>PASS</x:v>
      </x:c>
      <x:c r="Y665" t="str">
        <x:v>tr.41</x:v>
      </x:c>
      <x:c r="Z665" t="str"/>
    </x:row>
    <x:row r="666">
      <x:c r="A666" t="str">
        <x:v>G0663</x:v>
      </x:c>
      <x:c r="B666" t="str">
        <x:v>Bảng 7</x:v>
      </x:c>
      <x:c r="C666" t="str">
        <x:v>alpha3 exact grid</x:v>
      </x:c>
      <x:c r="D666" t="str">
        <x:v>EXACT</x:v>
      </x:c>
      <x:c r="E666" t="str">
        <x:v>{"phi":33,"hd":5,"d":0.8}</x:v>
      </x:c>
      <x:c r="F666" t="str">
        <x:v>EXACT</x:v>
      </x:c>
      <x:c r="G666"/>
      <x:c r="H666"/>
      <x:c r="I666"/>
      <x:c r="J666"/>
      <x:c r="K666"/>
      <x:c r="L666"/>
      <x:c r="M666" t="n">
        <x:v>0.82</x:v>
      </x:c>
      <x:c r="N666"/>
      <x:c r="O666"/>
      <x:c r="P666"/>
      <x:c r="Q666"/>
      <x:c r="R666"/>
      <x:c r="S666" t="n">
        <x:v>0.82</x:v>
      </x:c>
      <x:c r="T666" t="n">
        <x:v>0.82</x:v>
      </x:c>
      <x:c r="U666" s="28" t="n">
        <x:f>T666</x:f>
        <x:v>0.82</x:v>
      </x:c>
      <x:c r="V666" s="32" t="n">
        <x:f>IF(AND(ISNUMBER(S666),ISNUMBER(U666)),ABS(S666-U666),IF(S666=U666,0,1))</x:f>
        <x:v>0</x:v>
      </x:c>
      <x:c r="W666" s="30" t="str">
        <x:v>PASS</x:v>
      </x:c>
      <x:c r="X666" s="28" t="str">
        <x:f>IF(V666&lt;=1E-9,"PASS","FAIL")</x:f>
        <x:v>PASS</x:v>
      </x:c>
      <x:c r="Y666" t="str">
        <x:v>tr.41</x:v>
      </x:c>
      <x:c r="Z666" t="str"/>
    </x:row>
    <x:row r="667">
      <x:c r="A667" t="str">
        <x:v>G0664</x:v>
      </x:c>
      <x:c r="B667" t="str">
        <x:v>Bảng 7</x:v>
      </x:c>
      <x:c r="C667" t="str">
        <x:v>alpha3 exact grid</x:v>
      </x:c>
      <x:c r="D667" t="str">
        <x:v>EXACT</x:v>
      </x:c>
      <x:c r="E667" t="str">
        <x:v>{"phi":35,"hd":5,"d":0.8}</x:v>
      </x:c>
      <x:c r="F667" t="str">
        <x:v>EXACT</x:v>
      </x:c>
      <x:c r="G667"/>
      <x:c r="H667"/>
      <x:c r="I667"/>
      <x:c r="J667"/>
      <x:c r="K667"/>
      <x:c r="L667"/>
      <x:c r="M667" t="n">
        <x:v>0.83</x:v>
      </x:c>
      <x:c r="N667"/>
      <x:c r="O667"/>
      <x:c r="P667"/>
      <x:c r="Q667"/>
      <x:c r="R667"/>
      <x:c r="S667" t="n">
        <x:v>0.83</x:v>
      </x:c>
      <x:c r="T667" t="n">
        <x:v>0.83</x:v>
      </x:c>
      <x:c r="U667" s="28" t="n">
        <x:f>T667</x:f>
        <x:v>0.83</x:v>
      </x:c>
      <x:c r="V667" s="32" t="n">
        <x:f>IF(AND(ISNUMBER(S667),ISNUMBER(U667)),ABS(S667-U667),IF(S667=U667,0,1))</x:f>
        <x:v>0</x:v>
      </x:c>
      <x:c r="W667" s="30" t="str">
        <x:v>PASS</x:v>
      </x:c>
      <x:c r="X667" s="28" t="str">
        <x:f>IF(V667&lt;=1E-9,"PASS","FAIL")</x:f>
        <x:v>PASS</x:v>
      </x:c>
      <x:c r="Y667" t="str">
        <x:v>tr.41</x:v>
      </x:c>
      <x:c r="Z667" t="str"/>
    </x:row>
    <x:row r="668">
      <x:c r="A668" t="str">
        <x:v>G0665</x:v>
      </x:c>
      <x:c r="B668" t="str">
        <x:v>Bảng 7</x:v>
      </x:c>
      <x:c r="C668" t="str">
        <x:v>alpha3 exact grid</x:v>
      </x:c>
      <x:c r="D668" t="str">
        <x:v>EXACT</x:v>
      </x:c>
      <x:c r="E668" t="str">
        <x:v>{"phi":37,"hd":5,"d":0.8}</x:v>
      </x:c>
      <x:c r="F668" t="str">
        <x:v>EXACT</x:v>
      </x:c>
      <x:c r="G668"/>
      <x:c r="H668"/>
      <x:c r="I668"/>
      <x:c r="J668"/>
      <x:c r="K668"/>
      <x:c r="L668"/>
      <x:c r="M668" t="n">
        <x:v>0.84</x:v>
      </x:c>
      <x:c r="N668"/>
      <x:c r="O668"/>
      <x:c r="P668"/>
      <x:c r="Q668"/>
      <x:c r="R668"/>
      <x:c r="S668" t="n">
        <x:v>0.84</x:v>
      </x:c>
      <x:c r="T668" t="n">
        <x:v>0.84</x:v>
      </x:c>
      <x:c r="U668" s="28" t="n">
        <x:f>T668</x:f>
        <x:v>0.84</x:v>
      </x:c>
      <x:c r="V668" s="32" t="n">
        <x:f>IF(AND(ISNUMBER(S668),ISNUMBER(U668)),ABS(S668-U668),IF(S668=U668,0,1))</x:f>
        <x:v>0</x:v>
      </x:c>
      <x:c r="W668" s="30" t="str">
        <x:v>PASS</x:v>
      </x:c>
      <x:c r="X668" s="28" t="str">
        <x:f>IF(V668&lt;=1E-9,"PASS","FAIL")</x:f>
        <x:v>PASS</x:v>
      </x:c>
      <x:c r="Y668" t="str">
        <x:v>tr.41</x:v>
      </x:c>
      <x:c r="Z668" t="str"/>
    </x:row>
    <x:row r="669">
      <x:c r="A669" t="str">
        <x:v>G0666</x:v>
      </x:c>
      <x:c r="B669" t="str">
        <x:v>Bảng 7</x:v>
      </x:c>
      <x:c r="C669" t="str">
        <x:v>alpha3 exact grid</x:v>
      </x:c>
      <x:c r="D669" t="str">
        <x:v>EXACT</x:v>
      </x:c>
      <x:c r="E669" t="str">
        <x:v>{"phi":39,"hd":5,"d":0.8}</x:v>
      </x:c>
      <x:c r="F669" t="str">
        <x:v>EXACT</x:v>
      </x:c>
      <x:c r="G669"/>
      <x:c r="H669"/>
      <x:c r="I669"/>
      <x:c r="J669"/>
      <x:c r="K669"/>
      <x:c r="L669"/>
      <x:c r="M669" t="n">
        <x:v>0.85</x:v>
      </x:c>
      <x:c r="N669"/>
      <x:c r="O669"/>
      <x:c r="P669"/>
      <x:c r="Q669"/>
      <x:c r="R669"/>
      <x:c r="S669" t="n">
        <x:v>0.85</x:v>
      </x:c>
      <x:c r="T669" t="n">
        <x:v>0.85</x:v>
      </x:c>
      <x:c r="U669" s="28" t="n">
        <x:f>T669</x:f>
        <x:v>0.85</x:v>
      </x:c>
      <x:c r="V669" s="32" t="n">
        <x:f>IF(AND(ISNUMBER(S669),ISNUMBER(U669)),ABS(S669-U669),IF(S669=U669,0,1))</x:f>
        <x:v>0</x:v>
      </x:c>
      <x:c r="W669" s="30" t="str">
        <x:v>PASS</x:v>
      </x:c>
      <x:c r="X669" s="28" t="str">
        <x:f>IF(V669&lt;=1E-9,"PASS","FAIL")</x:f>
        <x:v>PASS</x:v>
      </x:c>
      <x:c r="Y669" t="str">
        <x:v>tr.41</x:v>
      </x:c>
      <x:c r="Z669" t="str"/>
    </x:row>
    <x:row r="670">
      <x:c r="A670" t="str">
        <x:v>G0667</x:v>
      </x:c>
      <x:c r="B670" t="str">
        <x:v>Bảng 7</x:v>
      </x:c>
      <x:c r="C670" t="str">
        <x:v>alpha3 exact grid</x:v>
      </x:c>
      <x:c r="D670" t="str">
        <x:v>EXACT</x:v>
      </x:c>
      <x:c r="E670" t="str">
        <x:v>{"phi":23,"hd":7.5,"d":0.8}</x:v>
      </x:c>
      <x:c r="F670" t="str">
        <x:v>EXACT</x:v>
      </x:c>
      <x:c r="G670"/>
      <x:c r="H670"/>
      <x:c r="I670"/>
      <x:c r="J670"/>
      <x:c r="K670"/>
      <x:c r="L670"/>
      <x:c r="M670" t="n">
        <x:v>0.68</x:v>
      </x:c>
      <x:c r="N670"/>
      <x:c r="O670"/>
      <x:c r="P670"/>
      <x:c r="Q670"/>
      <x:c r="R670"/>
      <x:c r="S670" t="n">
        <x:v>0.68</x:v>
      </x:c>
      <x:c r="T670" t="n">
        <x:v>0.68</x:v>
      </x:c>
      <x:c r="U670" s="28" t="n">
        <x:f>T670</x:f>
        <x:v>0.68</x:v>
      </x:c>
      <x:c r="V670" s="32" t="n">
        <x:f>IF(AND(ISNUMBER(S670),ISNUMBER(U670)),ABS(S670-U670),IF(S670=U670,0,1))</x:f>
        <x:v>0</x:v>
      </x:c>
      <x:c r="W670" s="30" t="str">
        <x:v>PASS</x:v>
      </x:c>
      <x:c r="X670" s="28" t="str">
        <x:f>IF(V670&lt;=1E-9,"PASS","FAIL")</x:f>
        <x:v>PASS</x:v>
      </x:c>
      <x:c r="Y670" t="str">
        <x:v>tr.41</x:v>
      </x:c>
      <x:c r="Z670" t="str"/>
    </x:row>
    <x:row r="671">
      <x:c r="A671" t="str">
        <x:v>G0668</x:v>
      </x:c>
      <x:c r="B671" t="str">
        <x:v>Bảng 7</x:v>
      </x:c>
      <x:c r="C671" t="str">
        <x:v>alpha3 exact grid</x:v>
      </x:c>
      <x:c r="D671" t="str">
        <x:v>EXACT</x:v>
      </x:c>
      <x:c r="E671" t="str">
        <x:v>{"phi":25,"hd":7.5,"d":0.8}</x:v>
      </x:c>
      <x:c r="F671" t="str">
        <x:v>EXACT</x:v>
      </x:c>
      <x:c r="G671"/>
      <x:c r="H671"/>
      <x:c r="I671"/>
      <x:c r="J671"/>
      <x:c r="K671"/>
      <x:c r="L671"/>
      <x:c r="M671" t="n">
        <x:v>0.7</x:v>
      </x:c>
      <x:c r="N671"/>
      <x:c r="O671"/>
      <x:c r="P671"/>
      <x:c r="Q671"/>
      <x:c r="R671"/>
      <x:c r="S671" t="n">
        <x:v>0.7</x:v>
      </x:c>
      <x:c r="T671" t="n">
        <x:v>0.7</x:v>
      </x:c>
      <x:c r="U671" s="28" t="n">
        <x:f>T671</x:f>
        <x:v>0.7</x:v>
      </x:c>
      <x:c r="V671" s="32" t="n">
        <x:f>IF(AND(ISNUMBER(S671),ISNUMBER(U671)),ABS(S671-U671),IF(S671=U671,0,1))</x:f>
        <x:v>0</x:v>
      </x:c>
      <x:c r="W671" s="30" t="str">
        <x:v>PASS</x:v>
      </x:c>
      <x:c r="X671" s="28" t="str">
        <x:f>IF(V671&lt;=1E-9,"PASS","FAIL")</x:f>
        <x:v>PASS</x:v>
      </x:c>
      <x:c r="Y671" t="str">
        <x:v>tr.41</x:v>
      </x:c>
      <x:c r="Z671" t="str"/>
    </x:row>
    <x:row r="672">
      <x:c r="A672" t="str">
        <x:v>G0669</x:v>
      </x:c>
      <x:c r="B672" t="str">
        <x:v>Bảng 7</x:v>
      </x:c>
      <x:c r="C672" t="str">
        <x:v>alpha3 exact grid</x:v>
      </x:c>
      <x:c r="D672" t="str">
        <x:v>EXACT</x:v>
      </x:c>
      <x:c r="E672" t="str">
        <x:v>{"phi":27,"hd":7.5,"d":0.8}</x:v>
      </x:c>
      <x:c r="F672" t="str">
        <x:v>EXACT</x:v>
      </x:c>
      <x:c r="G672"/>
      <x:c r="H672"/>
      <x:c r="I672"/>
      <x:c r="J672"/>
      <x:c r="K672"/>
      <x:c r="L672"/>
      <x:c r="M672" t="n">
        <x:v>0.71</x:v>
      </x:c>
      <x:c r="N672"/>
      <x:c r="O672"/>
      <x:c r="P672"/>
      <x:c r="Q672"/>
      <x:c r="R672"/>
      <x:c r="S672" t="n">
        <x:v>0.71</x:v>
      </x:c>
      <x:c r="T672" t="n">
        <x:v>0.71</x:v>
      </x:c>
      <x:c r="U672" s="28" t="n">
        <x:f>T672</x:f>
        <x:v>0.71</x:v>
      </x:c>
      <x:c r="V672" s="32" t="n">
        <x:f>IF(AND(ISNUMBER(S672),ISNUMBER(U672)),ABS(S672-U672),IF(S672=U672,0,1))</x:f>
        <x:v>0</x:v>
      </x:c>
      <x:c r="W672" s="30" t="str">
        <x:v>PASS</x:v>
      </x:c>
      <x:c r="X672" s="28" t="str">
        <x:f>IF(V672&lt;=1E-9,"PASS","FAIL")</x:f>
        <x:v>PASS</x:v>
      </x:c>
      <x:c r="Y672" t="str">
        <x:v>tr.41</x:v>
      </x:c>
      <x:c r="Z672" t="str"/>
    </x:row>
    <x:row r="673">
      <x:c r="A673" t="str">
        <x:v>G0670</x:v>
      </x:c>
      <x:c r="B673" t="str">
        <x:v>Bảng 7</x:v>
      </x:c>
      <x:c r="C673" t="str">
        <x:v>alpha3 exact grid</x:v>
      </x:c>
      <x:c r="D673" t="str">
        <x:v>EXACT</x:v>
      </x:c>
      <x:c r="E673" t="str">
        <x:v>{"phi":29,"hd":7.5,"d":0.8}</x:v>
      </x:c>
      <x:c r="F673" t="str">
        <x:v>EXACT</x:v>
      </x:c>
      <x:c r="G673"/>
      <x:c r="H673"/>
      <x:c r="I673"/>
      <x:c r="J673"/>
      <x:c r="K673"/>
      <x:c r="L673"/>
      <x:c r="M673" t="n">
        <x:v>0.74</x:v>
      </x:c>
      <x:c r="N673"/>
      <x:c r="O673"/>
      <x:c r="P673"/>
      <x:c r="Q673"/>
      <x:c r="R673"/>
      <x:c r="S673" t="n">
        <x:v>0.74</x:v>
      </x:c>
      <x:c r="T673" t="n">
        <x:v>0.74</x:v>
      </x:c>
      <x:c r="U673" s="28" t="n">
        <x:f>T673</x:f>
        <x:v>0.74</x:v>
      </x:c>
      <x:c r="V673" s="32" t="n">
        <x:f>IF(AND(ISNUMBER(S673),ISNUMBER(U673)),ABS(S673-U673),IF(S673=U673,0,1))</x:f>
        <x:v>0</x:v>
      </x:c>
      <x:c r="W673" s="30" t="str">
        <x:v>PASS</x:v>
      </x:c>
      <x:c r="X673" s="28" t="str">
        <x:f>IF(V673&lt;=1E-9,"PASS","FAIL")</x:f>
        <x:v>PASS</x:v>
      </x:c>
      <x:c r="Y673" t="str">
        <x:v>tr.41</x:v>
      </x:c>
      <x:c r="Z673" t="str"/>
    </x:row>
    <x:row r="674">
      <x:c r="A674" t="str">
        <x:v>G0671</x:v>
      </x:c>
      <x:c r="B674" t="str">
        <x:v>Bảng 7</x:v>
      </x:c>
      <x:c r="C674" t="str">
        <x:v>alpha3 exact grid</x:v>
      </x:c>
      <x:c r="D674" t="str">
        <x:v>EXACT</x:v>
      </x:c>
      <x:c r="E674" t="str">
        <x:v>{"phi":31,"hd":7.5,"d":0.8}</x:v>
      </x:c>
      <x:c r="F674" t="str">
        <x:v>EXACT</x:v>
      </x:c>
      <x:c r="G674"/>
      <x:c r="H674"/>
      <x:c r="I674"/>
      <x:c r="J674"/>
      <x:c r="K674"/>
      <x:c r="L674"/>
      <x:c r="M674" t="n">
        <x:v>0.76</x:v>
      </x:c>
      <x:c r="N674"/>
      <x:c r="O674"/>
      <x:c r="P674"/>
      <x:c r="Q674"/>
      <x:c r="R674"/>
      <x:c r="S674" t="n">
        <x:v>0.76</x:v>
      </x:c>
      <x:c r="T674" t="n">
        <x:v>0.76</x:v>
      </x:c>
      <x:c r="U674" s="28" t="n">
        <x:f>T674</x:f>
        <x:v>0.76</x:v>
      </x:c>
      <x:c r="V674" s="32" t="n">
        <x:f>IF(AND(ISNUMBER(S674),ISNUMBER(U674)),ABS(S674-U674),IF(S674=U674,0,1))</x:f>
        <x:v>0</x:v>
      </x:c>
      <x:c r="W674" s="30" t="str">
        <x:v>PASS</x:v>
      </x:c>
      <x:c r="X674" s="28" t="str">
        <x:f>IF(V674&lt;=1E-9,"PASS","FAIL")</x:f>
        <x:v>PASS</x:v>
      </x:c>
      <x:c r="Y674" t="str">
        <x:v>tr.41</x:v>
      </x:c>
      <x:c r="Z674" t="str"/>
    </x:row>
    <x:row r="675">
      <x:c r="A675" t="str">
        <x:v>G0672</x:v>
      </x:c>
      <x:c r="B675" t="str">
        <x:v>Bảng 7</x:v>
      </x:c>
      <x:c r="C675" t="str">
        <x:v>alpha3 exact grid</x:v>
      </x:c>
      <x:c r="D675" t="str">
        <x:v>EXACT</x:v>
      </x:c>
      <x:c r="E675" t="str">
        <x:v>{"phi":33,"hd":7.5,"d":0.8}</x:v>
      </x:c>
      <x:c r="F675" t="str">
        <x:v>EXACT</x:v>
      </x:c>
      <x:c r="G675"/>
      <x:c r="H675"/>
      <x:c r="I675"/>
      <x:c r="J675"/>
      <x:c r="K675"/>
      <x:c r="L675"/>
      <x:c r="M675" t="n">
        <x:v>0.78</x:v>
      </x:c>
      <x:c r="N675"/>
      <x:c r="O675"/>
      <x:c r="P675"/>
      <x:c r="Q675"/>
      <x:c r="R675"/>
      <x:c r="S675" t="n">
        <x:v>0.78</x:v>
      </x:c>
      <x:c r="T675" t="n">
        <x:v>0.78</x:v>
      </x:c>
      <x:c r="U675" s="28" t="n">
        <x:f>T675</x:f>
        <x:v>0.78</x:v>
      </x:c>
      <x:c r="V675" s="32" t="n">
        <x:f>IF(AND(ISNUMBER(S675),ISNUMBER(U675)),ABS(S675-U675),IF(S675=U675,0,1))</x:f>
        <x:v>0</x:v>
      </x:c>
      <x:c r="W675" s="30" t="str">
        <x:v>PASS</x:v>
      </x:c>
      <x:c r="X675" s="28" t="str">
        <x:f>IF(V675&lt;=1E-9,"PASS","FAIL")</x:f>
        <x:v>PASS</x:v>
      </x:c>
      <x:c r="Y675" t="str">
        <x:v>tr.41</x:v>
      </x:c>
      <x:c r="Z675" t="str"/>
    </x:row>
    <x:row r="676">
      <x:c r="A676" t="str">
        <x:v>G0673</x:v>
      </x:c>
      <x:c r="B676" t="str">
        <x:v>Bảng 7</x:v>
      </x:c>
      <x:c r="C676" t="str">
        <x:v>alpha3 exact grid</x:v>
      </x:c>
      <x:c r="D676" t="str">
        <x:v>EXACT</x:v>
      </x:c>
      <x:c r="E676" t="str">
        <x:v>{"phi":35,"hd":7.5,"d":0.8}</x:v>
      </x:c>
      <x:c r="F676" t="str">
        <x:v>EXACT</x:v>
      </x:c>
      <x:c r="G676"/>
      <x:c r="H676"/>
      <x:c r="I676"/>
      <x:c r="J676"/>
      <x:c r="K676"/>
      <x:c r="L676"/>
      <x:c r="M676" t="n">
        <x:v>0.8</x:v>
      </x:c>
      <x:c r="N676"/>
      <x:c r="O676"/>
      <x:c r="P676"/>
      <x:c r="Q676"/>
      <x:c r="R676"/>
      <x:c r="S676" t="n">
        <x:v>0.8</x:v>
      </x:c>
      <x:c r="T676" t="n">
        <x:v>0.8</x:v>
      </x:c>
      <x:c r="U676" s="28" t="n">
        <x:f>T676</x:f>
        <x:v>0.8</x:v>
      </x:c>
      <x:c r="V676" s="32" t="n">
        <x:f>IF(AND(ISNUMBER(S676),ISNUMBER(U676)),ABS(S676-U676),IF(S676=U676,0,1))</x:f>
        <x:v>0</x:v>
      </x:c>
      <x:c r="W676" s="30" t="str">
        <x:v>PASS</x:v>
      </x:c>
      <x:c r="X676" s="28" t="str">
        <x:f>IF(V676&lt;=1E-9,"PASS","FAIL")</x:f>
        <x:v>PASS</x:v>
      </x:c>
      <x:c r="Y676" t="str">
        <x:v>tr.41</x:v>
      </x:c>
      <x:c r="Z676" t="str"/>
    </x:row>
    <x:row r="677">
      <x:c r="A677" t="str">
        <x:v>G0674</x:v>
      </x:c>
      <x:c r="B677" t="str">
        <x:v>Bảng 7</x:v>
      </x:c>
      <x:c r="C677" t="str">
        <x:v>alpha3 exact grid</x:v>
      </x:c>
      <x:c r="D677" t="str">
        <x:v>EXACT</x:v>
      </x:c>
      <x:c r="E677" t="str">
        <x:v>{"phi":37,"hd":7.5,"d":0.8}</x:v>
      </x:c>
      <x:c r="F677" t="str">
        <x:v>EXACT</x:v>
      </x:c>
      <x:c r="G677"/>
      <x:c r="H677"/>
      <x:c r="I677"/>
      <x:c r="J677"/>
      <x:c r="K677"/>
      <x:c r="L677"/>
      <x:c r="M677" t="n">
        <x:v>0.82</x:v>
      </x:c>
      <x:c r="N677"/>
      <x:c r="O677"/>
      <x:c r="P677"/>
      <x:c r="Q677"/>
      <x:c r="R677"/>
      <x:c r="S677" t="n">
        <x:v>0.82</x:v>
      </x:c>
      <x:c r="T677" t="n">
        <x:v>0.82</x:v>
      </x:c>
      <x:c r="U677" s="28" t="n">
        <x:f>T677</x:f>
        <x:v>0.82</x:v>
      </x:c>
      <x:c r="V677" s="32" t="n">
        <x:f>IF(AND(ISNUMBER(S677),ISNUMBER(U677)),ABS(S677-U677),IF(S677=U677,0,1))</x:f>
        <x:v>0</x:v>
      </x:c>
      <x:c r="W677" s="30" t="str">
        <x:v>PASS</x:v>
      </x:c>
      <x:c r="X677" s="28" t="str">
        <x:f>IF(V677&lt;=1E-9,"PASS","FAIL")</x:f>
        <x:v>PASS</x:v>
      </x:c>
      <x:c r="Y677" t="str">
        <x:v>tr.41</x:v>
      </x:c>
      <x:c r="Z677" t="str"/>
    </x:row>
    <x:row r="678">
      <x:c r="A678" t="str">
        <x:v>G0675</x:v>
      </x:c>
      <x:c r="B678" t="str">
        <x:v>Bảng 7</x:v>
      </x:c>
      <x:c r="C678" t="str">
        <x:v>alpha3 exact grid</x:v>
      </x:c>
      <x:c r="D678" t="str">
        <x:v>EXACT</x:v>
      </x:c>
      <x:c r="E678" t="str">
        <x:v>{"phi":39,"hd":7.5,"d":0.8}</x:v>
      </x:c>
      <x:c r="F678" t="str">
        <x:v>EXACT</x:v>
      </x:c>
      <x:c r="G678"/>
      <x:c r="H678"/>
      <x:c r="I678"/>
      <x:c r="J678"/>
      <x:c r="K678"/>
      <x:c r="L678"/>
      <x:c r="M678" t="n">
        <x:v>0.84</x:v>
      </x:c>
      <x:c r="N678"/>
      <x:c r="O678"/>
      <x:c r="P678"/>
      <x:c r="Q678"/>
      <x:c r="R678"/>
      <x:c r="S678" t="n">
        <x:v>0.84</x:v>
      </x:c>
      <x:c r="T678" t="n">
        <x:v>0.84</x:v>
      </x:c>
      <x:c r="U678" s="28" t="n">
        <x:f>T678</x:f>
        <x:v>0.84</x:v>
      </x:c>
      <x:c r="V678" s="32" t="n">
        <x:f>IF(AND(ISNUMBER(S678),ISNUMBER(U678)),ABS(S678-U678),IF(S678=U678,0,1))</x:f>
        <x:v>0</x:v>
      </x:c>
      <x:c r="W678" s="30" t="str">
        <x:v>PASS</x:v>
      </x:c>
      <x:c r="X678" s="28" t="str">
        <x:f>IF(V678&lt;=1E-9,"PASS","FAIL")</x:f>
        <x:v>PASS</x:v>
      </x:c>
      <x:c r="Y678" t="str">
        <x:v>tr.41</x:v>
      </x:c>
      <x:c r="Z678" t="str"/>
    </x:row>
    <x:row r="679">
      <x:c r="A679" t="str">
        <x:v>G0676</x:v>
      </x:c>
      <x:c r="B679" t="str">
        <x:v>Bảng 7</x:v>
      </x:c>
      <x:c r="C679" t="str">
        <x:v>alpha3 exact grid</x:v>
      </x:c>
      <x:c r="D679" t="str">
        <x:v>EXACT</x:v>
      </x:c>
      <x:c r="E679" t="str">
        <x:v>{"phi":23,"hd":10,"d":0.8}</x:v>
      </x:c>
      <x:c r="F679" t="str">
        <x:v>EXACT</x:v>
      </x:c>
      <x:c r="G679"/>
      <x:c r="H679"/>
      <x:c r="I679"/>
      <x:c r="J679"/>
      <x:c r="K679"/>
      <x:c r="L679"/>
      <x:c r="M679" t="n">
        <x:v>0.62</x:v>
      </x:c>
      <x:c r="N679"/>
      <x:c r="O679"/>
      <x:c r="P679"/>
      <x:c r="Q679"/>
      <x:c r="R679"/>
      <x:c r="S679" t="n">
        <x:v>0.62</x:v>
      </x:c>
      <x:c r="T679" t="n">
        <x:v>0.62</x:v>
      </x:c>
      <x:c r="U679" s="28" t="n">
        <x:f>T679</x:f>
        <x:v>0.62</x:v>
      </x:c>
      <x:c r="V679" s="32" t="n">
        <x:f>IF(AND(ISNUMBER(S679),ISNUMBER(U679)),ABS(S679-U679),IF(S679=U679,0,1))</x:f>
        <x:v>0</x:v>
      </x:c>
      <x:c r="W679" s="30" t="str">
        <x:v>PASS</x:v>
      </x:c>
      <x:c r="X679" s="28" t="str">
        <x:f>IF(V679&lt;=1E-9,"PASS","FAIL")</x:f>
        <x:v>PASS</x:v>
      </x:c>
      <x:c r="Y679" t="str">
        <x:v>tr.41</x:v>
      </x:c>
      <x:c r="Z679" t="str"/>
    </x:row>
    <x:row r="680">
      <x:c r="A680" t="str">
        <x:v>G0677</x:v>
      </x:c>
      <x:c r="B680" t="str">
        <x:v>Bảng 7</x:v>
      </x:c>
      <x:c r="C680" t="str">
        <x:v>alpha3 exact grid</x:v>
      </x:c>
      <x:c r="D680" t="str">
        <x:v>EXACT</x:v>
      </x:c>
      <x:c r="E680" t="str">
        <x:v>{"phi":25,"hd":10,"d":0.8}</x:v>
      </x:c>
      <x:c r="F680" t="str">
        <x:v>EXACT</x:v>
      </x:c>
      <x:c r="G680"/>
      <x:c r="H680"/>
      <x:c r="I680"/>
      <x:c r="J680"/>
      <x:c r="K680"/>
      <x:c r="L680"/>
      <x:c r="M680" t="n">
        <x:v>0.65</x:v>
      </x:c>
      <x:c r="N680"/>
      <x:c r="O680"/>
      <x:c r="P680"/>
      <x:c r="Q680"/>
      <x:c r="R680"/>
      <x:c r="S680" t="n">
        <x:v>0.65</x:v>
      </x:c>
      <x:c r="T680" t="n">
        <x:v>0.65</x:v>
      </x:c>
      <x:c r="U680" s="28" t="n">
        <x:f>T680</x:f>
        <x:v>0.65</x:v>
      </x:c>
      <x:c r="V680" s="32" t="n">
        <x:f>IF(AND(ISNUMBER(S680),ISNUMBER(U680)),ABS(S680-U680),IF(S680=U680,0,1))</x:f>
        <x:v>0</x:v>
      </x:c>
      <x:c r="W680" s="30" t="str">
        <x:v>PASS</x:v>
      </x:c>
      <x:c r="X680" s="28" t="str">
        <x:f>IF(V680&lt;=1E-9,"PASS","FAIL")</x:f>
        <x:v>PASS</x:v>
      </x:c>
      <x:c r="Y680" t="str">
        <x:v>tr.41</x:v>
      </x:c>
      <x:c r="Z680" t="str"/>
    </x:row>
    <x:row r="681">
      <x:c r="A681" t="str">
        <x:v>G0678</x:v>
      </x:c>
      <x:c r="B681" t="str">
        <x:v>Bảng 7</x:v>
      </x:c>
      <x:c r="C681" t="str">
        <x:v>alpha3 exact grid</x:v>
      </x:c>
      <x:c r="D681" t="str">
        <x:v>EXACT</x:v>
      </x:c>
      <x:c r="E681" t="str">
        <x:v>{"phi":27,"hd":10,"d":0.8}</x:v>
      </x:c>
      <x:c r="F681" t="str">
        <x:v>EXACT</x:v>
      </x:c>
      <x:c r="G681"/>
      <x:c r="H681"/>
      <x:c r="I681"/>
      <x:c r="J681"/>
      <x:c r="K681"/>
      <x:c r="L681"/>
      <x:c r="M681" t="n">
        <x:v>0.67</x:v>
      </x:c>
      <x:c r="N681"/>
      <x:c r="O681"/>
      <x:c r="P681"/>
      <x:c r="Q681"/>
      <x:c r="R681"/>
      <x:c r="S681" t="n">
        <x:v>0.67</x:v>
      </x:c>
      <x:c r="T681" t="n">
        <x:v>0.67</x:v>
      </x:c>
      <x:c r="U681" s="28" t="n">
        <x:f>T681</x:f>
        <x:v>0.67</x:v>
      </x:c>
      <x:c r="V681" s="32" t="n">
        <x:f>IF(AND(ISNUMBER(S681),ISNUMBER(U681)),ABS(S681-U681),IF(S681=U681,0,1))</x:f>
        <x:v>0</x:v>
      </x:c>
      <x:c r="W681" s="30" t="str">
        <x:v>PASS</x:v>
      </x:c>
      <x:c r="X681" s="28" t="str">
        <x:f>IF(V681&lt;=1E-9,"PASS","FAIL")</x:f>
        <x:v>PASS</x:v>
      </x:c>
      <x:c r="Y681" t="str">
        <x:v>tr.41</x:v>
      </x:c>
      <x:c r="Z681" t="str"/>
    </x:row>
    <x:row r="682">
      <x:c r="A682" t="str">
        <x:v>G0679</x:v>
      </x:c>
      <x:c r="B682" t="str">
        <x:v>Bảng 7</x:v>
      </x:c>
      <x:c r="C682" t="str">
        <x:v>alpha3 exact grid</x:v>
      </x:c>
      <x:c r="D682" t="str">
        <x:v>EXACT</x:v>
      </x:c>
      <x:c r="E682" t="str">
        <x:v>{"phi":29,"hd":10,"d":0.8}</x:v>
      </x:c>
      <x:c r="F682" t="str">
        <x:v>EXACT</x:v>
      </x:c>
      <x:c r="G682"/>
      <x:c r="H682"/>
      <x:c r="I682"/>
      <x:c r="J682"/>
      <x:c r="K682"/>
      <x:c r="L682"/>
      <x:c r="M682" t="n">
        <x:v>0.7</x:v>
      </x:c>
      <x:c r="N682"/>
      <x:c r="O682"/>
      <x:c r="P682"/>
      <x:c r="Q682"/>
      <x:c r="R682"/>
      <x:c r="S682" t="n">
        <x:v>0.7</x:v>
      </x:c>
      <x:c r="T682" t="n">
        <x:v>0.7</x:v>
      </x:c>
      <x:c r="U682" s="28" t="n">
        <x:f>T682</x:f>
        <x:v>0.7</x:v>
      </x:c>
      <x:c r="V682" s="32" t="n">
        <x:f>IF(AND(ISNUMBER(S682),ISNUMBER(U682)),ABS(S682-U682),IF(S682=U682,0,1))</x:f>
        <x:v>0</x:v>
      </x:c>
      <x:c r="W682" s="30" t="str">
        <x:v>PASS</x:v>
      </x:c>
      <x:c r="X682" s="28" t="str">
        <x:f>IF(V682&lt;=1E-9,"PASS","FAIL")</x:f>
        <x:v>PASS</x:v>
      </x:c>
      <x:c r="Y682" t="str">
        <x:v>tr.41</x:v>
      </x:c>
      <x:c r="Z682" t="str"/>
    </x:row>
    <x:row r="683">
      <x:c r="A683" t="str">
        <x:v>G0680</x:v>
      </x:c>
      <x:c r="B683" t="str">
        <x:v>Bảng 7</x:v>
      </x:c>
      <x:c r="C683" t="str">
        <x:v>alpha3 exact grid</x:v>
      </x:c>
      <x:c r="D683" t="str">
        <x:v>EXACT</x:v>
      </x:c>
      <x:c r="E683" t="str">
        <x:v>{"phi":31,"hd":10,"d":0.8}</x:v>
      </x:c>
      <x:c r="F683" t="str">
        <x:v>EXACT</x:v>
      </x:c>
      <x:c r="G683"/>
      <x:c r="H683"/>
      <x:c r="I683"/>
      <x:c r="J683"/>
      <x:c r="K683"/>
      <x:c r="L683"/>
      <x:c r="M683" t="n">
        <x:v>0.73</x:v>
      </x:c>
      <x:c r="N683"/>
      <x:c r="O683"/>
      <x:c r="P683"/>
      <x:c r="Q683"/>
      <x:c r="R683"/>
      <x:c r="S683" t="n">
        <x:v>0.73</x:v>
      </x:c>
      <x:c r="T683" t="n">
        <x:v>0.73</x:v>
      </x:c>
      <x:c r="U683" s="28" t="n">
        <x:f>T683</x:f>
        <x:v>0.73</x:v>
      </x:c>
      <x:c r="V683" s="32" t="n">
        <x:f>IF(AND(ISNUMBER(S683),ISNUMBER(U683)),ABS(S683-U683),IF(S683=U683,0,1))</x:f>
        <x:v>0</x:v>
      </x:c>
      <x:c r="W683" s="30" t="str">
        <x:v>PASS</x:v>
      </x:c>
      <x:c r="X683" s="28" t="str">
        <x:f>IF(V683&lt;=1E-9,"PASS","FAIL")</x:f>
        <x:v>PASS</x:v>
      </x:c>
      <x:c r="Y683" t="str">
        <x:v>tr.41</x:v>
      </x:c>
      <x:c r="Z683" t="str"/>
    </x:row>
    <x:row r="684">
      <x:c r="A684" t="str">
        <x:v>G0681</x:v>
      </x:c>
      <x:c r="B684" t="str">
        <x:v>Bảng 7</x:v>
      </x:c>
      <x:c r="C684" t="str">
        <x:v>alpha3 exact grid</x:v>
      </x:c>
      <x:c r="D684" t="str">
        <x:v>EXACT</x:v>
      </x:c>
      <x:c r="E684" t="str">
        <x:v>{"phi":33,"hd":10,"d":0.8}</x:v>
      </x:c>
      <x:c r="F684" t="str">
        <x:v>EXACT</x:v>
      </x:c>
      <x:c r="G684"/>
      <x:c r="H684"/>
      <x:c r="I684"/>
      <x:c r="J684"/>
      <x:c r="K684"/>
      <x:c r="L684"/>
      <x:c r="M684" t="n">
        <x:v>0.75</x:v>
      </x:c>
      <x:c r="N684"/>
      <x:c r="O684"/>
      <x:c r="P684"/>
      <x:c r="Q684"/>
      <x:c r="R684"/>
      <x:c r="S684" t="n">
        <x:v>0.75</x:v>
      </x:c>
      <x:c r="T684" t="n">
        <x:v>0.75</x:v>
      </x:c>
      <x:c r="U684" s="28" t="n">
        <x:f>T684</x:f>
        <x:v>0.75</x:v>
      </x:c>
      <x:c r="V684" s="32" t="n">
        <x:f>IF(AND(ISNUMBER(S684),ISNUMBER(U684)),ABS(S684-U684),IF(S684=U684,0,1))</x:f>
        <x:v>0</x:v>
      </x:c>
      <x:c r="W684" s="30" t="str">
        <x:v>PASS</x:v>
      </x:c>
      <x:c r="X684" s="28" t="str">
        <x:f>IF(V684&lt;=1E-9,"PASS","FAIL")</x:f>
        <x:v>PASS</x:v>
      </x:c>
      <x:c r="Y684" t="str">
        <x:v>tr.41</x:v>
      </x:c>
      <x:c r="Z684" t="str"/>
    </x:row>
    <x:row r="685">
      <x:c r="A685" t="str">
        <x:v>G0682</x:v>
      </x:c>
      <x:c r="B685" t="str">
        <x:v>Bảng 7</x:v>
      </x:c>
      <x:c r="C685" t="str">
        <x:v>alpha3 exact grid</x:v>
      </x:c>
      <x:c r="D685" t="str">
        <x:v>EXACT</x:v>
      </x:c>
      <x:c r="E685" t="str">
        <x:v>{"phi":35,"hd":10,"d":0.8}</x:v>
      </x:c>
      <x:c r="F685" t="str">
        <x:v>EXACT</x:v>
      </x:c>
      <x:c r="G685"/>
      <x:c r="H685"/>
      <x:c r="I685"/>
      <x:c r="J685"/>
      <x:c r="K685"/>
      <x:c r="L685"/>
      <x:c r="M685" t="n">
        <x:v>0.77</x:v>
      </x:c>
      <x:c r="N685"/>
      <x:c r="O685"/>
      <x:c r="P685"/>
      <x:c r="Q685"/>
      <x:c r="R685"/>
      <x:c r="S685" t="n">
        <x:v>0.77</x:v>
      </x:c>
      <x:c r="T685" t="n">
        <x:v>0.77</x:v>
      </x:c>
      <x:c r="U685" s="28" t="n">
        <x:f>T685</x:f>
        <x:v>0.77</x:v>
      </x:c>
      <x:c r="V685" s="32" t="n">
        <x:f>IF(AND(ISNUMBER(S685),ISNUMBER(U685)),ABS(S685-U685),IF(S685=U685,0,1))</x:f>
        <x:v>0</x:v>
      </x:c>
      <x:c r="W685" s="30" t="str">
        <x:v>PASS</x:v>
      </x:c>
      <x:c r="X685" s="28" t="str">
        <x:f>IF(V685&lt;=1E-9,"PASS","FAIL")</x:f>
        <x:v>PASS</x:v>
      </x:c>
      <x:c r="Y685" t="str">
        <x:v>tr.41</x:v>
      </x:c>
      <x:c r="Z685" t="str"/>
    </x:row>
    <x:row r="686">
      <x:c r="A686" t="str">
        <x:v>G0683</x:v>
      </x:c>
      <x:c r="B686" t="str">
        <x:v>Bảng 7</x:v>
      </x:c>
      <x:c r="C686" t="str">
        <x:v>alpha3 exact grid</x:v>
      </x:c>
      <x:c r="D686" t="str">
        <x:v>EXACT</x:v>
      </x:c>
      <x:c r="E686" t="str">
        <x:v>{"phi":37,"hd":10,"d":0.8}</x:v>
      </x:c>
      <x:c r="F686" t="str">
        <x:v>EXACT</x:v>
      </x:c>
      <x:c r="G686"/>
      <x:c r="H686"/>
      <x:c r="I686"/>
      <x:c r="J686"/>
      <x:c r="K686"/>
      <x:c r="L686"/>
      <x:c r="M686" t="n">
        <x:v>0.79</x:v>
      </x:c>
      <x:c r="N686"/>
      <x:c r="O686"/>
      <x:c r="P686"/>
      <x:c r="Q686"/>
      <x:c r="R686"/>
      <x:c r="S686" t="n">
        <x:v>0.79</x:v>
      </x:c>
      <x:c r="T686" t="n">
        <x:v>0.79</x:v>
      </x:c>
      <x:c r="U686" s="28" t="n">
        <x:f>T686</x:f>
        <x:v>0.79</x:v>
      </x:c>
      <x:c r="V686" s="32" t="n">
        <x:f>IF(AND(ISNUMBER(S686),ISNUMBER(U686)),ABS(S686-U686),IF(S686=U686,0,1))</x:f>
        <x:v>0</x:v>
      </x:c>
      <x:c r="W686" s="30" t="str">
        <x:v>PASS</x:v>
      </x:c>
      <x:c r="X686" s="28" t="str">
        <x:f>IF(V686&lt;=1E-9,"PASS","FAIL")</x:f>
        <x:v>PASS</x:v>
      </x:c>
      <x:c r="Y686" t="str">
        <x:v>tr.41</x:v>
      </x:c>
      <x:c r="Z686" t="str"/>
    </x:row>
    <x:row r="687">
      <x:c r="A687" t="str">
        <x:v>G0684</x:v>
      </x:c>
      <x:c r="B687" t="str">
        <x:v>Bảng 7</x:v>
      </x:c>
      <x:c r="C687" t="str">
        <x:v>alpha3 exact grid</x:v>
      </x:c>
      <x:c r="D687" t="str">
        <x:v>EXACT</x:v>
      </x:c>
      <x:c r="E687" t="str">
        <x:v>{"phi":39,"hd":10,"d":0.8}</x:v>
      </x:c>
      <x:c r="F687" t="str">
        <x:v>EXACT</x:v>
      </x:c>
      <x:c r="G687"/>
      <x:c r="H687"/>
      <x:c r="I687"/>
      <x:c r="J687"/>
      <x:c r="K687"/>
      <x:c r="L687"/>
      <x:c r="M687" t="n">
        <x:v>0.81</x:v>
      </x:c>
      <x:c r="N687"/>
      <x:c r="O687"/>
      <x:c r="P687"/>
      <x:c r="Q687"/>
      <x:c r="R687"/>
      <x:c r="S687" t="n">
        <x:v>0.81</x:v>
      </x:c>
      <x:c r="T687" t="n">
        <x:v>0.81</x:v>
      </x:c>
      <x:c r="U687" s="28" t="n">
        <x:f>T687</x:f>
        <x:v>0.81</x:v>
      </x:c>
      <x:c r="V687" s="32" t="n">
        <x:f>IF(AND(ISNUMBER(S687),ISNUMBER(U687)),ABS(S687-U687),IF(S687=U687,0,1))</x:f>
        <x:v>0</x:v>
      </x:c>
      <x:c r="W687" s="30" t="str">
        <x:v>PASS</x:v>
      </x:c>
      <x:c r="X687" s="28" t="str">
        <x:f>IF(V687&lt;=1E-9,"PASS","FAIL")</x:f>
        <x:v>PASS</x:v>
      </x:c>
      <x:c r="Y687" t="str">
        <x:v>tr.41</x:v>
      </x:c>
      <x:c r="Z687" t="str"/>
    </x:row>
    <x:row r="688">
      <x:c r="A688" t="str">
        <x:v>G0685</x:v>
      </x:c>
      <x:c r="B688" t="str">
        <x:v>Bảng 7</x:v>
      </x:c>
      <x:c r="C688" t="str">
        <x:v>alpha3 exact grid</x:v>
      </x:c>
      <x:c r="D688" t="str">
        <x:v>EXACT</x:v>
      </x:c>
      <x:c r="E688" t="str">
        <x:v>{"phi":23,"hd":12.5,"d":0.8}</x:v>
      </x:c>
      <x:c r="F688" t="str">
        <x:v>EXACT</x:v>
      </x:c>
      <x:c r="G688"/>
      <x:c r="H688"/>
      <x:c r="I688"/>
      <x:c r="J688"/>
      <x:c r="K688"/>
      <x:c r="L688"/>
      <x:c r="M688" t="n">
        <x:v>0.58</x:v>
      </x:c>
      <x:c r="N688"/>
      <x:c r="O688"/>
      <x:c r="P688"/>
      <x:c r="Q688"/>
      <x:c r="R688"/>
      <x:c r="S688" t="n">
        <x:v>0.58</x:v>
      </x:c>
      <x:c r="T688" t="n">
        <x:v>0.58</x:v>
      </x:c>
      <x:c r="U688" s="28" t="n">
        <x:f>T688</x:f>
        <x:v>0.58</x:v>
      </x:c>
      <x:c r="V688" s="32" t="n">
        <x:f>IF(AND(ISNUMBER(S688),ISNUMBER(U688)),ABS(S688-U688),IF(S688=U688,0,1))</x:f>
        <x:v>0</x:v>
      </x:c>
      <x:c r="W688" s="30" t="str">
        <x:v>PASS</x:v>
      </x:c>
      <x:c r="X688" s="28" t="str">
        <x:f>IF(V688&lt;=1E-9,"PASS","FAIL")</x:f>
        <x:v>PASS</x:v>
      </x:c>
      <x:c r="Y688" t="str">
        <x:v>tr.41</x:v>
      </x:c>
      <x:c r="Z688" t="str"/>
    </x:row>
    <x:row r="689">
      <x:c r="A689" t="str">
        <x:v>G0686</x:v>
      </x:c>
      <x:c r="B689" t="str">
        <x:v>Bảng 7</x:v>
      </x:c>
      <x:c r="C689" t="str">
        <x:v>alpha3 exact grid</x:v>
      </x:c>
      <x:c r="D689" t="str">
        <x:v>EXACT</x:v>
      </x:c>
      <x:c r="E689" t="str">
        <x:v>{"phi":25,"hd":12.5,"d":0.8}</x:v>
      </x:c>
      <x:c r="F689" t="str">
        <x:v>EXACT</x:v>
      </x:c>
      <x:c r="G689"/>
      <x:c r="H689"/>
      <x:c r="I689"/>
      <x:c r="J689"/>
      <x:c r="K689"/>
      <x:c r="L689"/>
      <x:c r="M689" t="n">
        <x:v>0.61</x:v>
      </x:c>
      <x:c r="N689"/>
      <x:c r="O689"/>
      <x:c r="P689"/>
      <x:c r="Q689"/>
      <x:c r="R689"/>
      <x:c r="S689" t="n">
        <x:v>0.61</x:v>
      </x:c>
      <x:c r="T689" t="n">
        <x:v>0.61</x:v>
      </x:c>
      <x:c r="U689" s="28" t="n">
        <x:f>T689</x:f>
        <x:v>0.61</x:v>
      </x:c>
      <x:c r="V689" s="32" t="n">
        <x:f>IF(AND(ISNUMBER(S689),ISNUMBER(U689)),ABS(S689-U689),IF(S689=U689,0,1))</x:f>
        <x:v>0</x:v>
      </x:c>
      <x:c r="W689" s="30" t="str">
        <x:v>PASS</x:v>
      </x:c>
      <x:c r="X689" s="28" t="str">
        <x:f>IF(V689&lt;=1E-9,"PASS","FAIL")</x:f>
        <x:v>PASS</x:v>
      </x:c>
      <x:c r="Y689" t="str">
        <x:v>tr.41</x:v>
      </x:c>
      <x:c r="Z689" t="str"/>
    </x:row>
    <x:row r="690">
      <x:c r="A690" t="str">
        <x:v>G0687</x:v>
      </x:c>
      <x:c r="B690" t="str">
        <x:v>Bảng 7</x:v>
      </x:c>
      <x:c r="C690" t="str">
        <x:v>alpha3 exact grid</x:v>
      </x:c>
      <x:c r="D690" t="str">
        <x:v>EXACT</x:v>
      </x:c>
      <x:c r="E690" t="str">
        <x:v>{"phi":27,"hd":12.5,"d":0.8}</x:v>
      </x:c>
      <x:c r="F690" t="str">
        <x:v>EXACT</x:v>
      </x:c>
      <x:c r="G690"/>
      <x:c r="H690"/>
      <x:c r="I690"/>
      <x:c r="J690"/>
      <x:c r="K690"/>
      <x:c r="L690"/>
      <x:c r="M690" t="n">
        <x:v>0.63</x:v>
      </x:c>
      <x:c r="N690"/>
      <x:c r="O690"/>
      <x:c r="P690"/>
      <x:c r="Q690"/>
      <x:c r="R690"/>
      <x:c r="S690" t="n">
        <x:v>0.63</x:v>
      </x:c>
      <x:c r="T690" t="n">
        <x:v>0.63</x:v>
      </x:c>
      <x:c r="U690" s="28" t="n">
        <x:f>T690</x:f>
        <x:v>0.63</x:v>
      </x:c>
      <x:c r="V690" s="32" t="n">
        <x:f>IF(AND(ISNUMBER(S690),ISNUMBER(U690)),ABS(S690-U690),IF(S690=U690,0,1))</x:f>
        <x:v>0</x:v>
      </x:c>
      <x:c r="W690" s="30" t="str">
        <x:v>PASS</x:v>
      </x:c>
      <x:c r="X690" s="28" t="str">
        <x:f>IF(V690&lt;=1E-9,"PASS","FAIL")</x:f>
        <x:v>PASS</x:v>
      </x:c>
      <x:c r="Y690" t="str">
        <x:v>tr.41</x:v>
      </x:c>
      <x:c r="Z690" t="str"/>
    </x:row>
    <x:row r="691">
      <x:c r="A691" t="str">
        <x:v>G0688</x:v>
      </x:c>
      <x:c r="B691" t="str">
        <x:v>Bảng 7</x:v>
      </x:c>
      <x:c r="C691" t="str">
        <x:v>alpha3 exact grid</x:v>
      </x:c>
      <x:c r="D691" t="str">
        <x:v>EXACT</x:v>
      </x:c>
      <x:c r="E691" t="str">
        <x:v>{"phi":29,"hd":12.5,"d":0.8}</x:v>
      </x:c>
      <x:c r="F691" t="str">
        <x:v>EXACT</x:v>
      </x:c>
      <x:c r="G691"/>
      <x:c r="H691"/>
      <x:c r="I691"/>
      <x:c r="J691"/>
      <x:c r="K691"/>
      <x:c r="L691"/>
      <x:c r="M691" t="n">
        <x:v>0.67</x:v>
      </x:c>
      <x:c r="N691"/>
      <x:c r="O691"/>
      <x:c r="P691"/>
      <x:c r="Q691"/>
      <x:c r="R691"/>
      <x:c r="S691" t="n">
        <x:v>0.67</x:v>
      </x:c>
      <x:c r="T691" t="n">
        <x:v>0.67</x:v>
      </x:c>
      <x:c r="U691" s="28" t="n">
        <x:f>T691</x:f>
        <x:v>0.67</x:v>
      </x:c>
      <x:c r="V691" s="32" t="n">
        <x:f>IF(AND(ISNUMBER(S691),ISNUMBER(U691)),ABS(S691-U691),IF(S691=U691,0,1))</x:f>
        <x:v>0</x:v>
      </x:c>
      <x:c r="W691" s="30" t="str">
        <x:v>PASS</x:v>
      </x:c>
      <x:c r="X691" s="28" t="str">
        <x:f>IF(V691&lt;=1E-9,"PASS","FAIL")</x:f>
        <x:v>PASS</x:v>
      </x:c>
      <x:c r="Y691" t="str">
        <x:v>tr.41</x:v>
      </x:c>
      <x:c r="Z691" t="str"/>
    </x:row>
    <x:row r="692">
      <x:c r="A692" t="str">
        <x:v>G0689</x:v>
      </x:c>
      <x:c r="B692" t="str">
        <x:v>Bảng 7</x:v>
      </x:c>
      <x:c r="C692" t="str">
        <x:v>alpha3 exact grid</x:v>
      </x:c>
      <x:c r="D692" t="str">
        <x:v>EXACT</x:v>
      </x:c>
      <x:c r="E692" t="str">
        <x:v>{"phi":31,"hd":12.5,"d":0.8}</x:v>
      </x:c>
      <x:c r="F692" t="str">
        <x:v>EXACT</x:v>
      </x:c>
      <x:c r="G692"/>
      <x:c r="H692"/>
      <x:c r="I692"/>
      <x:c r="J692"/>
      <x:c r="K692"/>
      <x:c r="L692"/>
      <x:c r="M692" t="n">
        <x:v>0.7</x:v>
      </x:c>
      <x:c r="N692"/>
      <x:c r="O692"/>
      <x:c r="P692"/>
      <x:c r="Q692"/>
      <x:c r="R692"/>
      <x:c r="S692" t="n">
        <x:v>0.7</x:v>
      </x:c>
      <x:c r="T692" t="n">
        <x:v>0.7</x:v>
      </x:c>
      <x:c r="U692" s="28" t="n">
        <x:f>T692</x:f>
        <x:v>0.7</x:v>
      </x:c>
      <x:c r="V692" s="32" t="n">
        <x:f>IF(AND(ISNUMBER(S692),ISNUMBER(U692)),ABS(S692-U692),IF(S692=U692,0,1))</x:f>
        <x:v>0</x:v>
      </x:c>
      <x:c r="W692" s="30" t="str">
        <x:v>PASS</x:v>
      </x:c>
      <x:c r="X692" s="28" t="str">
        <x:f>IF(V692&lt;=1E-9,"PASS","FAIL")</x:f>
        <x:v>PASS</x:v>
      </x:c>
      <x:c r="Y692" t="str">
        <x:v>tr.41</x:v>
      </x:c>
      <x:c r="Z692" t="str"/>
    </x:row>
    <x:row r="693">
      <x:c r="A693" t="str">
        <x:v>G0690</x:v>
      </x:c>
      <x:c r="B693" t="str">
        <x:v>Bảng 7</x:v>
      </x:c>
      <x:c r="C693" t="str">
        <x:v>alpha3 exact grid</x:v>
      </x:c>
      <x:c r="D693" t="str">
        <x:v>EXACT</x:v>
      </x:c>
      <x:c r="E693" t="str">
        <x:v>{"phi":33,"hd":12.5,"d":0.8}</x:v>
      </x:c>
      <x:c r="F693" t="str">
        <x:v>EXACT</x:v>
      </x:c>
      <x:c r="G693"/>
      <x:c r="H693"/>
      <x:c r="I693"/>
      <x:c r="J693"/>
      <x:c r="K693"/>
      <x:c r="L693"/>
      <x:c r="M693" t="n">
        <x:v>0.73</x:v>
      </x:c>
      <x:c r="N693"/>
      <x:c r="O693"/>
      <x:c r="P693"/>
      <x:c r="Q693"/>
      <x:c r="R693"/>
      <x:c r="S693" t="n">
        <x:v>0.73</x:v>
      </x:c>
      <x:c r="T693" t="n">
        <x:v>0.73</x:v>
      </x:c>
      <x:c r="U693" s="28" t="n">
        <x:f>T693</x:f>
        <x:v>0.73</x:v>
      </x:c>
      <x:c r="V693" s="32" t="n">
        <x:f>IF(AND(ISNUMBER(S693),ISNUMBER(U693)),ABS(S693-U693),IF(S693=U693,0,1))</x:f>
        <x:v>0</x:v>
      </x:c>
      <x:c r="W693" s="30" t="str">
        <x:v>PASS</x:v>
      </x:c>
      <x:c r="X693" s="28" t="str">
        <x:f>IF(V693&lt;=1E-9,"PASS","FAIL")</x:f>
        <x:v>PASS</x:v>
      </x:c>
      <x:c r="Y693" t="str">
        <x:v>tr.41</x:v>
      </x:c>
      <x:c r="Z693" t="str"/>
    </x:row>
    <x:row r="694">
      <x:c r="A694" t="str">
        <x:v>G0691</x:v>
      </x:c>
      <x:c r="B694" t="str">
        <x:v>Bảng 7</x:v>
      </x:c>
      <x:c r="C694" t="str">
        <x:v>alpha3 exact grid</x:v>
      </x:c>
      <x:c r="D694" t="str">
        <x:v>EXACT</x:v>
      </x:c>
      <x:c r="E694" t="str">
        <x:v>{"phi":35,"hd":12.5,"d":0.8}</x:v>
      </x:c>
      <x:c r="F694" t="str">
        <x:v>EXACT</x:v>
      </x:c>
      <x:c r="G694"/>
      <x:c r="H694"/>
      <x:c r="I694"/>
      <x:c r="J694"/>
      <x:c r="K694"/>
      <x:c r="L694"/>
      <x:c r="M694" t="n">
        <x:v>0.75</x:v>
      </x:c>
      <x:c r="N694"/>
      <x:c r="O694"/>
      <x:c r="P694"/>
      <x:c r="Q694"/>
      <x:c r="R694"/>
      <x:c r="S694" t="n">
        <x:v>0.75</x:v>
      </x:c>
      <x:c r="T694" t="n">
        <x:v>0.75</x:v>
      </x:c>
      <x:c r="U694" s="28" t="n">
        <x:f>T694</x:f>
        <x:v>0.75</x:v>
      </x:c>
      <x:c r="V694" s="32" t="n">
        <x:f>IF(AND(ISNUMBER(S694),ISNUMBER(U694)),ABS(S694-U694),IF(S694=U694,0,1))</x:f>
        <x:v>0</x:v>
      </x:c>
      <x:c r="W694" s="30" t="str">
        <x:v>PASS</x:v>
      </x:c>
      <x:c r="X694" s="28" t="str">
        <x:f>IF(V694&lt;=1E-9,"PASS","FAIL")</x:f>
        <x:v>PASS</x:v>
      </x:c>
      <x:c r="Y694" t="str">
        <x:v>tr.41</x:v>
      </x:c>
      <x:c r="Z694" t="str"/>
    </x:row>
    <x:row r="695">
      <x:c r="A695" t="str">
        <x:v>G0692</x:v>
      </x:c>
      <x:c r="B695" t="str">
        <x:v>Bảng 7</x:v>
      </x:c>
      <x:c r="C695" t="str">
        <x:v>alpha3 exact grid</x:v>
      </x:c>
      <x:c r="D695" t="str">
        <x:v>EXACT</x:v>
      </x:c>
      <x:c r="E695" t="str">
        <x:v>{"phi":37,"hd":12.5,"d":0.8}</x:v>
      </x:c>
      <x:c r="F695" t="str">
        <x:v>EXACT</x:v>
      </x:c>
      <x:c r="G695"/>
      <x:c r="H695"/>
      <x:c r="I695"/>
      <x:c r="J695"/>
      <x:c r="K695"/>
      <x:c r="L695"/>
      <x:c r="M695" t="n">
        <x:v>0.78</x:v>
      </x:c>
      <x:c r="N695"/>
      <x:c r="O695"/>
      <x:c r="P695"/>
      <x:c r="Q695"/>
      <x:c r="R695"/>
      <x:c r="S695" t="n">
        <x:v>0.78</x:v>
      </x:c>
      <x:c r="T695" t="n">
        <x:v>0.78</x:v>
      </x:c>
      <x:c r="U695" s="28" t="n">
        <x:f>T695</x:f>
        <x:v>0.78</x:v>
      </x:c>
      <x:c r="V695" s="32" t="n">
        <x:f>IF(AND(ISNUMBER(S695),ISNUMBER(U695)),ABS(S695-U695),IF(S695=U695,0,1))</x:f>
        <x:v>0</x:v>
      </x:c>
      <x:c r="W695" s="30" t="str">
        <x:v>PASS</x:v>
      </x:c>
      <x:c r="X695" s="28" t="str">
        <x:f>IF(V695&lt;=1E-9,"PASS","FAIL")</x:f>
        <x:v>PASS</x:v>
      </x:c>
      <x:c r="Y695" t="str">
        <x:v>tr.41</x:v>
      </x:c>
      <x:c r="Z695" t="str"/>
    </x:row>
    <x:row r="696">
      <x:c r="A696" t="str">
        <x:v>G0693</x:v>
      </x:c>
      <x:c r="B696" t="str">
        <x:v>Bảng 7</x:v>
      </x:c>
      <x:c r="C696" t="str">
        <x:v>alpha3 exact grid</x:v>
      </x:c>
      <x:c r="D696" t="str">
        <x:v>EXACT</x:v>
      </x:c>
      <x:c r="E696" t="str">
        <x:v>{"phi":39,"hd":12.5,"d":0.8}</x:v>
      </x:c>
      <x:c r="F696" t="str">
        <x:v>EXACT</x:v>
      </x:c>
      <x:c r="G696"/>
      <x:c r="H696"/>
      <x:c r="I696"/>
      <x:c r="J696"/>
      <x:c r="K696"/>
      <x:c r="L696"/>
      <x:c r="M696" t="n">
        <x:v>0.8</x:v>
      </x:c>
      <x:c r="N696"/>
      <x:c r="O696"/>
      <x:c r="P696"/>
      <x:c r="Q696"/>
      <x:c r="R696"/>
      <x:c r="S696" t="n">
        <x:v>0.8</x:v>
      </x:c>
      <x:c r="T696" t="n">
        <x:v>0.8</x:v>
      </x:c>
      <x:c r="U696" s="28" t="n">
        <x:f>T696</x:f>
        <x:v>0.8</x:v>
      </x:c>
      <x:c r="V696" s="32" t="n">
        <x:f>IF(AND(ISNUMBER(S696),ISNUMBER(U696)),ABS(S696-U696),IF(S696=U696,0,1))</x:f>
        <x:v>0</x:v>
      </x:c>
      <x:c r="W696" s="30" t="str">
        <x:v>PASS</x:v>
      </x:c>
      <x:c r="X696" s="28" t="str">
        <x:f>IF(V696&lt;=1E-9,"PASS","FAIL")</x:f>
        <x:v>PASS</x:v>
      </x:c>
      <x:c r="Y696" t="str">
        <x:v>tr.41</x:v>
      </x:c>
      <x:c r="Z696" t="str"/>
    </x:row>
    <x:row r="697">
      <x:c r="A697" t="str">
        <x:v>G0694</x:v>
      </x:c>
      <x:c r="B697" t="str">
        <x:v>Bảng 7</x:v>
      </x:c>
      <x:c r="C697" t="str">
        <x:v>alpha3 exact grid</x:v>
      </x:c>
      <x:c r="D697" t="str">
        <x:v>EXACT</x:v>
      </x:c>
      <x:c r="E697" t="str">
        <x:v>{"phi":23,"hd":15,"d":0.8}</x:v>
      </x:c>
      <x:c r="F697" t="str">
        <x:v>EXACT</x:v>
      </x:c>
      <x:c r="G697"/>
      <x:c r="H697"/>
      <x:c r="I697"/>
      <x:c r="J697"/>
      <x:c r="K697"/>
      <x:c r="L697"/>
      <x:c r="M697" t="n">
        <x:v>0.55</x:v>
      </x:c>
      <x:c r="N697"/>
      <x:c r="O697"/>
      <x:c r="P697"/>
      <x:c r="Q697"/>
      <x:c r="R697"/>
      <x:c r="S697" t="n">
        <x:v>0.55</x:v>
      </x:c>
      <x:c r="T697" t="n">
        <x:v>0.55</x:v>
      </x:c>
      <x:c r="U697" s="28" t="n">
        <x:f>T697</x:f>
        <x:v>0.55</x:v>
      </x:c>
      <x:c r="V697" s="32" t="n">
        <x:f>IF(AND(ISNUMBER(S697),ISNUMBER(U697)),ABS(S697-U697),IF(S697=U697,0,1))</x:f>
        <x:v>0</x:v>
      </x:c>
      <x:c r="W697" s="30" t="str">
        <x:v>PASS</x:v>
      </x:c>
      <x:c r="X697" s="28" t="str">
        <x:f>IF(V697&lt;=1E-9,"PASS","FAIL")</x:f>
        <x:v>PASS</x:v>
      </x:c>
      <x:c r="Y697" t="str">
        <x:v>tr.41</x:v>
      </x:c>
      <x:c r="Z697" t="str"/>
    </x:row>
    <x:row r="698">
      <x:c r="A698" t="str">
        <x:v>G0695</x:v>
      </x:c>
      <x:c r="B698" t="str">
        <x:v>Bảng 7</x:v>
      </x:c>
      <x:c r="C698" t="str">
        <x:v>alpha3 exact grid</x:v>
      </x:c>
      <x:c r="D698" t="str">
        <x:v>EXACT</x:v>
      </x:c>
      <x:c r="E698" t="str">
        <x:v>{"phi":25,"hd":15,"d":0.8}</x:v>
      </x:c>
      <x:c r="F698" t="str">
        <x:v>EXACT</x:v>
      </x:c>
      <x:c r="G698"/>
      <x:c r="H698"/>
      <x:c r="I698"/>
      <x:c r="J698"/>
      <x:c r="K698"/>
      <x:c r="L698"/>
      <x:c r="M698" t="n">
        <x:v>0.58</x:v>
      </x:c>
      <x:c r="N698"/>
      <x:c r="O698"/>
      <x:c r="P698"/>
      <x:c r="Q698"/>
      <x:c r="R698"/>
      <x:c r="S698" t="n">
        <x:v>0.58</x:v>
      </x:c>
      <x:c r="T698" t="n">
        <x:v>0.58</x:v>
      </x:c>
      <x:c r="U698" s="28" t="n">
        <x:f>T698</x:f>
        <x:v>0.58</x:v>
      </x:c>
      <x:c r="V698" s="32" t="n">
        <x:f>IF(AND(ISNUMBER(S698),ISNUMBER(U698)),ABS(S698-U698),IF(S698=U698,0,1))</x:f>
        <x:v>0</x:v>
      </x:c>
      <x:c r="W698" s="30" t="str">
        <x:v>PASS</x:v>
      </x:c>
      <x:c r="X698" s="28" t="str">
        <x:f>IF(V698&lt;=1E-9,"PASS","FAIL")</x:f>
        <x:v>PASS</x:v>
      </x:c>
      <x:c r="Y698" t="str">
        <x:v>tr.41</x:v>
      </x:c>
      <x:c r="Z698" t="str"/>
    </x:row>
    <x:row r="699">
      <x:c r="A699" t="str">
        <x:v>G0696</x:v>
      </x:c>
      <x:c r="B699" t="str">
        <x:v>Bảng 7</x:v>
      </x:c>
      <x:c r="C699" t="str">
        <x:v>alpha3 exact grid</x:v>
      </x:c>
      <x:c r="D699" t="str">
        <x:v>EXACT</x:v>
      </x:c>
      <x:c r="E699" t="str">
        <x:v>{"phi":27,"hd":15,"d":0.8}</x:v>
      </x:c>
      <x:c r="F699" t="str">
        <x:v>EXACT</x:v>
      </x:c>
      <x:c r="G699"/>
      <x:c r="H699"/>
      <x:c r="I699"/>
      <x:c r="J699"/>
      <x:c r="K699"/>
      <x:c r="L699"/>
      <x:c r="M699" t="n">
        <x:v>0.61</x:v>
      </x:c>
      <x:c r="N699"/>
      <x:c r="O699"/>
      <x:c r="P699"/>
      <x:c r="Q699"/>
      <x:c r="R699"/>
      <x:c r="S699" t="n">
        <x:v>0.61</x:v>
      </x:c>
      <x:c r="T699" t="n">
        <x:v>0.61</x:v>
      </x:c>
      <x:c r="U699" s="28" t="n">
        <x:f>T699</x:f>
        <x:v>0.61</x:v>
      </x:c>
      <x:c r="V699" s="32" t="n">
        <x:f>IF(AND(ISNUMBER(S699),ISNUMBER(U699)),ABS(S699-U699),IF(S699=U699,0,1))</x:f>
        <x:v>0</x:v>
      </x:c>
      <x:c r="W699" s="30" t="str">
        <x:v>PASS</x:v>
      </x:c>
      <x:c r="X699" s="28" t="str">
        <x:f>IF(V699&lt;=1E-9,"PASS","FAIL")</x:f>
        <x:v>PASS</x:v>
      </x:c>
      <x:c r="Y699" t="str">
        <x:v>tr.41</x:v>
      </x:c>
      <x:c r="Z699" t="str"/>
    </x:row>
    <x:row r="700">
      <x:c r="A700" t="str">
        <x:v>G0697</x:v>
      </x:c>
      <x:c r="B700" t="str">
        <x:v>Bảng 7</x:v>
      </x:c>
      <x:c r="C700" t="str">
        <x:v>alpha3 exact grid</x:v>
      </x:c>
      <x:c r="D700" t="str">
        <x:v>EXACT</x:v>
      </x:c>
      <x:c r="E700" t="str">
        <x:v>{"phi":29,"hd":15,"d":0.8}</x:v>
      </x:c>
      <x:c r="F700" t="str">
        <x:v>EXACT</x:v>
      </x:c>
      <x:c r="G700"/>
      <x:c r="H700"/>
      <x:c r="I700"/>
      <x:c r="J700"/>
      <x:c r="K700"/>
      <x:c r="L700"/>
      <x:c r="M700" t="n">
        <x:v>0.65</x:v>
      </x:c>
      <x:c r="N700"/>
      <x:c r="O700"/>
      <x:c r="P700"/>
      <x:c r="Q700"/>
      <x:c r="R700"/>
      <x:c r="S700" t="n">
        <x:v>0.65</x:v>
      </x:c>
      <x:c r="T700" t="n">
        <x:v>0.65</x:v>
      </x:c>
      <x:c r="U700" s="28" t="n">
        <x:f>T700</x:f>
        <x:v>0.65</x:v>
      </x:c>
      <x:c r="V700" s="32" t="n">
        <x:f>IF(AND(ISNUMBER(S700),ISNUMBER(U700)),ABS(S700-U700),IF(S700=U700,0,1))</x:f>
        <x:v>0</x:v>
      </x:c>
      <x:c r="W700" s="30" t="str">
        <x:v>PASS</x:v>
      </x:c>
      <x:c r="X700" s="28" t="str">
        <x:f>IF(V700&lt;=1E-9,"PASS","FAIL")</x:f>
        <x:v>PASS</x:v>
      </x:c>
      <x:c r="Y700" t="str">
        <x:v>tr.41</x:v>
      </x:c>
      <x:c r="Z700" t="str"/>
    </x:row>
    <x:row r="701">
      <x:c r="A701" t="str">
        <x:v>G0698</x:v>
      </x:c>
      <x:c r="B701" t="str">
        <x:v>Bảng 7</x:v>
      </x:c>
      <x:c r="C701" t="str">
        <x:v>alpha3 exact grid</x:v>
      </x:c>
      <x:c r="D701" t="str">
        <x:v>EXACT</x:v>
      </x:c>
      <x:c r="E701" t="str">
        <x:v>{"phi":31,"hd":15,"d":0.8}</x:v>
      </x:c>
      <x:c r="F701" t="str">
        <x:v>EXACT</x:v>
      </x:c>
      <x:c r="G701"/>
      <x:c r="H701"/>
      <x:c r="I701"/>
      <x:c r="J701"/>
      <x:c r="K701"/>
      <x:c r="L701"/>
      <x:c r="M701" t="n">
        <x:v>0.68</x:v>
      </x:c>
      <x:c r="N701"/>
      <x:c r="O701"/>
      <x:c r="P701"/>
      <x:c r="Q701"/>
      <x:c r="R701"/>
      <x:c r="S701" t="n">
        <x:v>0.68</x:v>
      </x:c>
      <x:c r="T701" t="n">
        <x:v>0.68</x:v>
      </x:c>
      <x:c r="U701" s="28" t="n">
        <x:f>T701</x:f>
        <x:v>0.68</x:v>
      </x:c>
      <x:c r="V701" s="32" t="n">
        <x:f>IF(AND(ISNUMBER(S701),ISNUMBER(U701)),ABS(S701-U701),IF(S701=U701,0,1))</x:f>
        <x:v>0</x:v>
      </x:c>
      <x:c r="W701" s="30" t="str">
        <x:v>PASS</x:v>
      </x:c>
      <x:c r="X701" s="28" t="str">
        <x:f>IF(V701&lt;=1E-9,"PASS","FAIL")</x:f>
        <x:v>PASS</x:v>
      </x:c>
      <x:c r="Y701" t="str">
        <x:v>tr.41</x:v>
      </x:c>
      <x:c r="Z701" t="str"/>
    </x:row>
    <x:row r="702">
      <x:c r="A702" t="str">
        <x:v>G0699</x:v>
      </x:c>
      <x:c r="B702" t="str">
        <x:v>Bảng 7</x:v>
      </x:c>
      <x:c r="C702" t="str">
        <x:v>alpha3 exact grid</x:v>
      </x:c>
      <x:c r="D702" t="str">
        <x:v>EXACT</x:v>
      </x:c>
      <x:c r="E702" t="str">
        <x:v>{"phi":33,"hd":15,"d":0.8}</x:v>
      </x:c>
      <x:c r="F702" t="str">
        <x:v>EXACT</x:v>
      </x:c>
      <x:c r="G702"/>
      <x:c r="H702"/>
      <x:c r="I702"/>
      <x:c r="J702"/>
      <x:c r="K702"/>
      <x:c r="L702"/>
      <x:c r="M702" t="n">
        <x:v>0.71</x:v>
      </x:c>
      <x:c r="N702"/>
      <x:c r="O702"/>
      <x:c r="P702"/>
      <x:c r="Q702"/>
      <x:c r="R702"/>
      <x:c r="S702" t="n">
        <x:v>0.71</x:v>
      </x:c>
      <x:c r="T702" t="n">
        <x:v>0.71</x:v>
      </x:c>
      <x:c r="U702" s="28" t="n">
        <x:f>T702</x:f>
        <x:v>0.71</x:v>
      </x:c>
      <x:c r="V702" s="32" t="n">
        <x:f>IF(AND(ISNUMBER(S702),ISNUMBER(U702)),ABS(S702-U702),IF(S702=U702,0,1))</x:f>
        <x:v>0</x:v>
      </x:c>
      <x:c r="W702" s="30" t="str">
        <x:v>PASS</x:v>
      </x:c>
      <x:c r="X702" s="28" t="str">
        <x:f>IF(V702&lt;=1E-9,"PASS","FAIL")</x:f>
        <x:v>PASS</x:v>
      </x:c>
      <x:c r="Y702" t="str">
        <x:v>tr.41</x:v>
      </x:c>
      <x:c r="Z702" t="str"/>
    </x:row>
    <x:row r="703">
      <x:c r="A703" t="str">
        <x:v>G0700</x:v>
      </x:c>
      <x:c r="B703" t="str">
        <x:v>Bảng 7</x:v>
      </x:c>
      <x:c r="C703" t="str">
        <x:v>alpha3 exact grid</x:v>
      </x:c>
      <x:c r="D703" t="str">
        <x:v>EXACT</x:v>
      </x:c>
      <x:c r="E703" t="str">
        <x:v>{"phi":35,"hd":15,"d":0.8}</x:v>
      </x:c>
      <x:c r="F703" t="str">
        <x:v>EXACT</x:v>
      </x:c>
      <x:c r="G703"/>
      <x:c r="H703"/>
      <x:c r="I703"/>
      <x:c r="J703"/>
      <x:c r="K703"/>
      <x:c r="L703"/>
      <x:c r="M703" t="n">
        <x:v>0.73</x:v>
      </x:c>
      <x:c r="N703"/>
      <x:c r="O703"/>
      <x:c r="P703"/>
      <x:c r="Q703"/>
      <x:c r="R703"/>
      <x:c r="S703" t="n">
        <x:v>0.73</x:v>
      </x:c>
      <x:c r="T703" t="n">
        <x:v>0.73</x:v>
      </x:c>
      <x:c r="U703" s="28" t="n">
        <x:f>T703</x:f>
        <x:v>0.73</x:v>
      </x:c>
      <x:c r="V703" s="32" t="n">
        <x:f>IF(AND(ISNUMBER(S703),ISNUMBER(U703)),ABS(S703-U703),IF(S703=U703,0,1))</x:f>
        <x:v>0</x:v>
      </x:c>
      <x:c r="W703" s="30" t="str">
        <x:v>PASS</x:v>
      </x:c>
      <x:c r="X703" s="28" t="str">
        <x:f>IF(V703&lt;=1E-9,"PASS","FAIL")</x:f>
        <x:v>PASS</x:v>
      </x:c>
      <x:c r="Y703" t="str">
        <x:v>tr.41</x:v>
      </x:c>
      <x:c r="Z703" t="str"/>
    </x:row>
    <x:row r="704">
      <x:c r="A704" t="str">
        <x:v>G0701</x:v>
      </x:c>
      <x:c r="B704" t="str">
        <x:v>Bảng 7</x:v>
      </x:c>
      <x:c r="C704" t="str">
        <x:v>alpha3 exact grid</x:v>
      </x:c>
      <x:c r="D704" t="str">
        <x:v>EXACT</x:v>
      </x:c>
      <x:c r="E704" t="str">
        <x:v>{"phi":37,"hd":15,"d":0.8}</x:v>
      </x:c>
      <x:c r="F704" t="str">
        <x:v>EXACT</x:v>
      </x:c>
      <x:c r="G704"/>
      <x:c r="H704"/>
      <x:c r="I704"/>
      <x:c r="J704"/>
      <x:c r="K704"/>
      <x:c r="L704"/>
      <x:c r="M704" t="n">
        <x:v>0.76</x:v>
      </x:c>
      <x:c r="N704"/>
      <x:c r="O704"/>
      <x:c r="P704"/>
      <x:c r="Q704"/>
      <x:c r="R704"/>
      <x:c r="S704" t="n">
        <x:v>0.76</x:v>
      </x:c>
      <x:c r="T704" t="n">
        <x:v>0.76</x:v>
      </x:c>
      <x:c r="U704" s="28" t="n">
        <x:f>T704</x:f>
        <x:v>0.76</x:v>
      </x:c>
      <x:c r="V704" s="32" t="n">
        <x:f>IF(AND(ISNUMBER(S704),ISNUMBER(U704)),ABS(S704-U704),IF(S704=U704,0,1))</x:f>
        <x:v>0</x:v>
      </x:c>
      <x:c r="W704" s="30" t="str">
        <x:v>PASS</x:v>
      </x:c>
      <x:c r="X704" s="28" t="str">
        <x:f>IF(V704&lt;=1E-9,"PASS","FAIL")</x:f>
        <x:v>PASS</x:v>
      </x:c>
      <x:c r="Y704" t="str">
        <x:v>tr.41</x:v>
      </x:c>
      <x:c r="Z704" t="str"/>
    </x:row>
    <x:row r="705">
      <x:c r="A705" t="str">
        <x:v>G0702</x:v>
      </x:c>
      <x:c r="B705" t="str">
        <x:v>Bảng 7</x:v>
      </x:c>
      <x:c r="C705" t="str">
        <x:v>alpha3 exact grid</x:v>
      </x:c>
      <x:c r="D705" t="str">
        <x:v>EXACT</x:v>
      </x:c>
      <x:c r="E705" t="str">
        <x:v>{"phi":39,"hd":15,"d":0.8}</x:v>
      </x:c>
      <x:c r="F705" t="str">
        <x:v>EXACT</x:v>
      </x:c>
      <x:c r="G705"/>
      <x:c r="H705"/>
      <x:c r="I705"/>
      <x:c r="J705"/>
      <x:c r="K705"/>
      <x:c r="L705"/>
      <x:c r="M705" t="n">
        <x:v>0.79</x:v>
      </x:c>
      <x:c r="N705"/>
      <x:c r="O705"/>
      <x:c r="P705"/>
      <x:c r="Q705"/>
      <x:c r="R705"/>
      <x:c r="S705" t="n">
        <x:v>0.79</x:v>
      </x:c>
      <x:c r="T705" t="n">
        <x:v>0.79</x:v>
      </x:c>
      <x:c r="U705" s="28" t="n">
        <x:f>T705</x:f>
        <x:v>0.79</x:v>
      </x:c>
      <x:c r="V705" s="32" t="n">
        <x:f>IF(AND(ISNUMBER(S705),ISNUMBER(U705)),ABS(S705-U705),IF(S705=U705,0,1))</x:f>
        <x:v>0</x:v>
      </x:c>
      <x:c r="W705" s="30" t="str">
        <x:v>PASS</x:v>
      </x:c>
      <x:c r="X705" s="28" t="str">
        <x:f>IF(V705&lt;=1E-9,"PASS","FAIL")</x:f>
        <x:v>PASS</x:v>
      </x:c>
      <x:c r="Y705" t="str">
        <x:v>tr.41</x:v>
      </x:c>
      <x:c r="Z705" t="str"/>
    </x:row>
    <x:row r="706">
      <x:c r="A706" t="str">
        <x:v>G0703</x:v>
      </x:c>
      <x:c r="B706" t="str">
        <x:v>Bảng 7</x:v>
      </x:c>
      <x:c r="C706" t="str">
        <x:v>alpha3 exact grid</x:v>
      </x:c>
      <x:c r="D706" t="str">
        <x:v>EXACT</x:v>
      </x:c>
      <x:c r="E706" t="str">
        <x:v>{"phi":23,"hd":17.5,"d":0.8}</x:v>
      </x:c>
      <x:c r="F706" t="str">
        <x:v>EXACT</x:v>
      </x:c>
      <x:c r="G706"/>
      <x:c r="H706"/>
      <x:c r="I706"/>
      <x:c r="J706"/>
      <x:c r="K706"/>
      <x:c r="L706"/>
      <x:c r="M706" t="n">
        <x:v>0.51</x:v>
      </x:c>
      <x:c r="N706"/>
      <x:c r="O706"/>
      <x:c r="P706"/>
      <x:c r="Q706"/>
      <x:c r="R706"/>
      <x:c r="S706" t="n">
        <x:v>0.51</x:v>
      </x:c>
      <x:c r="T706" t="n">
        <x:v>0.51</x:v>
      </x:c>
      <x:c r="U706" s="28" t="n">
        <x:f>T706</x:f>
        <x:v>0.51</x:v>
      </x:c>
      <x:c r="V706" s="32" t="n">
        <x:f>IF(AND(ISNUMBER(S706),ISNUMBER(U706)),ABS(S706-U706),IF(S706=U706,0,1))</x:f>
        <x:v>0</x:v>
      </x:c>
      <x:c r="W706" s="30" t="str">
        <x:v>PASS</x:v>
      </x:c>
      <x:c r="X706" s="28" t="str">
        <x:f>IF(V706&lt;=1E-9,"PASS","FAIL")</x:f>
        <x:v>PASS</x:v>
      </x:c>
      <x:c r="Y706" t="str">
        <x:v>tr.41</x:v>
      </x:c>
      <x:c r="Z706" t="str"/>
    </x:row>
    <x:row r="707">
      <x:c r="A707" t="str">
        <x:v>G0704</x:v>
      </x:c>
      <x:c r="B707" t="str">
        <x:v>Bảng 7</x:v>
      </x:c>
      <x:c r="C707" t="str">
        <x:v>alpha3 exact grid</x:v>
      </x:c>
      <x:c r="D707" t="str">
        <x:v>EXACT</x:v>
      </x:c>
      <x:c r="E707" t="str">
        <x:v>{"phi":25,"hd":17.5,"d":0.8}</x:v>
      </x:c>
      <x:c r="F707" t="str">
        <x:v>EXACT</x:v>
      </x:c>
      <x:c r="G707"/>
      <x:c r="H707"/>
      <x:c r="I707"/>
      <x:c r="J707"/>
      <x:c r="K707"/>
      <x:c r="L707"/>
      <x:c r="M707" t="n">
        <x:v>0.55</x:v>
      </x:c>
      <x:c r="N707"/>
      <x:c r="O707"/>
      <x:c r="P707"/>
      <x:c r="Q707"/>
      <x:c r="R707"/>
      <x:c r="S707" t="n">
        <x:v>0.55</x:v>
      </x:c>
      <x:c r="T707" t="n">
        <x:v>0.55</x:v>
      </x:c>
      <x:c r="U707" s="28" t="n">
        <x:f>T707</x:f>
        <x:v>0.55</x:v>
      </x:c>
      <x:c r="V707" s="32" t="n">
        <x:f>IF(AND(ISNUMBER(S707),ISNUMBER(U707)),ABS(S707-U707),IF(S707=U707,0,1))</x:f>
        <x:v>0</x:v>
      </x:c>
      <x:c r="W707" s="30" t="str">
        <x:v>PASS</x:v>
      </x:c>
      <x:c r="X707" s="28" t="str">
        <x:f>IF(V707&lt;=1E-9,"PASS","FAIL")</x:f>
        <x:v>PASS</x:v>
      </x:c>
      <x:c r="Y707" t="str">
        <x:v>tr.41</x:v>
      </x:c>
      <x:c r="Z707" t="str"/>
    </x:row>
    <x:row r="708">
      <x:c r="A708" t="str">
        <x:v>G0705</x:v>
      </x:c>
      <x:c r="B708" t="str">
        <x:v>Bảng 7</x:v>
      </x:c>
      <x:c r="C708" t="str">
        <x:v>alpha3 exact grid</x:v>
      </x:c>
      <x:c r="D708" t="str">
        <x:v>EXACT</x:v>
      </x:c>
      <x:c r="E708" t="str">
        <x:v>{"phi":27,"hd":17.5,"d":0.8}</x:v>
      </x:c>
      <x:c r="F708" t="str">
        <x:v>EXACT</x:v>
      </x:c>
      <x:c r="G708"/>
      <x:c r="H708"/>
      <x:c r="I708"/>
      <x:c r="J708"/>
      <x:c r="K708"/>
      <x:c r="L708"/>
      <x:c r="M708" t="n">
        <x:v>0.58</x:v>
      </x:c>
      <x:c r="N708"/>
      <x:c r="O708"/>
      <x:c r="P708"/>
      <x:c r="Q708"/>
      <x:c r="R708"/>
      <x:c r="S708" t="n">
        <x:v>0.58</x:v>
      </x:c>
      <x:c r="T708" t="n">
        <x:v>0.58</x:v>
      </x:c>
      <x:c r="U708" s="28" t="n">
        <x:f>T708</x:f>
        <x:v>0.58</x:v>
      </x:c>
      <x:c r="V708" s="32" t="n">
        <x:f>IF(AND(ISNUMBER(S708),ISNUMBER(U708)),ABS(S708-U708),IF(S708=U708,0,1))</x:f>
        <x:v>0</x:v>
      </x:c>
      <x:c r="W708" s="30" t="str">
        <x:v>PASS</x:v>
      </x:c>
      <x:c r="X708" s="28" t="str">
        <x:f>IF(V708&lt;=1E-9,"PASS","FAIL")</x:f>
        <x:v>PASS</x:v>
      </x:c>
      <x:c r="Y708" t="str">
        <x:v>tr.41</x:v>
      </x:c>
      <x:c r="Z708" t="str"/>
    </x:row>
    <x:row r="709">
      <x:c r="A709" t="str">
        <x:v>G0706</x:v>
      </x:c>
      <x:c r="B709" t="str">
        <x:v>Bảng 7</x:v>
      </x:c>
      <x:c r="C709" t="str">
        <x:v>alpha3 exact grid</x:v>
      </x:c>
      <x:c r="D709" t="str">
        <x:v>EXACT</x:v>
      </x:c>
      <x:c r="E709" t="str">
        <x:v>{"phi":29,"hd":17.5,"d":0.8}</x:v>
      </x:c>
      <x:c r="F709" t="str">
        <x:v>EXACT</x:v>
      </x:c>
      <x:c r="G709"/>
      <x:c r="H709"/>
      <x:c r="I709"/>
      <x:c r="J709"/>
      <x:c r="K709"/>
      <x:c r="L709"/>
      <x:c r="M709" t="n">
        <x:v>0.62</x:v>
      </x:c>
      <x:c r="N709"/>
      <x:c r="O709"/>
      <x:c r="P709"/>
      <x:c r="Q709"/>
      <x:c r="R709"/>
      <x:c r="S709" t="n">
        <x:v>0.62</x:v>
      </x:c>
      <x:c r="T709" t="n">
        <x:v>0.62</x:v>
      </x:c>
      <x:c r="U709" s="28" t="n">
        <x:f>T709</x:f>
        <x:v>0.62</x:v>
      </x:c>
      <x:c r="V709" s="32" t="n">
        <x:f>IF(AND(ISNUMBER(S709),ISNUMBER(U709)),ABS(S709-U709),IF(S709=U709,0,1))</x:f>
        <x:v>0</x:v>
      </x:c>
      <x:c r="W709" s="30" t="str">
        <x:v>PASS</x:v>
      </x:c>
      <x:c r="X709" s="28" t="str">
        <x:f>IF(V709&lt;=1E-9,"PASS","FAIL")</x:f>
        <x:v>PASS</x:v>
      </x:c>
      <x:c r="Y709" t="str">
        <x:v>tr.41</x:v>
      </x:c>
      <x:c r="Z709" t="str"/>
    </x:row>
    <x:row r="710">
      <x:c r="A710" t="str">
        <x:v>G0707</x:v>
      </x:c>
      <x:c r="B710" t="str">
        <x:v>Bảng 7</x:v>
      </x:c>
      <x:c r="C710" t="str">
        <x:v>alpha3 exact grid</x:v>
      </x:c>
      <x:c r="D710" t="str">
        <x:v>EXACT</x:v>
      </x:c>
      <x:c r="E710" t="str">
        <x:v>{"phi":31,"hd":17.5,"d":0.8}</x:v>
      </x:c>
      <x:c r="F710" t="str">
        <x:v>EXACT</x:v>
      </x:c>
      <x:c r="G710"/>
      <x:c r="H710"/>
      <x:c r="I710"/>
      <x:c r="J710"/>
      <x:c r="K710"/>
      <x:c r="L710"/>
      <x:c r="M710" t="n">
        <x:v>0.66</x:v>
      </x:c>
      <x:c r="N710"/>
      <x:c r="O710"/>
      <x:c r="P710"/>
      <x:c r="Q710"/>
      <x:c r="R710"/>
      <x:c r="S710" t="n">
        <x:v>0.66</x:v>
      </x:c>
      <x:c r="T710" t="n">
        <x:v>0.66</x:v>
      </x:c>
      <x:c r="U710" s="28" t="n">
        <x:f>T710</x:f>
        <x:v>0.66</x:v>
      </x:c>
      <x:c r="V710" s="32" t="n">
        <x:f>IF(AND(ISNUMBER(S710),ISNUMBER(U710)),ABS(S710-U710),IF(S710=U710,0,1))</x:f>
        <x:v>0</x:v>
      </x:c>
      <x:c r="W710" s="30" t="str">
        <x:v>PASS</x:v>
      </x:c>
      <x:c r="X710" s="28" t="str">
        <x:f>IF(V710&lt;=1E-9,"PASS","FAIL")</x:f>
        <x:v>PASS</x:v>
      </x:c>
      <x:c r="Y710" t="str">
        <x:v>tr.41</x:v>
      </x:c>
      <x:c r="Z710" t="str"/>
    </x:row>
    <x:row r="711">
      <x:c r="A711" t="str">
        <x:v>G0708</x:v>
      </x:c>
      <x:c r="B711" t="str">
        <x:v>Bảng 7</x:v>
      </x:c>
      <x:c r="C711" t="str">
        <x:v>alpha3 exact grid</x:v>
      </x:c>
      <x:c r="D711" t="str">
        <x:v>EXACT</x:v>
      </x:c>
      <x:c r="E711" t="str">
        <x:v>{"phi":33,"hd":17.5,"d":0.8}</x:v>
      </x:c>
      <x:c r="F711" t="str">
        <x:v>EXACT</x:v>
      </x:c>
      <x:c r="G711"/>
      <x:c r="H711"/>
      <x:c r="I711"/>
      <x:c r="J711"/>
      <x:c r="K711"/>
      <x:c r="L711"/>
      <x:c r="M711" t="n">
        <x:v>0.69</x:v>
      </x:c>
      <x:c r="N711"/>
      <x:c r="O711"/>
      <x:c r="P711"/>
      <x:c r="Q711"/>
      <x:c r="R711"/>
      <x:c r="S711" t="n">
        <x:v>0.69</x:v>
      </x:c>
      <x:c r="T711" t="n">
        <x:v>0.69</x:v>
      </x:c>
      <x:c r="U711" s="28" t="n">
        <x:f>T711</x:f>
        <x:v>0.69</x:v>
      </x:c>
      <x:c r="V711" s="32" t="n">
        <x:f>IF(AND(ISNUMBER(S711),ISNUMBER(U711)),ABS(S711-U711),IF(S711=U711,0,1))</x:f>
        <x:v>0</x:v>
      </x:c>
      <x:c r="W711" s="30" t="str">
        <x:v>PASS</x:v>
      </x:c>
      <x:c r="X711" s="28" t="str">
        <x:f>IF(V711&lt;=1E-9,"PASS","FAIL")</x:f>
        <x:v>PASS</x:v>
      </x:c>
      <x:c r="Y711" t="str">
        <x:v>tr.41</x:v>
      </x:c>
      <x:c r="Z711" t="str"/>
    </x:row>
    <x:row r="712">
      <x:c r="A712" t="str">
        <x:v>G0709</x:v>
      </x:c>
      <x:c r="B712" t="str">
        <x:v>Bảng 7</x:v>
      </x:c>
      <x:c r="C712" t="str">
        <x:v>alpha3 exact grid</x:v>
      </x:c>
      <x:c r="D712" t="str">
        <x:v>EXACT</x:v>
      </x:c>
      <x:c r="E712" t="str">
        <x:v>{"phi":35,"hd":17.5,"d":0.8}</x:v>
      </x:c>
      <x:c r="F712" t="str">
        <x:v>EXACT</x:v>
      </x:c>
      <x:c r="G712"/>
      <x:c r="H712"/>
      <x:c r="I712"/>
      <x:c r="J712"/>
      <x:c r="K712"/>
      <x:c r="L712"/>
      <x:c r="M712" t="n">
        <x:v>0.72</x:v>
      </x:c>
      <x:c r="N712"/>
      <x:c r="O712"/>
      <x:c r="P712"/>
      <x:c r="Q712"/>
      <x:c r="R712"/>
      <x:c r="S712" t="n">
        <x:v>0.72</x:v>
      </x:c>
      <x:c r="T712" t="n">
        <x:v>0.72</x:v>
      </x:c>
      <x:c r="U712" s="28" t="n">
        <x:f>T712</x:f>
        <x:v>0.72</x:v>
      </x:c>
      <x:c r="V712" s="32" t="n">
        <x:f>IF(AND(ISNUMBER(S712),ISNUMBER(U712)),ABS(S712-U712),IF(S712=U712,0,1))</x:f>
        <x:v>0</x:v>
      </x:c>
      <x:c r="W712" s="30" t="str">
        <x:v>PASS</x:v>
      </x:c>
      <x:c r="X712" s="28" t="str">
        <x:f>IF(V712&lt;=1E-9,"PASS","FAIL")</x:f>
        <x:v>PASS</x:v>
      </x:c>
      <x:c r="Y712" t="str">
        <x:v>tr.41</x:v>
      </x:c>
      <x:c r="Z712" t="str"/>
    </x:row>
    <x:row r="713">
      <x:c r="A713" t="str">
        <x:v>G0710</x:v>
      </x:c>
      <x:c r="B713" t="str">
        <x:v>Bảng 7</x:v>
      </x:c>
      <x:c r="C713" t="str">
        <x:v>alpha3 exact grid</x:v>
      </x:c>
      <x:c r="D713" t="str">
        <x:v>EXACT</x:v>
      </x:c>
      <x:c r="E713" t="str">
        <x:v>{"phi":37,"hd":17.5,"d":0.8}</x:v>
      </x:c>
      <x:c r="F713" t="str">
        <x:v>EXACT</x:v>
      </x:c>
      <x:c r="G713"/>
      <x:c r="H713"/>
      <x:c r="I713"/>
      <x:c r="J713"/>
      <x:c r="K713"/>
      <x:c r="L713"/>
      <x:c r="M713" t="n">
        <x:v>0.75</x:v>
      </x:c>
      <x:c r="N713"/>
      <x:c r="O713"/>
      <x:c r="P713"/>
      <x:c r="Q713"/>
      <x:c r="R713"/>
      <x:c r="S713" t="n">
        <x:v>0.75</x:v>
      </x:c>
      <x:c r="T713" t="n">
        <x:v>0.75</x:v>
      </x:c>
      <x:c r="U713" s="28" t="n">
        <x:f>T713</x:f>
        <x:v>0.75</x:v>
      </x:c>
      <x:c r="V713" s="32" t="n">
        <x:f>IF(AND(ISNUMBER(S713),ISNUMBER(U713)),ABS(S713-U713),IF(S713=U713,0,1))</x:f>
        <x:v>0</x:v>
      </x:c>
      <x:c r="W713" s="30" t="str">
        <x:v>PASS</x:v>
      </x:c>
      <x:c r="X713" s="28" t="str">
        <x:f>IF(V713&lt;=1E-9,"PASS","FAIL")</x:f>
        <x:v>PASS</x:v>
      </x:c>
      <x:c r="Y713" t="str">
        <x:v>tr.41</x:v>
      </x:c>
      <x:c r="Z713" t="str"/>
    </x:row>
    <x:row r="714">
      <x:c r="A714" t="str">
        <x:v>G0711</x:v>
      </x:c>
      <x:c r="B714" t="str">
        <x:v>Bảng 7</x:v>
      </x:c>
      <x:c r="C714" t="str">
        <x:v>alpha3 exact grid</x:v>
      </x:c>
      <x:c r="D714" t="str">
        <x:v>EXACT</x:v>
      </x:c>
      <x:c r="E714" t="str">
        <x:v>{"phi":39,"hd":17.5,"d":0.8}</x:v>
      </x:c>
      <x:c r="F714" t="str">
        <x:v>EXACT</x:v>
      </x:c>
      <x:c r="G714"/>
      <x:c r="H714"/>
      <x:c r="I714"/>
      <x:c r="J714"/>
      <x:c r="K714"/>
      <x:c r="L714"/>
      <x:c r="M714" t="n">
        <x:v>0.78</x:v>
      </x:c>
      <x:c r="N714"/>
      <x:c r="O714"/>
      <x:c r="P714"/>
      <x:c r="Q714"/>
      <x:c r="R714"/>
      <x:c r="S714" t="n">
        <x:v>0.78</x:v>
      </x:c>
      <x:c r="T714" t="n">
        <x:v>0.78</x:v>
      </x:c>
      <x:c r="U714" s="28" t="n">
        <x:f>T714</x:f>
        <x:v>0.78</x:v>
      </x:c>
      <x:c r="V714" s="32" t="n">
        <x:f>IF(AND(ISNUMBER(S714),ISNUMBER(U714)),ABS(S714-U714),IF(S714=U714,0,1))</x:f>
        <x:v>0</x:v>
      </x:c>
      <x:c r="W714" s="30" t="str">
        <x:v>PASS</x:v>
      </x:c>
      <x:c r="X714" s="28" t="str">
        <x:f>IF(V714&lt;=1E-9,"PASS","FAIL")</x:f>
        <x:v>PASS</x:v>
      </x:c>
      <x:c r="Y714" t="str">
        <x:v>tr.41</x:v>
      </x:c>
      <x:c r="Z714" t="str"/>
    </x:row>
    <x:row r="715">
      <x:c r="A715" t="str">
        <x:v>G0712</x:v>
      </x:c>
      <x:c r="B715" t="str">
        <x:v>Bảng 7</x:v>
      </x:c>
      <x:c r="C715" t="str">
        <x:v>alpha3 exact grid</x:v>
      </x:c>
      <x:c r="D715" t="str">
        <x:v>EXACT</x:v>
      </x:c>
      <x:c r="E715" t="str">
        <x:v>{"phi":23,"hd":20,"d":0.8}</x:v>
      </x:c>
      <x:c r="F715" t="str">
        <x:v>EXACT</x:v>
      </x:c>
      <x:c r="G715"/>
      <x:c r="H715"/>
      <x:c r="I715"/>
      <x:c r="J715"/>
      <x:c r="K715"/>
      <x:c r="L715"/>
      <x:c r="M715" t="n">
        <x:v>0.49</x:v>
      </x:c>
      <x:c r="N715"/>
      <x:c r="O715"/>
      <x:c r="P715"/>
      <x:c r="Q715"/>
      <x:c r="R715"/>
      <x:c r="S715" t="n">
        <x:v>0.49</x:v>
      </x:c>
      <x:c r="T715" t="n">
        <x:v>0.49</x:v>
      </x:c>
      <x:c r="U715" s="28" t="n">
        <x:f>T715</x:f>
        <x:v>0.49</x:v>
      </x:c>
      <x:c r="V715" s="32" t="n">
        <x:f>IF(AND(ISNUMBER(S715),ISNUMBER(U715)),ABS(S715-U715),IF(S715=U715,0,1))</x:f>
        <x:v>0</x:v>
      </x:c>
      <x:c r="W715" s="30" t="str">
        <x:v>PASS</x:v>
      </x:c>
      <x:c r="X715" s="28" t="str">
        <x:f>IF(V715&lt;=1E-9,"PASS","FAIL")</x:f>
        <x:v>PASS</x:v>
      </x:c>
      <x:c r="Y715" t="str">
        <x:v>tr.41</x:v>
      </x:c>
      <x:c r="Z715" t="str"/>
    </x:row>
    <x:row r="716">
      <x:c r="A716" t="str">
        <x:v>G0713</x:v>
      </x:c>
      <x:c r="B716" t="str">
        <x:v>Bảng 7</x:v>
      </x:c>
      <x:c r="C716" t="str">
        <x:v>alpha3 exact grid</x:v>
      </x:c>
      <x:c r="D716" t="str">
        <x:v>EXACT</x:v>
      </x:c>
      <x:c r="E716" t="str">
        <x:v>{"phi":25,"hd":20,"d":0.8}</x:v>
      </x:c>
      <x:c r="F716" t="str">
        <x:v>EXACT</x:v>
      </x:c>
      <x:c r="G716"/>
      <x:c r="H716"/>
      <x:c r="I716"/>
      <x:c r="J716"/>
      <x:c r="K716"/>
      <x:c r="L716"/>
      <x:c r="M716" t="n">
        <x:v>0.53</x:v>
      </x:c>
      <x:c r="N716"/>
      <x:c r="O716"/>
      <x:c r="P716"/>
      <x:c r="Q716"/>
      <x:c r="R716"/>
      <x:c r="S716" t="n">
        <x:v>0.53</x:v>
      </x:c>
      <x:c r="T716" t="n">
        <x:v>0.53</x:v>
      </x:c>
      <x:c r="U716" s="28" t="n">
        <x:f>T716</x:f>
        <x:v>0.53</x:v>
      </x:c>
      <x:c r="V716" s="32" t="n">
        <x:f>IF(AND(ISNUMBER(S716),ISNUMBER(U716)),ABS(S716-U716),IF(S716=U716,0,1))</x:f>
        <x:v>0</x:v>
      </x:c>
      <x:c r="W716" s="30" t="str">
        <x:v>PASS</x:v>
      </x:c>
      <x:c r="X716" s="28" t="str">
        <x:f>IF(V716&lt;=1E-9,"PASS","FAIL")</x:f>
        <x:v>PASS</x:v>
      </x:c>
      <x:c r="Y716" t="str">
        <x:v>tr.41</x:v>
      </x:c>
      <x:c r="Z716" t="str"/>
    </x:row>
    <x:row r="717">
      <x:c r="A717" t="str">
        <x:v>G0714</x:v>
      </x:c>
      <x:c r="B717" t="str">
        <x:v>Bảng 7</x:v>
      </x:c>
      <x:c r="C717" t="str">
        <x:v>alpha3 exact grid</x:v>
      </x:c>
      <x:c r="D717" t="str">
        <x:v>EXACT</x:v>
      </x:c>
      <x:c r="E717" t="str">
        <x:v>{"phi":27,"hd":20,"d":0.8}</x:v>
      </x:c>
      <x:c r="F717" t="str">
        <x:v>EXACT</x:v>
      </x:c>
      <x:c r="G717"/>
      <x:c r="H717"/>
      <x:c r="I717"/>
      <x:c r="J717"/>
      <x:c r="K717"/>
      <x:c r="L717"/>
      <x:c r="M717" t="n">
        <x:v>0.57</x:v>
      </x:c>
      <x:c r="N717"/>
      <x:c r="O717"/>
      <x:c r="P717"/>
      <x:c r="Q717"/>
      <x:c r="R717"/>
      <x:c r="S717" t="n">
        <x:v>0.57</x:v>
      </x:c>
      <x:c r="T717" t="n">
        <x:v>0.57</x:v>
      </x:c>
      <x:c r="U717" s="28" t="n">
        <x:f>T717</x:f>
        <x:v>0.57</x:v>
      </x:c>
      <x:c r="V717" s="32" t="n">
        <x:f>IF(AND(ISNUMBER(S717),ISNUMBER(U717)),ABS(S717-U717),IF(S717=U717,0,1))</x:f>
        <x:v>0</x:v>
      </x:c>
      <x:c r="W717" s="30" t="str">
        <x:v>PASS</x:v>
      </x:c>
      <x:c r="X717" s="28" t="str">
        <x:f>IF(V717&lt;=1E-9,"PASS","FAIL")</x:f>
        <x:v>PASS</x:v>
      </x:c>
      <x:c r="Y717" t="str">
        <x:v>tr.41</x:v>
      </x:c>
      <x:c r="Z717" t="str"/>
    </x:row>
    <x:row r="718">
      <x:c r="A718" t="str">
        <x:v>G0715</x:v>
      </x:c>
      <x:c r="B718" t="str">
        <x:v>Bảng 7</x:v>
      </x:c>
      <x:c r="C718" t="str">
        <x:v>alpha3 exact grid</x:v>
      </x:c>
      <x:c r="D718" t="str">
        <x:v>EXACT</x:v>
      </x:c>
      <x:c r="E718" t="str">
        <x:v>{"phi":29,"hd":20,"d":0.8}</x:v>
      </x:c>
      <x:c r="F718" t="str">
        <x:v>EXACT</x:v>
      </x:c>
      <x:c r="G718"/>
      <x:c r="H718"/>
      <x:c r="I718"/>
      <x:c r="J718"/>
      <x:c r="K718"/>
      <x:c r="L718"/>
      <x:c r="M718" t="n">
        <x:v>0.61</x:v>
      </x:c>
      <x:c r="N718"/>
      <x:c r="O718"/>
      <x:c r="P718"/>
      <x:c r="Q718"/>
      <x:c r="R718"/>
      <x:c r="S718" t="n">
        <x:v>0.61</x:v>
      </x:c>
      <x:c r="T718" t="n">
        <x:v>0.61</x:v>
      </x:c>
      <x:c r="U718" s="28" t="n">
        <x:f>T718</x:f>
        <x:v>0.61</x:v>
      </x:c>
      <x:c r="V718" s="32" t="n">
        <x:f>IF(AND(ISNUMBER(S718),ISNUMBER(U718)),ABS(S718-U718),IF(S718=U718,0,1))</x:f>
        <x:v>0</x:v>
      </x:c>
      <x:c r="W718" s="30" t="str">
        <x:v>PASS</x:v>
      </x:c>
      <x:c r="X718" s="28" t="str">
        <x:f>IF(V718&lt;=1E-9,"PASS","FAIL")</x:f>
        <x:v>PASS</x:v>
      </x:c>
      <x:c r="Y718" t="str">
        <x:v>tr.41</x:v>
      </x:c>
      <x:c r="Z718" t="str"/>
    </x:row>
    <x:row r="719">
      <x:c r="A719" t="str">
        <x:v>G0716</x:v>
      </x:c>
      <x:c r="B719" t="str">
        <x:v>Bảng 7</x:v>
      </x:c>
      <x:c r="C719" t="str">
        <x:v>alpha3 exact grid</x:v>
      </x:c>
      <x:c r="D719" t="str">
        <x:v>EXACT</x:v>
      </x:c>
      <x:c r="E719" t="str">
        <x:v>{"phi":31,"hd":20,"d":0.8}</x:v>
      </x:c>
      <x:c r="F719" t="str">
        <x:v>EXACT</x:v>
      </x:c>
      <x:c r="G719"/>
      <x:c r="H719"/>
      <x:c r="I719"/>
      <x:c r="J719"/>
      <x:c r="K719"/>
      <x:c r="L719"/>
      <x:c r="M719" t="n">
        <x:v>0.65</x:v>
      </x:c>
      <x:c r="N719"/>
      <x:c r="O719"/>
      <x:c r="P719"/>
      <x:c r="Q719"/>
      <x:c r="R719"/>
      <x:c r="S719" t="n">
        <x:v>0.65</x:v>
      </x:c>
      <x:c r="T719" t="n">
        <x:v>0.65</x:v>
      </x:c>
      <x:c r="U719" s="28" t="n">
        <x:f>T719</x:f>
        <x:v>0.65</x:v>
      </x:c>
      <x:c r="V719" s="32" t="n">
        <x:f>IF(AND(ISNUMBER(S719),ISNUMBER(U719)),ABS(S719-U719),IF(S719=U719,0,1))</x:f>
        <x:v>0</x:v>
      </x:c>
      <x:c r="W719" s="30" t="str">
        <x:v>PASS</x:v>
      </x:c>
      <x:c r="X719" s="28" t="str">
        <x:f>IF(V719&lt;=1E-9,"PASS","FAIL")</x:f>
        <x:v>PASS</x:v>
      </x:c>
      <x:c r="Y719" t="str">
        <x:v>tr.41</x:v>
      </x:c>
      <x:c r="Z719" t="str"/>
    </x:row>
    <x:row r="720">
      <x:c r="A720" t="str">
        <x:v>G0717</x:v>
      </x:c>
      <x:c r="B720" t="str">
        <x:v>Bảng 7</x:v>
      </x:c>
      <x:c r="C720" t="str">
        <x:v>alpha3 exact grid</x:v>
      </x:c>
      <x:c r="D720" t="str">
        <x:v>EXACT</x:v>
      </x:c>
      <x:c r="E720" t="str">
        <x:v>{"phi":33,"hd":20,"d":0.8}</x:v>
      </x:c>
      <x:c r="F720" t="str">
        <x:v>EXACT</x:v>
      </x:c>
      <x:c r="G720"/>
      <x:c r="H720"/>
      <x:c r="I720"/>
      <x:c r="J720"/>
      <x:c r="K720"/>
      <x:c r="L720"/>
      <x:c r="M720" t="n">
        <x:v>0.68</x:v>
      </x:c>
      <x:c r="N720"/>
      <x:c r="O720"/>
      <x:c r="P720"/>
      <x:c r="Q720"/>
      <x:c r="R720"/>
      <x:c r="S720" t="n">
        <x:v>0.68</x:v>
      </x:c>
      <x:c r="T720" t="n">
        <x:v>0.68</x:v>
      </x:c>
      <x:c r="U720" s="28" t="n">
        <x:f>T720</x:f>
        <x:v>0.68</x:v>
      </x:c>
      <x:c r="V720" s="32" t="n">
        <x:f>IF(AND(ISNUMBER(S720),ISNUMBER(U720)),ABS(S720-U720),IF(S720=U720,0,1))</x:f>
        <x:v>0</x:v>
      </x:c>
      <x:c r="W720" s="30" t="str">
        <x:v>PASS</x:v>
      </x:c>
      <x:c r="X720" s="28" t="str">
        <x:f>IF(V720&lt;=1E-9,"PASS","FAIL")</x:f>
        <x:v>PASS</x:v>
      </x:c>
      <x:c r="Y720" t="str">
        <x:v>tr.41</x:v>
      </x:c>
      <x:c r="Z720" t="str"/>
    </x:row>
    <x:row r="721">
      <x:c r="A721" t="str">
        <x:v>G0718</x:v>
      </x:c>
      <x:c r="B721" t="str">
        <x:v>Bảng 7</x:v>
      </x:c>
      <x:c r="C721" t="str">
        <x:v>alpha3 exact grid</x:v>
      </x:c>
      <x:c r="D721" t="str">
        <x:v>EXACT</x:v>
      </x:c>
      <x:c r="E721" t="str">
        <x:v>{"phi":35,"hd":20,"d":0.8}</x:v>
      </x:c>
      <x:c r="F721" t="str">
        <x:v>EXACT</x:v>
      </x:c>
      <x:c r="G721"/>
      <x:c r="H721"/>
      <x:c r="I721"/>
      <x:c r="J721"/>
      <x:c r="K721"/>
      <x:c r="L721"/>
      <x:c r="M721" t="n">
        <x:v>0.72</x:v>
      </x:c>
      <x:c r="N721"/>
      <x:c r="O721"/>
      <x:c r="P721"/>
      <x:c r="Q721"/>
      <x:c r="R721"/>
      <x:c r="S721" t="n">
        <x:v>0.72</x:v>
      </x:c>
      <x:c r="T721" t="n">
        <x:v>0.72</x:v>
      </x:c>
      <x:c r="U721" s="28" t="n">
        <x:f>T721</x:f>
        <x:v>0.72</x:v>
      </x:c>
      <x:c r="V721" s="32" t="n">
        <x:f>IF(AND(ISNUMBER(S721),ISNUMBER(U721)),ABS(S721-U721),IF(S721=U721,0,1))</x:f>
        <x:v>0</x:v>
      </x:c>
      <x:c r="W721" s="30" t="str">
        <x:v>PASS</x:v>
      </x:c>
      <x:c r="X721" s="28" t="str">
        <x:f>IF(V721&lt;=1E-9,"PASS","FAIL")</x:f>
        <x:v>PASS</x:v>
      </x:c>
      <x:c r="Y721" t="str">
        <x:v>tr.41</x:v>
      </x:c>
      <x:c r="Z721" t="str"/>
    </x:row>
    <x:row r="722">
      <x:c r="A722" t="str">
        <x:v>G0719</x:v>
      </x:c>
      <x:c r="B722" t="str">
        <x:v>Bảng 7</x:v>
      </x:c>
      <x:c r="C722" t="str">
        <x:v>alpha3 exact grid</x:v>
      </x:c>
      <x:c r="D722" t="str">
        <x:v>EXACT</x:v>
      </x:c>
      <x:c r="E722" t="str">
        <x:v>{"phi":37,"hd":20,"d":0.8}</x:v>
      </x:c>
      <x:c r="F722" t="str">
        <x:v>EXACT</x:v>
      </x:c>
      <x:c r="G722"/>
      <x:c r="H722"/>
      <x:c r="I722"/>
      <x:c r="J722"/>
      <x:c r="K722"/>
      <x:c r="L722"/>
      <x:c r="M722" t="n">
        <x:v>0.75</x:v>
      </x:c>
      <x:c r="N722"/>
      <x:c r="O722"/>
      <x:c r="P722"/>
      <x:c r="Q722"/>
      <x:c r="R722"/>
      <x:c r="S722" t="n">
        <x:v>0.75</x:v>
      </x:c>
      <x:c r="T722" t="n">
        <x:v>0.75</x:v>
      </x:c>
      <x:c r="U722" s="28" t="n">
        <x:f>T722</x:f>
        <x:v>0.75</x:v>
      </x:c>
      <x:c r="V722" s="32" t="n">
        <x:f>IF(AND(ISNUMBER(S722),ISNUMBER(U722)),ABS(S722-U722),IF(S722=U722,0,1))</x:f>
        <x:v>0</x:v>
      </x:c>
      <x:c r="W722" s="30" t="str">
        <x:v>PASS</x:v>
      </x:c>
      <x:c r="X722" s="28" t="str">
        <x:f>IF(V722&lt;=1E-9,"PASS","FAIL")</x:f>
        <x:v>PASS</x:v>
      </x:c>
      <x:c r="Y722" t="str">
        <x:v>tr.41</x:v>
      </x:c>
      <x:c r="Z722" t="str"/>
    </x:row>
    <x:row r="723">
      <x:c r="A723" t="str">
        <x:v>G0720</x:v>
      </x:c>
      <x:c r="B723" t="str">
        <x:v>Bảng 7</x:v>
      </x:c>
      <x:c r="C723" t="str">
        <x:v>alpha3 exact grid</x:v>
      </x:c>
      <x:c r="D723" t="str">
        <x:v>EXACT</x:v>
      </x:c>
      <x:c r="E723" t="str">
        <x:v>{"phi":39,"hd":20,"d":0.8}</x:v>
      </x:c>
      <x:c r="F723" t="str">
        <x:v>EXACT</x:v>
      </x:c>
      <x:c r="G723"/>
      <x:c r="H723"/>
      <x:c r="I723"/>
      <x:c r="J723"/>
      <x:c r="K723"/>
      <x:c r="L723"/>
      <x:c r="M723" t="n">
        <x:v>0.78</x:v>
      </x:c>
      <x:c r="N723"/>
      <x:c r="O723"/>
      <x:c r="P723"/>
      <x:c r="Q723"/>
      <x:c r="R723"/>
      <x:c r="S723" t="n">
        <x:v>0.78</x:v>
      </x:c>
      <x:c r="T723" t="n">
        <x:v>0.78</x:v>
      </x:c>
      <x:c r="U723" s="28" t="n">
        <x:f>T723</x:f>
        <x:v>0.78</x:v>
      </x:c>
      <x:c r="V723" s="32" t="n">
        <x:f>IF(AND(ISNUMBER(S723),ISNUMBER(U723)),ABS(S723-U723),IF(S723=U723,0,1))</x:f>
        <x:v>0</x:v>
      </x:c>
      <x:c r="W723" s="30" t="str">
        <x:v>PASS</x:v>
      </x:c>
      <x:c r="X723" s="28" t="str">
        <x:f>IF(V723&lt;=1E-9,"PASS","FAIL")</x:f>
        <x:v>PASS</x:v>
      </x:c>
      <x:c r="Y723" t="str">
        <x:v>tr.41</x:v>
      </x:c>
      <x:c r="Z723" t="str"/>
    </x:row>
    <x:row r="724">
      <x:c r="A724" t="str">
        <x:v>G0721</x:v>
      </x:c>
      <x:c r="B724" t="str">
        <x:v>Bảng 7</x:v>
      </x:c>
      <x:c r="C724" t="str">
        <x:v>alpha3 exact grid</x:v>
      </x:c>
      <x:c r="D724" t="str">
        <x:v>EXACT</x:v>
      </x:c>
      <x:c r="E724" t="str">
        <x:v>{"phi":23,"hd":22.5,"d":0.8}</x:v>
      </x:c>
      <x:c r="F724" t="str">
        <x:v>EXACT</x:v>
      </x:c>
      <x:c r="G724"/>
      <x:c r="H724"/>
      <x:c r="I724"/>
      <x:c r="J724"/>
      <x:c r="K724"/>
      <x:c r="L724"/>
      <x:c r="M724" t="n">
        <x:v>0.46</x:v>
      </x:c>
      <x:c r="N724"/>
      <x:c r="O724"/>
      <x:c r="P724"/>
      <x:c r="Q724"/>
      <x:c r="R724"/>
      <x:c r="S724" t="n">
        <x:v>0.46</x:v>
      </x:c>
      <x:c r="T724" t="n">
        <x:v>0.46</x:v>
      </x:c>
      <x:c r="U724" s="28" t="n">
        <x:f>T724</x:f>
        <x:v>0.46</x:v>
      </x:c>
      <x:c r="V724" s="32" t="n">
        <x:f>IF(AND(ISNUMBER(S724),ISNUMBER(U724)),ABS(S724-U724),IF(S724=U724,0,1))</x:f>
        <x:v>0</x:v>
      </x:c>
      <x:c r="W724" s="30" t="str">
        <x:v>PASS</x:v>
      </x:c>
      <x:c r="X724" s="28" t="str">
        <x:f>IF(V724&lt;=1E-9,"PASS","FAIL")</x:f>
        <x:v>PASS</x:v>
      </x:c>
      <x:c r="Y724" t="str">
        <x:v>tr.41</x:v>
      </x:c>
      <x:c r="Z724" t="str"/>
    </x:row>
    <x:row r="725">
      <x:c r="A725" t="str">
        <x:v>G0722</x:v>
      </x:c>
      <x:c r="B725" t="str">
        <x:v>Bảng 7</x:v>
      </x:c>
      <x:c r="C725" t="str">
        <x:v>alpha3 exact grid</x:v>
      </x:c>
      <x:c r="D725" t="str">
        <x:v>EXACT</x:v>
      </x:c>
      <x:c r="E725" t="str">
        <x:v>{"phi":25,"hd":22.5,"d":0.8}</x:v>
      </x:c>
      <x:c r="F725" t="str">
        <x:v>EXACT</x:v>
      </x:c>
      <x:c r="G725"/>
      <x:c r="H725"/>
      <x:c r="I725"/>
      <x:c r="J725"/>
      <x:c r="K725"/>
      <x:c r="L725"/>
      <x:c r="M725" t="n">
        <x:v>0.51</x:v>
      </x:c>
      <x:c r="N725"/>
      <x:c r="O725"/>
      <x:c r="P725"/>
      <x:c r="Q725"/>
      <x:c r="R725"/>
      <x:c r="S725" t="n">
        <x:v>0.51</x:v>
      </x:c>
      <x:c r="T725" t="n">
        <x:v>0.51</x:v>
      </x:c>
      <x:c r="U725" s="28" t="n">
        <x:f>T725</x:f>
        <x:v>0.51</x:v>
      </x:c>
      <x:c r="V725" s="32" t="n">
        <x:f>IF(AND(ISNUMBER(S725),ISNUMBER(U725)),ABS(S725-U725),IF(S725=U725,0,1))</x:f>
        <x:v>0</x:v>
      </x:c>
      <x:c r="W725" s="30" t="str">
        <x:v>PASS</x:v>
      </x:c>
      <x:c r="X725" s="28" t="str">
        <x:f>IF(V725&lt;=1E-9,"PASS","FAIL")</x:f>
        <x:v>PASS</x:v>
      </x:c>
      <x:c r="Y725" t="str">
        <x:v>tr.41</x:v>
      </x:c>
      <x:c r="Z725" t="str"/>
    </x:row>
    <x:row r="726">
      <x:c r="A726" t="str">
        <x:v>G0723</x:v>
      </x:c>
      <x:c r="B726" t="str">
        <x:v>Bảng 7</x:v>
      </x:c>
      <x:c r="C726" t="str">
        <x:v>alpha3 exact grid</x:v>
      </x:c>
      <x:c r="D726" t="str">
        <x:v>EXACT</x:v>
      </x:c>
      <x:c r="E726" t="str">
        <x:v>{"phi":27,"hd":22.5,"d":0.8}</x:v>
      </x:c>
      <x:c r="F726" t="str">
        <x:v>EXACT</x:v>
      </x:c>
      <x:c r="G726"/>
      <x:c r="H726"/>
      <x:c r="I726"/>
      <x:c r="J726"/>
      <x:c r="K726"/>
      <x:c r="L726"/>
      <x:c r="M726" t="n">
        <x:v>0.55</x:v>
      </x:c>
      <x:c r="N726"/>
      <x:c r="O726"/>
      <x:c r="P726"/>
      <x:c r="Q726"/>
      <x:c r="R726"/>
      <x:c r="S726" t="n">
        <x:v>0.55</x:v>
      </x:c>
      <x:c r="T726" t="n">
        <x:v>0.55</x:v>
      </x:c>
      <x:c r="U726" s="28" t="n">
        <x:f>T726</x:f>
        <x:v>0.55</x:v>
      </x:c>
      <x:c r="V726" s="32" t="n">
        <x:f>IF(AND(ISNUMBER(S726),ISNUMBER(U726)),ABS(S726-U726),IF(S726=U726,0,1))</x:f>
        <x:v>0</x:v>
      </x:c>
      <x:c r="W726" s="30" t="str">
        <x:v>PASS</x:v>
      </x:c>
      <x:c r="X726" s="28" t="str">
        <x:f>IF(V726&lt;=1E-9,"PASS","FAIL")</x:f>
        <x:v>PASS</x:v>
      </x:c>
      <x:c r="Y726" t="str">
        <x:v>tr.41</x:v>
      </x:c>
      <x:c r="Z726" t="str"/>
    </x:row>
    <x:row r="727">
      <x:c r="A727" t="str">
        <x:v>G0724</x:v>
      </x:c>
      <x:c r="B727" t="str">
        <x:v>Bảng 7</x:v>
      </x:c>
      <x:c r="C727" t="str">
        <x:v>alpha3 exact grid</x:v>
      </x:c>
      <x:c r="D727" t="str">
        <x:v>EXACT</x:v>
      </x:c>
      <x:c r="E727" t="str">
        <x:v>{"phi":29,"hd":22.5,"d":0.8}</x:v>
      </x:c>
      <x:c r="F727" t="str">
        <x:v>EXACT</x:v>
      </x:c>
      <x:c r="G727"/>
      <x:c r="H727"/>
      <x:c r="I727"/>
      <x:c r="J727"/>
      <x:c r="K727"/>
      <x:c r="L727"/>
      <x:c r="M727" t="n">
        <x:v>0.6</x:v>
      </x:c>
      <x:c r="N727"/>
      <x:c r="O727"/>
      <x:c r="P727"/>
      <x:c r="Q727"/>
      <x:c r="R727"/>
      <x:c r="S727" t="n">
        <x:v>0.6</x:v>
      </x:c>
      <x:c r="T727" t="n">
        <x:v>0.6</x:v>
      </x:c>
      <x:c r="U727" s="28" t="n">
        <x:f>T727</x:f>
        <x:v>0.6</x:v>
      </x:c>
      <x:c r="V727" s="32" t="n">
        <x:f>IF(AND(ISNUMBER(S727),ISNUMBER(U727)),ABS(S727-U727),IF(S727=U727,0,1))</x:f>
        <x:v>0</x:v>
      </x:c>
      <x:c r="W727" s="30" t="str">
        <x:v>PASS</x:v>
      </x:c>
      <x:c r="X727" s="28" t="str">
        <x:f>IF(V727&lt;=1E-9,"PASS","FAIL")</x:f>
        <x:v>PASS</x:v>
      </x:c>
      <x:c r="Y727" t="str">
        <x:v>tr.41</x:v>
      </x:c>
      <x:c r="Z727" t="str"/>
    </x:row>
    <x:row r="728">
      <x:c r="A728" t="str">
        <x:v>G0725</x:v>
      </x:c>
      <x:c r="B728" t="str">
        <x:v>Bảng 7</x:v>
      </x:c>
      <x:c r="C728" t="str">
        <x:v>alpha3 exact grid</x:v>
      </x:c>
      <x:c r="D728" t="str">
        <x:v>EXACT</x:v>
      </x:c>
      <x:c r="E728" t="str">
        <x:v>{"phi":31,"hd":22.5,"d":0.8}</x:v>
      </x:c>
      <x:c r="F728" t="str">
        <x:v>EXACT</x:v>
      </x:c>
      <x:c r="G728"/>
      <x:c r="H728"/>
      <x:c r="I728"/>
      <x:c r="J728"/>
      <x:c r="K728"/>
      <x:c r="L728"/>
      <x:c r="M728" t="n">
        <x:v>0.64</x:v>
      </x:c>
      <x:c r="N728"/>
      <x:c r="O728"/>
      <x:c r="P728"/>
      <x:c r="Q728"/>
      <x:c r="R728"/>
      <x:c r="S728" t="n">
        <x:v>0.64</x:v>
      </x:c>
      <x:c r="T728" t="n">
        <x:v>0.64</x:v>
      </x:c>
      <x:c r="U728" s="28" t="n">
        <x:f>T728</x:f>
        <x:v>0.64</x:v>
      </x:c>
      <x:c r="V728" s="32" t="n">
        <x:f>IF(AND(ISNUMBER(S728),ISNUMBER(U728)),ABS(S728-U728),IF(S728=U728,0,1))</x:f>
        <x:v>0</x:v>
      </x:c>
      <x:c r="W728" s="30" t="str">
        <x:v>PASS</x:v>
      </x:c>
      <x:c r="X728" s="28" t="str">
        <x:f>IF(V728&lt;=1E-9,"PASS","FAIL")</x:f>
        <x:v>PASS</x:v>
      </x:c>
      <x:c r="Y728" t="str">
        <x:v>tr.41</x:v>
      </x:c>
      <x:c r="Z728" t="str"/>
    </x:row>
    <x:row r="729">
      <x:c r="A729" t="str">
        <x:v>G0726</x:v>
      </x:c>
      <x:c r="B729" t="str">
        <x:v>Bảng 7</x:v>
      </x:c>
      <x:c r="C729" t="str">
        <x:v>alpha3 exact grid</x:v>
      </x:c>
      <x:c r="D729" t="str">
        <x:v>EXACT</x:v>
      </x:c>
      <x:c r="E729" t="str">
        <x:v>{"phi":33,"hd":22.5,"d":0.8}</x:v>
      </x:c>
      <x:c r="F729" t="str">
        <x:v>EXACT</x:v>
      </x:c>
      <x:c r="G729"/>
      <x:c r="H729"/>
      <x:c r="I729"/>
      <x:c r="J729"/>
      <x:c r="K729"/>
      <x:c r="L729"/>
      <x:c r="M729" t="n">
        <x:v>0.67</x:v>
      </x:c>
      <x:c r="N729"/>
      <x:c r="O729"/>
      <x:c r="P729"/>
      <x:c r="Q729"/>
      <x:c r="R729"/>
      <x:c r="S729" t="n">
        <x:v>0.67</x:v>
      </x:c>
      <x:c r="T729" t="n">
        <x:v>0.67</x:v>
      </x:c>
      <x:c r="U729" s="28" t="n">
        <x:f>T729</x:f>
        <x:v>0.67</x:v>
      </x:c>
      <x:c r="V729" s="32" t="n">
        <x:f>IF(AND(ISNUMBER(S729),ISNUMBER(U729)),ABS(S729-U729),IF(S729=U729,0,1))</x:f>
        <x:v>0</x:v>
      </x:c>
      <x:c r="W729" s="30" t="str">
        <x:v>PASS</x:v>
      </x:c>
      <x:c r="X729" s="28" t="str">
        <x:f>IF(V729&lt;=1E-9,"PASS","FAIL")</x:f>
        <x:v>PASS</x:v>
      </x:c>
      <x:c r="Y729" t="str">
        <x:v>tr.41</x:v>
      </x:c>
      <x:c r="Z729" t="str"/>
    </x:row>
    <x:row r="730">
      <x:c r="A730" t="str">
        <x:v>G0727</x:v>
      </x:c>
      <x:c r="B730" t="str">
        <x:v>Bảng 7</x:v>
      </x:c>
      <x:c r="C730" t="str">
        <x:v>alpha3 exact grid</x:v>
      </x:c>
      <x:c r="D730" t="str">
        <x:v>EXACT</x:v>
      </x:c>
      <x:c r="E730" t="str">
        <x:v>{"phi":35,"hd":22.5,"d":0.8}</x:v>
      </x:c>
      <x:c r="F730" t="str">
        <x:v>EXACT</x:v>
      </x:c>
      <x:c r="G730"/>
      <x:c r="H730"/>
      <x:c r="I730"/>
      <x:c r="J730"/>
      <x:c r="K730"/>
      <x:c r="L730"/>
      <x:c r="M730" t="n">
        <x:v>0.71</x:v>
      </x:c>
      <x:c r="N730"/>
      <x:c r="O730"/>
      <x:c r="P730"/>
      <x:c r="Q730"/>
      <x:c r="R730"/>
      <x:c r="S730" t="n">
        <x:v>0.71</x:v>
      </x:c>
      <x:c r="T730" t="n">
        <x:v>0.71</x:v>
      </x:c>
      <x:c r="U730" s="28" t="n">
        <x:f>T730</x:f>
        <x:v>0.71</x:v>
      </x:c>
      <x:c r="V730" s="32" t="n">
        <x:f>IF(AND(ISNUMBER(S730),ISNUMBER(U730)),ABS(S730-U730),IF(S730=U730,0,1))</x:f>
        <x:v>0</x:v>
      </x:c>
      <x:c r="W730" s="30" t="str">
        <x:v>PASS</x:v>
      </x:c>
      <x:c r="X730" s="28" t="str">
        <x:f>IF(V730&lt;=1E-9,"PASS","FAIL")</x:f>
        <x:v>PASS</x:v>
      </x:c>
      <x:c r="Y730" t="str">
        <x:v>tr.41</x:v>
      </x:c>
      <x:c r="Z730" t="str"/>
    </x:row>
    <x:row r="731">
      <x:c r="A731" t="str">
        <x:v>G0728</x:v>
      </x:c>
      <x:c r="B731" t="str">
        <x:v>Bảng 7</x:v>
      </x:c>
      <x:c r="C731" t="str">
        <x:v>alpha3 exact grid</x:v>
      </x:c>
      <x:c r="D731" t="str">
        <x:v>EXACT</x:v>
      </x:c>
      <x:c r="E731" t="str">
        <x:v>{"phi":37,"hd":22.5,"d":0.8}</x:v>
      </x:c>
      <x:c r="F731" t="str">
        <x:v>EXACT</x:v>
      </x:c>
      <x:c r="G731"/>
      <x:c r="H731"/>
      <x:c r="I731"/>
      <x:c r="J731"/>
      <x:c r="K731"/>
      <x:c r="L731"/>
      <x:c r="M731" t="n">
        <x:v>0.74</x:v>
      </x:c>
      <x:c r="N731"/>
      <x:c r="O731"/>
      <x:c r="P731"/>
      <x:c r="Q731"/>
      <x:c r="R731"/>
      <x:c r="S731" t="n">
        <x:v>0.74</x:v>
      </x:c>
      <x:c r="T731" t="n">
        <x:v>0.74</x:v>
      </x:c>
      <x:c r="U731" s="28" t="n">
        <x:f>T731</x:f>
        <x:v>0.74</x:v>
      </x:c>
      <x:c r="V731" s="32" t="n">
        <x:f>IF(AND(ISNUMBER(S731),ISNUMBER(U731)),ABS(S731-U731),IF(S731=U731,0,1))</x:f>
        <x:v>0</x:v>
      </x:c>
      <x:c r="W731" s="30" t="str">
        <x:v>PASS</x:v>
      </x:c>
      <x:c r="X731" s="28" t="str">
        <x:f>IF(V731&lt;=1E-9,"PASS","FAIL")</x:f>
        <x:v>PASS</x:v>
      </x:c>
      <x:c r="Y731" t="str">
        <x:v>tr.41</x:v>
      </x:c>
      <x:c r="Z731" t="str"/>
    </x:row>
    <x:row r="732">
      <x:c r="A732" t="str">
        <x:v>G0729</x:v>
      </x:c>
      <x:c r="B732" t="str">
        <x:v>Bảng 7</x:v>
      </x:c>
      <x:c r="C732" t="str">
        <x:v>alpha3 exact grid</x:v>
      </x:c>
      <x:c r="D732" t="str">
        <x:v>EXACT</x:v>
      </x:c>
      <x:c r="E732" t="str">
        <x:v>{"phi":39,"hd":22.5,"d":0.8}</x:v>
      </x:c>
      <x:c r="F732" t="str">
        <x:v>EXACT</x:v>
      </x:c>
      <x:c r="G732"/>
      <x:c r="H732"/>
      <x:c r="I732"/>
      <x:c r="J732"/>
      <x:c r="K732"/>
      <x:c r="L732"/>
      <x:c r="M732" t="n">
        <x:v>0.77</x:v>
      </x:c>
      <x:c r="N732"/>
      <x:c r="O732"/>
      <x:c r="P732"/>
      <x:c r="Q732"/>
      <x:c r="R732"/>
      <x:c r="S732" t="n">
        <x:v>0.77</x:v>
      </x:c>
      <x:c r="T732" t="n">
        <x:v>0.77</x:v>
      </x:c>
      <x:c r="U732" s="28" t="n">
        <x:f>T732</x:f>
        <x:v>0.77</x:v>
      </x:c>
      <x:c r="V732" s="32" t="n">
        <x:f>IF(AND(ISNUMBER(S732),ISNUMBER(U732)),ABS(S732-U732),IF(S732=U732,0,1))</x:f>
        <x:v>0</x:v>
      </x:c>
      <x:c r="W732" s="30" t="str">
        <x:v>PASS</x:v>
      </x:c>
      <x:c r="X732" s="28" t="str">
        <x:f>IF(V732&lt;=1E-9,"PASS","FAIL")</x:f>
        <x:v>PASS</x:v>
      </x:c>
      <x:c r="Y732" t="str">
        <x:v>tr.41</x:v>
      </x:c>
      <x:c r="Z732" t="str"/>
    </x:row>
    <x:row r="733">
      <x:c r="A733" t="str">
        <x:v>G0730</x:v>
      </x:c>
      <x:c r="B733" t="str">
        <x:v>Bảng 7</x:v>
      </x:c>
      <x:c r="C733" t="str">
        <x:v>alpha3 exact grid</x:v>
      </x:c>
      <x:c r="D733" t="str">
        <x:v>EXACT</x:v>
      </x:c>
      <x:c r="E733" t="str">
        <x:v>{"phi":23,"hd":25,"d":0.8}</x:v>
      </x:c>
      <x:c r="F733" t="str">
        <x:v>EXACT</x:v>
      </x:c>
      <x:c r="G733"/>
      <x:c r="H733"/>
      <x:c r="I733"/>
      <x:c r="J733"/>
      <x:c r="K733"/>
      <x:c r="L733"/>
      <x:c r="M733" t="n">
        <x:v>0.44</x:v>
      </x:c>
      <x:c r="N733"/>
      <x:c r="O733"/>
      <x:c r="P733"/>
      <x:c r="Q733"/>
      <x:c r="R733"/>
      <x:c r="S733" t="n">
        <x:v>0.44</x:v>
      </x:c>
      <x:c r="T733" t="n">
        <x:v>0.44</x:v>
      </x:c>
      <x:c r="U733" s="28" t="n">
        <x:f>T733</x:f>
        <x:v>0.44</x:v>
      </x:c>
      <x:c r="V733" s="32" t="n">
        <x:f>IF(AND(ISNUMBER(S733),ISNUMBER(U733)),ABS(S733-U733),IF(S733=U733,0,1))</x:f>
        <x:v>0</x:v>
      </x:c>
      <x:c r="W733" s="30" t="str">
        <x:v>PASS</x:v>
      </x:c>
      <x:c r="X733" s="28" t="str">
        <x:f>IF(V733&lt;=1E-9,"PASS","FAIL")</x:f>
        <x:v>PASS</x:v>
      </x:c>
      <x:c r="Y733" t="str">
        <x:v>tr.41</x:v>
      </x:c>
      <x:c r="Z733" t="str"/>
    </x:row>
    <x:row r="734">
      <x:c r="A734" t="str">
        <x:v>G0731</x:v>
      </x:c>
      <x:c r="B734" t="str">
        <x:v>Bảng 7</x:v>
      </x:c>
      <x:c r="C734" t="str">
        <x:v>alpha3 exact grid</x:v>
      </x:c>
      <x:c r="D734" t="str">
        <x:v>EXACT</x:v>
      </x:c>
      <x:c r="E734" t="str">
        <x:v>{"phi":25,"hd":25,"d":0.8}</x:v>
      </x:c>
      <x:c r="F734" t="str">
        <x:v>EXACT</x:v>
      </x:c>
      <x:c r="G734"/>
      <x:c r="H734"/>
      <x:c r="I734"/>
      <x:c r="J734"/>
      <x:c r="K734"/>
      <x:c r="L734"/>
      <x:c r="M734" t="n">
        <x:v>0.49</x:v>
      </x:c>
      <x:c r="N734"/>
      <x:c r="O734"/>
      <x:c r="P734"/>
      <x:c r="Q734"/>
      <x:c r="R734"/>
      <x:c r="S734" t="n">
        <x:v>0.49</x:v>
      </x:c>
      <x:c r="T734" t="n">
        <x:v>0.49</x:v>
      </x:c>
      <x:c r="U734" s="28" t="n">
        <x:f>T734</x:f>
        <x:v>0.49</x:v>
      </x:c>
      <x:c r="V734" s="32" t="n">
        <x:f>IF(AND(ISNUMBER(S734),ISNUMBER(U734)),ABS(S734-U734),IF(S734=U734,0,1))</x:f>
        <x:v>0</x:v>
      </x:c>
      <x:c r="W734" s="30" t="str">
        <x:v>PASS</x:v>
      </x:c>
      <x:c r="X734" s="28" t="str">
        <x:f>IF(V734&lt;=1E-9,"PASS","FAIL")</x:f>
        <x:v>PASS</x:v>
      </x:c>
      <x:c r="Y734" t="str">
        <x:v>tr.41</x:v>
      </x:c>
      <x:c r="Z734" t="str"/>
    </x:row>
    <x:row r="735">
      <x:c r="A735" t="str">
        <x:v>G0732</x:v>
      </x:c>
      <x:c r="B735" t="str">
        <x:v>Bảng 7</x:v>
      </x:c>
      <x:c r="C735" t="str">
        <x:v>alpha3 exact grid</x:v>
      </x:c>
      <x:c r="D735" t="str">
        <x:v>EXACT</x:v>
      </x:c>
      <x:c r="E735" t="str">
        <x:v>{"phi":27,"hd":25,"d":0.8}</x:v>
      </x:c>
      <x:c r="F735" t="str">
        <x:v>EXACT</x:v>
      </x:c>
      <x:c r="G735"/>
      <x:c r="H735"/>
      <x:c r="I735"/>
      <x:c r="J735"/>
      <x:c r="K735"/>
      <x:c r="L735"/>
      <x:c r="M735" t="n">
        <x:v>0.54</x:v>
      </x:c>
      <x:c r="N735"/>
      <x:c r="O735"/>
      <x:c r="P735"/>
      <x:c r="Q735"/>
      <x:c r="R735"/>
      <x:c r="S735" t="n">
        <x:v>0.54</x:v>
      </x:c>
      <x:c r="T735" t="n">
        <x:v>0.54</x:v>
      </x:c>
      <x:c r="U735" s="28" t="n">
        <x:f>T735</x:f>
        <x:v>0.54</x:v>
      </x:c>
      <x:c r="V735" s="32" t="n">
        <x:f>IF(AND(ISNUMBER(S735),ISNUMBER(U735)),ABS(S735-U735),IF(S735=U735,0,1))</x:f>
        <x:v>0</x:v>
      </x:c>
      <x:c r="W735" s="30" t="str">
        <x:v>PASS</x:v>
      </x:c>
      <x:c r="X735" s="28" t="str">
        <x:f>IF(V735&lt;=1E-9,"PASS","FAIL")</x:f>
        <x:v>PASS</x:v>
      </x:c>
      <x:c r="Y735" t="str">
        <x:v>tr.41</x:v>
      </x:c>
      <x:c r="Z735" t="str"/>
    </x:row>
    <x:row r="736">
      <x:c r="A736" t="str">
        <x:v>G0733</x:v>
      </x:c>
      <x:c r="B736" t="str">
        <x:v>Bảng 7</x:v>
      </x:c>
      <x:c r="C736" t="str">
        <x:v>alpha3 exact grid</x:v>
      </x:c>
      <x:c r="D736" t="str">
        <x:v>EXACT</x:v>
      </x:c>
      <x:c r="E736" t="str">
        <x:v>{"phi":29,"hd":25,"d":0.8}</x:v>
      </x:c>
      <x:c r="F736" t="str">
        <x:v>EXACT</x:v>
      </x:c>
      <x:c r="G736"/>
      <x:c r="H736"/>
      <x:c r="I736"/>
      <x:c r="J736"/>
      <x:c r="K736"/>
      <x:c r="L736"/>
      <x:c r="M736" t="n">
        <x:v>0.59</x:v>
      </x:c>
      <x:c r="N736"/>
      <x:c r="O736"/>
      <x:c r="P736"/>
      <x:c r="Q736"/>
      <x:c r="R736"/>
      <x:c r="S736" t="n">
        <x:v>0.59</x:v>
      </x:c>
      <x:c r="T736" t="n">
        <x:v>0.59</x:v>
      </x:c>
      <x:c r="U736" s="28" t="n">
        <x:f>T736</x:f>
        <x:v>0.59</x:v>
      </x:c>
      <x:c r="V736" s="32" t="n">
        <x:f>IF(AND(ISNUMBER(S736),ISNUMBER(U736)),ABS(S736-U736),IF(S736=U736,0,1))</x:f>
        <x:v>0</x:v>
      </x:c>
      <x:c r="W736" s="30" t="str">
        <x:v>PASS</x:v>
      </x:c>
      <x:c r="X736" s="28" t="str">
        <x:f>IF(V736&lt;=1E-9,"PASS","FAIL")</x:f>
        <x:v>PASS</x:v>
      </x:c>
      <x:c r="Y736" t="str">
        <x:v>tr.41</x:v>
      </x:c>
      <x:c r="Z736" t="str"/>
    </x:row>
    <x:row r="737">
      <x:c r="A737" t="str">
        <x:v>G0734</x:v>
      </x:c>
      <x:c r="B737" t="str">
        <x:v>Bảng 7</x:v>
      </x:c>
      <x:c r="C737" t="str">
        <x:v>alpha3 exact grid</x:v>
      </x:c>
      <x:c r="D737" t="str">
        <x:v>EXACT</x:v>
      </x:c>
      <x:c r="E737" t="str">
        <x:v>{"phi":31,"hd":25,"d":0.8}</x:v>
      </x:c>
      <x:c r="F737" t="str">
        <x:v>EXACT</x:v>
      </x:c>
      <x:c r="G737"/>
      <x:c r="H737"/>
      <x:c r="I737"/>
      <x:c r="J737"/>
      <x:c r="K737"/>
      <x:c r="L737"/>
      <x:c r="M737" t="n">
        <x:v>0.63</x:v>
      </x:c>
      <x:c r="N737"/>
      <x:c r="O737"/>
      <x:c r="P737"/>
      <x:c r="Q737"/>
      <x:c r="R737"/>
      <x:c r="S737" t="n">
        <x:v>0.63</x:v>
      </x:c>
      <x:c r="T737" t="n">
        <x:v>0.63</x:v>
      </x:c>
      <x:c r="U737" s="28" t="n">
        <x:f>T737</x:f>
        <x:v>0.63</x:v>
      </x:c>
      <x:c r="V737" s="32" t="n">
        <x:f>IF(AND(ISNUMBER(S737),ISNUMBER(U737)),ABS(S737-U737),IF(S737=U737,0,1))</x:f>
        <x:v>0</x:v>
      </x:c>
      <x:c r="W737" s="30" t="str">
        <x:v>PASS</x:v>
      </x:c>
      <x:c r="X737" s="28" t="str">
        <x:f>IF(V737&lt;=1E-9,"PASS","FAIL")</x:f>
        <x:v>PASS</x:v>
      </x:c>
      <x:c r="Y737" t="str">
        <x:v>tr.41</x:v>
      </x:c>
      <x:c r="Z737" t="str"/>
    </x:row>
    <x:row r="738">
      <x:c r="A738" t="str">
        <x:v>G0735</x:v>
      </x:c>
      <x:c r="B738" t="str">
        <x:v>Bảng 7</x:v>
      </x:c>
      <x:c r="C738" t="str">
        <x:v>alpha3 exact grid</x:v>
      </x:c>
      <x:c r="D738" t="str">
        <x:v>EXACT</x:v>
      </x:c>
      <x:c r="E738" t="str">
        <x:v>{"phi":33,"hd":25,"d":0.8}</x:v>
      </x:c>
      <x:c r="F738" t="str">
        <x:v>EXACT</x:v>
      </x:c>
      <x:c r="G738"/>
      <x:c r="H738"/>
      <x:c r="I738"/>
      <x:c r="J738"/>
      <x:c r="K738"/>
      <x:c r="L738"/>
      <x:c r="M738" t="n">
        <x:v>0.67</x:v>
      </x:c>
      <x:c r="N738"/>
      <x:c r="O738"/>
      <x:c r="P738"/>
      <x:c r="Q738"/>
      <x:c r="R738"/>
      <x:c r="S738" t="n">
        <x:v>0.67</x:v>
      </x:c>
      <x:c r="T738" t="n">
        <x:v>0.67</x:v>
      </x:c>
      <x:c r="U738" s="28" t="n">
        <x:f>T738</x:f>
        <x:v>0.67</x:v>
      </x:c>
      <x:c r="V738" s="32" t="n">
        <x:f>IF(AND(ISNUMBER(S738),ISNUMBER(U738)),ABS(S738-U738),IF(S738=U738,0,1))</x:f>
        <x:v>0</x:v>
      </x:c>
      <x:c r="W738" s="30" t="str">
        <x:v>PASS</x:v>
      </x:c>
      <x:c r="X738" s="28" t="str">
        <x:f>IF(V738&lt;=1E-9,"PASS","FAIL")</x:f>
        <x:v>PASS</x:v>
      </x:c>
      <x:c r="Y738" t="str">
        <x:v>tr.41</x:v>
      </x:c>
      <x:c r="Z738" t="str"/>
    </x:row>
    <x:row r="739">
      <x:c r="A739" t="str">
        <x:v>G0736</x:v>
      </x:c>
      <x:c r="B739" t="str">
        <x:v>Bảng 7</x:v>
      </x:c>
      <x:c r="C739" t="str">
        <x:v>alpha3 exact grid</x:v>
      </x:c>
      <x:c r="D739" t="str">
        <x:v>EXACT</x:v>
      </x:c>
      <x:c r="E739" t="str">
        <x:v>{"phi":35,"hd":25,"d":0.8}</x:v>
      </x:c>
      <x:c r="F739" t="str">
        <x:v>EXACT</x:v>
      </x:c>
      <x:c r="G739"/>
      <x:c r="H739"/>
      <x:c r="I739"/>
      <x:c r="J739"/>
      <x:c r="K739"/>
      <x:c r="L739"/>
      <x:c r="M739" t="n">
        <x:v>0.7</x:v>
      </x:c>
      <x:c r="N739"/>
      <x:c r="O739"/>
      <x:c r="P739"/>
      <x:c r="Q739"/>
      <x:c r="R739"/>
      <x:c r="S739" t="n">
        <x:v>0.7</x:v>
      </x:c>
      <x:c r="T739" t="n">
        <x:v>0.7</x:v>
      </x:c>
      <x:c r="U739" s="28" t="n">
        <x:f>T739</x:f>
        <x:v>0.7</x:v>
      </x:c>
      <x:c r="V739" s="32" t="n">
        <x:f>IF(AND(ISNUMBER(S739),ISNUMBER(U739)),ABS(S739-U739),IF(S739=U739,0,1))</x:f>
        <x:v>0</x:v>
      </x:c>
      <x:c r="W739" s="30" t="str">
        <x:v>PASS</x:v>
      </x:c>
      <x:c r="X739" s="28" t="str">
        <x:f>IF(V739&lt;=1E-9,"PASS","FAIL")</x:f>
        <x:v>PASS</x:v>
      </x:c>
      <x:c r="Y739" t="str">
        <x:v>tr.41</x:v>
      </x:c>
      <x:c r="Z739" t="str"/>
    </x:row>
    <x:row r="740">
      <x:c r="A740" t="str">
        <x:v>G0737</x:v>
      </x:c>
      <x:c r="B740" t="str">
        <x:v>Bảng 7</x:v>
      </x:c>
      <x:c r="C740" t="str">
        <x:v>alpha3 exact grid</x:v>
      </x:c>
      <x:c r="D740" t="str">
        <x:v>EXACT</x:v>
      </x:c>
      <x:c r="E740" t="str">
        <x:v>{"phi":37,"hd":25,"d":0.8}</x:v>
      </x:c>
      <x:c r="F740" t="str">
        <x:v>EXACT</x:v>
      </x:c>
      <x:c r="G740"/>
      <x:c r="H740"/>
      <x:c r="I740"/>
      <x:c r="J740"/>
      <x:c r="K740"/>
      <x:c r="L740"/>
      <x:c r="M740" t="n">
        <x:v>0.74</x:v>
      </x:c>
      <x:c r="N740"/>
      <x:c r="O740"/>
      <x:c r="P740"/>
      <x:c r="Q740"/>
      <x:c r="R740"/>
      <x:c r="S740" t="n">
        <x:v>0.74</x:v>
      </x:c>
      <x:c r="T740" t="n">
        <x:v>0.74</x:v>
      </x:c>
      <x:c r="U740" s="28" t="n">
        <x:f>T740</x:f>
        <x:v>0.74</x:v>
      </x:c>
      <x:c r="V740" s="32" t="n">
        <x:f>IF(AND(ISNUMBER(S740),ISNUMBER(U740)),ABS(S740-U740),IF(S740=U740,0,1))</x:f>
        <x:v>0</x:v>
      </x:c>
      <x:c r="W740" s="30" t="str">
        <x:v>PASS</x:v>
      </x:c>
      <x:c r="X740" s="28" t="str">
        <x:f>IF(V740&lt;=1E-9,"PASS","FAIL")</x:f>
        <x:v>PASS</x:v>
      </x:c>
      <x:c r="Y740" t="str">
        <x:v>tr.41</x:v>
      </x:c>
      <x:c r="Z740" t="str"/>
    </x:row>
    <x:row r="741">
      <x:c r="A741" t="str">
        <x:v>G0738</x:v>
      </x:c>
      <x:c r="B741" t="str">
        <x:v>Bảng 7</x:v>
      </x:c>
      <x:c r="C741" t="str">
        <x:v>alpha3 exact grid</x:v>
      </x:c>
      <x:c r="D741" t="str">
        <x:v>EXACT</x:v>
      </x:c>
      <x:c r="E741" t="str">
        <x:v>{"phi":39,"hd":25,"d":0.8}</x:v>
      </x:c>
      <x:c r="F741" t="str">
        <x:v>EXACT</x:v>
      </x:c>
      <x:c r="G741"/>
      <x:c r="H741"/>
      <x:c r="I741"/>
      <x:c r="J741"/>
      <x:c r="K741"/>
      <x:c r="L741"/>
      <x:c r="M741" t="n">
        <x:v>0.77</x:v>
      </x:c>
      <x:c r="N741"/>
      <x:c r="O741"/>
      <x:c r="P741"/>
      <x:c r="Q741"/>
      <x:c r="R741"/>
      <x:c r="S741" t="n">
        <x:v>0.77</x:v>
      </x:c>
      <x:c r="T741" t="n">
        <x:v>0.77</x:v>
      </x:c>
      <x:c r="U741" s="28" t="n">
        <x:f>T741</x:f>
        <x:v>0.77</x:v>
      </x:c>
      <x:c r="V741" s="32" t="n">
        <x:f>IF(AND(ISNUMBER(S741),ISNUMBER(U741)),ABS(S741-U741),IF(S741=U741,0,1))</x:f>
        <x:v>0</x:v>
      </x:c>
      <x:c r="W741" s="30" t="str">
        <x:v>PASS</x:v>
      </x:c>
      <x:c r="X741" s="28" t="str">
        <x:f>IF(V741&lt;=1E-9,"PASS","FAIL")</x:f>
        <x:v>PASS</x:v>
      </x:c>
      <x:c r="Y741" t="str">
        <x:v>tr.41</x:v>
      </x:c>
      <x:c r="Z741" t="str"/>
    </x:row>
    <x:row r="742">
      <x:c r="A742" t="str">
        <x:v>G0739</x:v>
      </x:c>
      <x:c r="B742" t="str">
        <x:v>Bảng 7</x:v>
      </x:c>
      <x:c r="C742" t="str">
        <x:v>alpha4 exact grid</x:v>
      </x:c>
      <x:c r="D742" t="str">
        <x:v>EXACT</x:v>
      </x:c>
      <x:c r="E742" t="str">
        <x:v>{"phi":23,"hd":10,"d":0.8}</x:v>
      </x:c>
      <x:c r="F742" t="str">
        <x:v>EXACT</x:v>
      </x:c>
      <x:c r="G742"/>
      <x:c r="H742"/>
      <x:c r="I742"/>
      <x:c r="J742"/>
      <x:c r="K742"/>
      <x:c r="L742"/>
      <x:c r="M742" t="n">
        <x:v>0.34</x:v>
      </x:c>
      <x:c r="N742"/>
      <x:c r="O742"/>
      <x:c r="P742"/>
      <x:c r="Q742"/>
      <x:c r="R742"/>
      <x:c r="S742" t="n">
        <x:v>0.34</x:v>
      </x:c>
      <x:c r="T742" t="n">
        <x:v>0.34</x:v>
      </x:c>
      <x:c r="U742" s="28" t="n">
        <x:f>T742</x:f>
        <x:v>0.34</x:v>
      </x:c>
      <x:c r="V742" s="32" t="n">
        <x:f>IF(AND(ISNUMBER(S742),ISNUMBER(U742)),ABS(S742-U742),IF(S742=U742,0,1))</x:f>
        <x:v>0</x:v>
      </x:c>
      <x:c r="W742" s="30" t="str">
        <x:v>PASS</x:v>
      </x:c>
      <x:c r="X742" s="28" t="str">
        <x:f>IF(V742&lt;=1E-9,"PASS","FAIL")</x:f>
        <x:v>PASS</x:v>
      </x:c>
      <x:c r="Y742" t="str">
        <x:v>tr.41</x:v>
      </x:c>
      <x:c r="Z742" t="str"/>
    </x:row>
    <x:row r="743">
      <x:c r="A743" t="str">
        <x:v>G0740</x:v>
      </x:c>
      <x:c r="B743" t="str">
        <x:v>Bảng 7</x:v>
      </x:c>
      <x:c r="C743" t="str">
        <x:v>alpha4 exact grid</x:v>
      </x:c>
      <x:c r="D743" t="str">
        <x:v>EXACT</x:v>
      </x:c>
      <x:c r="E743" t="str">
        <x:v>{"phi":25,"hd":10,"d":0.8}</x:v>
      </x:c>
      <x:c r="F743" t="str">
        <x:v>EXACT</x:v>
      </x:c>
      <x:c r="G743"/>
      <x:c r="H743"/>
      <x:c r="I743"/>
      <x:c r="J743"/>
      <x:c r="K743"/>
      <x:c r="L743"/>
      <x:c r="M743" t="n">
        <x:v>0.31</x:v>
      </x:c>
      <x:c r="N743"/>
      <x:c r="O743"/>
      <x:c r="P743"/>
      <x:c r="Q743"/>
      <x:c r="R743"/>
      <x:c r="S743" t="n">
        <x:v>0.31</x:v>
      </x:c>
      <x:c r="T743" t="n">
        <x:v>0.31</x:v>
      </x:c>
      <x:c r="U743" s="28" t="n">
        <x:f>T743</x:f>
        <x:v>0.31</x:v>
      </x:c>
      <x:c r="V743" s="32" t="n">
        <x:f>IF(AND(ISNUMBER(S743),ISNUMBER(U743)),ABS(S743-U743),IF(S743=U743,0,1))</x:f>
        <x:v>0</x:v>
      </x:c>
      <x:c r="W743" s="30" t="str">
        <x:v>PASS</x:v>
      </x:c>
      <x:c r="X743" s="28" t="str">
        <x:f>IF(V743&lt;=1E-9,"PASS","FAIL")</x:f>
        <x:v>PASS</x:v>
      </x:c>
      <x:c r="Y743" t="str">
        <x:v>tr.41</x:v>
      </x:c>
      <x:c r="Z743" t="str"/>
    </x:row>
    <x:row r="744">
      <x:c r="A744" t="str">
        <x:v>G0741</x:v>
      </x:c>
      <x:c r="B744" t="str">
        <x:v>Bảng 7</x:v>
      </x:c>
      <x:c r="C744" t="str">
        <x:v>alpha4 exact grid</x:v>
      </x:c>
      <x:c r="D744" t="str">
        <x:v>EXACT</x:v>
      </x:c>
      <x:c r="E744" t="str">
        <x:v>{"phi":27,"hd":10,"d":0.8}</x:v>
      </x:c>
      <x:c r="F744" t="str">
        <x:v>EXACT</x:v>
      </x:c>
      <x:c r="G744"/>
      <x:c r="H744"/>
      <x:c r="I744"/>
      <x:c r="J744"/>
      <x:c r="K744"/>
      <x:c r="L744"/>
      <x:c r="M744" t="n">
        <x:v>0.29</x:v>
      </x:c>
      <x:c r="N744"/>
      <x:c r="O744"/>
      <x:c r="P744"/>
      <x:c r="Q744"/>
      <x:c r="R744"/>
      <x:c r="S744" t="n">
        <x:v>0.29</x:v>
      </x:c>
      <x:c r="T744" t="n">
        <x:v>0.29</x:v>
      </x:c>
      <x:c r="U744" s="28" t="n">
        <x:f>T744</x:f>
        <x:v>0.29</x:v>
      </x:c>
      <x:c r="V744" s="32" t="n">
        <x:f>IF(AND(ISNUMBER(S744),ISNUMBER(U744)),ABS(S744-U744),IF(S744=U744,0,1))</x:f>
        <x:v>0</x:v>
      </x:c>
      <x:c r="W744" s="30" t="str">
        <x:v>PASS</x:v>
      </x:c>
      <x:c r="X744" s="28" t="str">
        <x:f>IF(V744&lt;=1E-9,"PASS","FAIL")</x:f>
        <x:v>PASS</x:v>
      </x:c>
      <x:c r="Y744" t="str">
        <x:v>tr.41</x:v>
      </x:c>
      <x:c r="Z744" t="str"/>
    </x:row>
    <x:row r="745">
      <x:c r="A745" t="str">
        <x:v>G0742</x:v>
      </x:c>
      <x:c r="B745" t="str">
        <x:v>Bảng 7</x:v>
      </x:c>
      <x:c r="C745" t="str">
        <x:v>alpha4 exact grid</x:v>
      </x:c>
      <x:c r="D745" t="str">
        <x:v>EXACT</x:v>
      </x:c>
      <x:c r="E745" t="str">
        <x:v>{"phi":29,"hd":10,"d":0.8}</x:v>
      </x:c>
      <x:c r="F745" t="str">
        <x:v>EXACT</x:v>
      </x:c>
      <x:c r="G745"/>
      <x:c r="H745"/>
      <x:c r="I745"/>
      <x:c r="J745"/>
      <x:c r="K745"/>
      <x:c r="L745"/>
      <x:c r="M745" t="n">
        <x:v>0.27</x:v>
      </x:c>
      <x:c r="N745"/>
      <x:c r="O745"/>
      <x:c r="P745"/>
      <x:c r="Q745"/>
      <x:c r="R745"/>
      <x:c r="S745" t="n">
        <x:v>0.27</x:v>
      </x:c>
      <x:c r="T745" t="n">
        <x:v>0.27</x:v>
      </x:c>
      <x:c r="U745" s="28" t="n">
        <x:f>T745</x:f>
        <x:v>0.27</x:v>
      </x:c>
      <x:c r="V745" s="32" t="n">
        <x:f>IF(AND(ISNUMBER(S745),ISNUMBER(U745)),ABS(S745-U745),IF(S745=U745,0,1))</x:f>
        <x:v>0</x:v>
      </x:c>
      <x:c r="W745" s="30" t="str">
        <x:v>PASS</x:v>
      </x:c>
      <x:c r="X745" s="28" t="str">
        <x:f>IF(V745&lt;=1E-9,"PASS","FAIL")</x:f>
        <x:v>PASS</x:v>
      </x:c>
      <x:c r="Y745" t="str">
        <x:v>tr.41</x:v>
      </x:c>
      <x:c r="Z745" t="str"/>
    </x:row>
    <x:row r="746">
      <x:c r="A746" t="str">
        <x:v>G0743</x:v>
      </x:c>
      <x:c r="B746" t="str">
        <x:v>Bảng 7</x:v>
      </x:c>
      <x:c r="C746" t="str">
        <x:v>alpha4 exact grid</x:v>
      </x:c>
      <x:c r="D746" t="str">
        <x:v>EXACT</x:v>
      </x:c>
      <x:c r="E746" t="str">
        <x:v>{"phi":31,"hd":10,"d":0.8}</x:v>
      </x:c>
      <x:c r="F746" t="str">
        <x:v>EXACT</x:v>
      </x:c>
      <x:c r="G746"/>
      <x:c r="H746"/>
      <x:c r="I746"/>
      <x:c r="J746"/>
      <x:c r="K746"/>
      <x:c r="L746"/>
      <x:c r="M746" t="n">
        <x:v>0.26</x:v>
      </x:c>
      <x:c r="N746"/>
      <x:c r="O746"/>
      <x:c r="P746"/>
      <x:c r="Q746"/>
      <x:c r="R746"/>
      <x:c r="S746" t="n">
        <x:v>0.26</x:v>
      </x:c>
      <x:c r="T746" t="n">
        <x:v>0.26</x:v>
      </x:c>
      <x:c r="U746" s="28" t="n">
        <x:f>T746</x:f>
        <x:v>0.26</x:v>
      </x:c>
      <x:c r="V746" s="32" t="n">
        <x:f>IF(AND(ISNUMBER(S746),ISNUMBER(U746)),ABS(S746-U746),IF(S746=U746,0,1))</x:f>
        <x:v>0</x:v>
      </x:c>
      <x:c r="W746" s="30" t="str">
        <x:v>PASS</x:v>
      </x:c>
      <x:c r="X746" s="28" t="str">
        <x:f>IF(V746&lt;=1E-9,"PASS","FAIL")</x:f>
        <x:v>PASS</x:v>
      </x:c>
      <x:c r="Y746" t="str">
        <x:v>tr.41</x:v>
      </x:c>
      <x:c r="Z746" t="str"/>
    </x:row>
    <x:row r="747">
      <x:c r="A747" t="str">
        <x:v>G0744</x:v>
      </x:c>
      <x:c r="B747" t="str">
        <x:v>Bảng 7</x:v>
      </x:c>
      <x:c r="C747" t="str">
        <x:v>alpha4 exact grid</x:v>
      </x:c>
      <x:c r="D747" t="str">
        <x:v>EXACT</x:v>
      </x:c>
      <x:c r="E747" t="str">
        <x:v>{"phi":33,"hd":10,"d":0.8}</x:v>
      </x:c>
      <x:c r="F747" t="str">
        <x:v>EXACT</x:v>
      </x:c>
      <x:c r="G747"/>
      <x:c r="H747"/>
      <x:c r="I747"/>
      <x:c r="J747"/>
      <x:c r="K747"/>
      <x:c r="L747"/>
      <x:c r="M747" t="n">
        <x:v>0.25</x:v>
      </x:c>
      <x:c r="N747"/>
      <x:c r="O747"/>
      <x:c r="P747"/>
      <x:c r="Q747"/>
      <x:c r="R747"/>
      <x:c r="S747" t="n">
        <x:v>0.25</x:v>
      </x:c>
      <x:c r="T747" t="n">
        <x:v>0.25</x:v>
      </x:c>
      <x:c r="U747" s="28" t="n">
        <x:f>T747</x:f>
        <x:v>0.25</x:v>
      </x:c>
      <x:c r="V747" s="32" t="n">
        <x:f>IF(AND(ISNUMBER(S747),ISNUMBER(U747)),ABS(S747-U747),IF(S747=U747,0,1))</x:f>
        <x:v>0</x:v>
      </x:c>
      <x:c r="W747" s="30" t="str">
        <x:v>PASS</x:v>
      </x:c>
      <x:c r="X747" s="28" t="str">
        <x:f>IF(V747&lt;=1E-9,"PASS","FAIL")</x:f>
        <x:v>PASS</x:v>
      </x:c>
      <x:c r="Y747" t="str">
        <x:v>tr.41</x:v>
      </x:c>
      <x:c r="Z747" t="str"/>
    </x:row>
    <x:row r="748">
      <x:c r="A748" t="str">
        <x:v>G0745</x:v>
      </x:c>
      <x:c r="B748" t="str">
        <x:v>Bảng 7</x:v>
      </x:c>
      <x:c r="C748" t="str">
        <x:v>alpha4 exact grid</x:v>
      </x:c>
      <x:c r="D748" t="str">
        <x:v>EXACT</x:v>
      </x:c>
      <x:c r="E748" t="str">
        <x:v>{"phi":35,"hd":10,"d":0.8}</x:v>
      </x:c>
      <x:c r="F748" t="str">
        <x:v>EXACT</x:v>
      </x:c>
      <x:c r="G748"/>
      <x:c r="H748"/>
      <x:c r="I748"/>
      <x:c r="J748"/>
      <x:c r="K748"/>
      <x:c r="L748"/>
      <x:c r="M748" t="n">
        <x:v>0.24</x:v>
      </x:c>
      <x:c r="N748"/>
      <x:c r="O748"/>
      <x:c r="P748"/>
      <x:c r="Q748"/>
      <x:c r="R748"/>
      <x:c r="S748" t="n">
        <x:v>0.24</x:v>
      </x:c>
      <x:c r="T748" t="n">
        <x:v>0.24</x:v>
      </x:c>
      <x:c r="U748" s="28" t="n">
        <x:f>T748</x:f>
        <x:v>0.24</x:v>
      </x:c>
      <x:c r="V748" s="32" t="n">
        <x:f>IF(AND(ISNUMBER(S748),ISNUMBER(U748)),ABS(S748-U748),IF(S748=U748,0,1))</x:f>
        <x:v>0</x:v>
      </x:c>
      <x:c r="W748" s="30" t="str">
        <x:v>PASS</x:v>
      </x:c>
      <x:c r="X748" s="28" t="str">
        <x:f>IF(V748&lt;=1E-9,"PASS","FAIL")</x:f>
        <x:v>PASS</x:v>
      </x:c>
      <x:c r="Y748" t="str">
        <x:v>tr.41</x:v>
      </x:c>
      <x:c r="Z748" t="str"/>
    </x:row>
    <x:row r="749">
      <x:c r="A749" t="str">
        <x:v>G0746</x:v>
      </x:c>
      <x:c r="B749" t="str">
        <x:v>Bảng 7</x:v>
      </x:c>
      <x:c r="C749" t="str">
        <x:v>alpha4 exact grid</x:v>
      </x:c>
      <x:c r="D749" t="str">
        <x:v>EXACT</x:v>
      </x:c>
      <x:c r="E749" t="str">
        <x:v>{"phi":37,"hd":10,"d":0.8}</x:v>
      </x:c>
      <x:c r="F749" t="str">
        <x:v>EXACT</x:v>
      </x:c>
      <x:c r="G749"/>
      <x:c r="H749"/>
      <x:c r="I749"/>
      <x:c r="J749"/>
      <x:c r="K749"/>
      <x:c r="L749"/>
      <x:c r="M749" t="n">
        <x:v>0.23</x:v>
      </x:c>
      <x:c r="N749"/>
      <x:c r="O749"/>
      <x:c r="P749"/>
      <x:c r="Q749"/>
      <x:c r="R749"/>
      <x:c r="S749" t="n">
        <x:v>0.23</x:v>
      </x:c>
      <x:c r="T749" t="n">
        <x:v>0.23</x:v>
      </x:c>
      <x:c r="U749" s="28" t="n">
        <x:f>T749</x:f>
        <x:v>0.23</x:v>
      </x:c>
      <x:c r="V749" s="32" t="n">
        <x:f>IF(AND(ISNUMBER(S749),ISNUMBER(U749)),ABS(S749-U749),IF(S749=U749,0,1))</x:f>
        <x:v>0</x:v>
      </x:c>
      <x:c r="W749" s="30" t="str">
        <x:v>PASS</x:v>
      </x:c>
      <x:c r="X749" s="28" t="str">
        <x:f>IF(V749&lt;=1E-9,"PASS","FAIL")</x:f>
        <x:v>PASS</x:v>
      </x:c>
      <x:c r="Y749" t="str">
        <x:v>tr.41</x:v>
      </x:c>
      <x:c r="Z749" t="str"/>
    </x:row>
    <x:row r="750">
      <x:c r="A750" t="str">
        <x:v>G0747</x:v>
      </x:c>
      <x:c r="B750" t="str">
        <x:v>Bảng 7</x:v>
      </x:c>
      <x:c r="C750" t="str">
        <x:v>alpha4 exact grid</x:v>
      </x:c>
      <x:c r="D750" t="str">
        <x:v>EXACT</x:v>
      </x:c>
      <x:c r="E750" t="str">
        <x:v>{"phi":39,"hd":10,"d":0.8}</x:v>
      </x:c>
      <x:c r="F750" t="str">
        <x:v>EXACT</x:v>
      </x:c>
      <x:c r="G750"/>
      <x:c r="H750"/>
      <x:c r="I750"/>
      <x:c r="J750"/>
      <x:c r="K750"/>
      <x:c r="L750"/>
      <x:c r="M750" t="n">
        <x:v>0.22</x:v>
      </x:c>
      <x:c r="N750"/>
      <x:c r="O750"/>
      <x:c r="P750"/>
      <x:c r="Q750"/>
      <x:c r="R750"/>
      <x:c r="S750" t="n">
        <x:v>0.22</x:v>
      </x:c>
      <x:c r="T750" t="n">
        <x:v>0.22</x:v>
      </x:c>
      <x:c r="U750" s="28" t="n">
        <x:f>T750</x:f>
        <x:v>0.22</x:v>
      </x:c>
      <x:c r="V750" s="32" t="n">
        <x:f>IF(AND(ISNUMBER(S750),ISNUMBER(U750)),ABS(S750-U750),IF(S750=U750,0,1))</x:f>
        <x:v>0</x:v>
      </x:c>
      <x:c r="W750" s="30" t="str">
        <x:v>PASS</x:v>
      </x:c>
      <x:c r="X750" s="28" t="str">
        <x:f>IF(V750&lt;=1E-9,"PASS","FAIL")</x:f>
        <x:v>PASS</x:v>
      </x:c>
      <x:c r="Y750" t="str">
        <x:v>tr.41</x:v>
      </x:c>
      <x:c r="Z750" t="str"/>
    </x:row>
    <x:row r="751">
      <x:c r="A751" t="str">
        <x:v>G0748</x:v>
      </x:c>
      <x:c r="B751" t="str">
        <x:v>Bảng 7</x:v>
      </x:c>
      <x:c r="C751" t="str">
        <x:v>alpha4 exact grid</x:v>
      </x:c>
      <x:c r="D751" t="str">
        <x:v>EXACT</x:v>
      </x:c>
      <x:c r="E751" t="str">
        <x:v>{"phi":23,"hd":10,"d":4}</x:v>
      </x:c>
      <x:c r="F751" t="str">
        <x:v>EXACT</x:v>
      </x:c>
      <x:c r="G751"/>
      <x:c r="H751"/>
      <x:c r="I751"/>
      <x:c r="J751"/>
      <x:c r="K751"/>
      <x:c r="L751"/>
      <x:c r="M751" t="n">
        <x:v>0.25</x:v>
      </x:c>
      <x:c r="N751"/>
      <x:c r="O751"/>
      <x:c r="P751"/>
      <x:c r="Q751"/>
      <x:c r="R751"/>
      <x:c r="S751" t="n">
        <x:v>0.25</x:v>
      </x:c>
      <x:c r="T751" t="n">
        <x:v>0.25</x:v>
      </x:c>
      <x:c r="U751" s="28" t="n">
        <x:f>T751</x:f>
        <x:v>0.25</x:v>
      </x:c>
      <x:c r="V751" s="32" t="n">
        <x:f>IF(AND(ISNUMBER(S751),ISNUMBER(U751)),ABS(S751-U751),IF(S751=U751,0,1))</x:f>
        <x:v>0</x:v>
      </x:c>
      <x:c r="W751" s="30" t="str">
        <x:v>PASS</x:v>
      </x:c>
      <x:c r="X751" s="28" t="str">
        <x:f>IF(V751&lt;=1E-9,"PASS","FAIL")</x:f>
        <x:v>PASS</x:v>
      </x:c>
      <x:c r="Y751" t="str">
        <x:v>tr.41</x:v>
      </x:c>
      <x:c r="Z751" t="str"/>
    </x:row>
    <x:row r="752">
      <x:c r="A752" t="str">
        <x:v>G0749</x:v>
      </x:c>
      <x:c r="B752" t="str">
        <x:v>Bảng 7</x:v>
      </x:c>
      <x:c r="C752" t="str">
        <x:v>alpha4 exact grid</x:v>
      </x:c>
      <x:c r="D752" t="str">
        <x:v>EXACT</x:v>
      </x:c>
      <x:c r="E752" t="str">
        <x:v>{"phi":25,"hd":10,"d":4}</x:v>
      </x:c>
      <x:c r="F752" t="str">
        <x:v>EXACT</x:v>
      </x:c>
      <x:c r="G752"/>
      <x:c r="H752"/>
      <x:c r="I752"/>
      <x:c r="J752"/>
      <x:c r="K752"/>
      <x:c r="L752"/>
      <x:c r="M752" t="n">
        <x:v>0.24</x:v>
      </x:c>
      <x:c r="N752"/>
      <x:c r="O752"/>
      <x:c r="P752"/>
      <x:c r="Q752"/>
      <x:c r="R752"/>
      <x:c r="S752" t="n">
        <x:v>0.24</x:v>
      </x:c>
      <x:c r="T752" t="n">
        <x:v>0.24</x:v>
      </x:c>
      <x:c r="U752" s="28" t="n">
        <x:f>T752</x:f>
        <x:v>0.24</x:v>
      </x:c>
      <x:c r="V752" s="32" t="n">
        <x:f>IF(AND(ISNUMBER(S752),ISNUMBER(U752)),ABS(S752-U752),IF(S752=U752,0,1))</x:f>
        <x:v>0</x:v>
      </x:c>
      <x:c r="W752" s="30" t="str">
        <x:v>PASS</x:v>
      </x:c>
      <x:c r="X752" s="28" t="str">
        <x:f>IF(V752&lt;=1E-9,"PASS","FAIL")</x:f>
        <x:v>PASS</x:v>
      </x:c>
      <x:c r="Y752" t="str">
        <x:v>tr.41</x:v>
      </x:c>
      <x:c r="Z752" t="str"/>
    </x:row>
    <x:row r="753">
      <x:c r="A753" t="str">
        <x:v>G0750</x:v>
      </x:c>
      <x:c r="B753" t="str">
        <x:v>Bảng 7</x:v>
      </x:c>
      <x:c r="C753" t="str">
        <x:v>alpha4 exact grid</x:v>
      </x:c>
      <x:c r="D753" t="str">
        <x:v>EXACT</x:v>
      </x:c>
      <x:c r="E753" t="str">
        <x:v>{"phi":27,"hd":10,"d":4}</x:v>
      </x:c>
      <x:c r="F753" t="str">
        <x:v>EXACT</x:v>
      </x:c>
      <x:c r="G753"/>
      <x:c r="H753"/>
      <x:c r="I753"/>
      <x:c r="J753"/>
      <x:c r="K753"/>
      <x:c r="L753"/>
      <x:c r="M753" t="n">
        <x:v>0.23</x:v>
      </x:c>
      <x:c r="N753"/>
      <x:c r="O753"/>
      <x:c r="P753"/>
      <x:c r="Q753"/>
      <x:c r="R753"/>
      <x:c r="S753" t="n">
        <x:v>0.23</x:v>
      </x:c>
      <x:c r="T753" t="n">
        <x:v>0.23</x:v>
      </x:c>
      <x:c r="U753" s="28" t="n">
        <x:f>T753</x:f>
        <x:v>0.23</x:v>
      </x:c>
      <x:c r="V753" s="32" t="n">
        <x:f>IF(AND(ISNUMBER(S753),ISNUMBER(U753)),ABS(S753-U753),IF(S753=U753,0,1))</x:f>
        <x:v>0</x:v>
      </x:c>
      <x:c r="W753" s="30" t="str">
        <x:v>PASS</x:v>
      </x:c>
      <x:c r="X753" s="28" t="str">
        <x:f>IF(V753&lt;=1E-9,"PASS","FAIL")</x:f>
        <x:v>PASS</x:v>
      </x:c>
      <x:c r="Y753" t="str">
        <x:v>tr.41</x:v>
      </x:c>
      <x:c r="Z753" t="str"/>
    </x:row>
    <x:row r="754">
      <x:c r="A754" t="str">
        <x:v>G0751</x:v>
      </x:c>
      <x:c r="B754" t="str">
        <x:v>Bảng 7</x:v>
      </x:c>
      <x:c r="C754" t="str">
        <x:v>alpha4 exact grid</x:v>
      </x:c>
      <x:c r="D754" t="str">
        <x:v>EXACT</x:v>
      </x:c>
      <x:c r="E754" t="str">
        <x:v>{"phi":29,"hd":10,"d":4}</x:v>
      </x:c>
      <x:c r="F754" t="str">
        <x:v>EXACT</x:v>
      </x:c>
      <x:c r="G754"/>
      <x:c r="H754"/>
      <x:c r="I754"/>
      <x:c r="J754"/>
      <x:c r="K754"/>
      <x:c r="L754"/>
      <x:c r="M754" t="n">
        <x:v>0.22</x:v>
      </x:c>
      <x:c r="N754"/>
      <x:c r="O754"/>
      <x:c r="P754"/>
      <x:c r="Q754"/>
      <x:c r="R754"/>
      <x:c r="S754" t="n">
        <x:v>0.22</x:v>
      </x:c>
      <x:c r="T754" t="n">
        <x:v>0.22</x:v>
      </x:c>
      <x:c r="U754" s="28" t="n">
        <x:f>T754</x:f>
        <x:v>0.22</x:v>
      </x:c>
      <x:c r="V754" s="32" t="n">
        <x:f>IF(AND(ISNUMBER(S754),ISNUMBER(U754)),ABS(S754-U754),IF(S754=U754,0,1))</x:f>
        <x:v>0</x:v>
      </x:c>
      <x:c r="W754" s="30" t="str">
        <x:v>PASS</x:v>
      </x:c>
      <x:c r="X754" s="28" t="str">
        <x:f>IF(V754&lt;=1E-9,"PASS","FAIL")</x:f>
        <x:v>PASS</x:v>
      </x:c>
      <x:c r="Y754" t="str">
        <x:v>tr.41</x:v>
      </x:c>
      <x:c r="Z754" t="str"/>
    </x:row>
    <x:row r="755">
      <x:c r="A755" t="str">
        <x:v>G0752</x:v>
      </x:c>
      <x:c r="B755" t="str">
        <x:v>Bảng 7</x:v>
      </x:c>
      <x:c r="C755" t="str">
        <x:v>alpha4 exact grid</x:v>
      </x:c>
      <x:c r="D755" t="str">
        <x:v>EXACT</x:v>
      </x:c>
      <x:c r="E755" t="str">
        <x:v>{"phi":31,"hd":10,"d":4}</x:v>
      </x:c>
      <x:c r="F755" t="str">
        <x:v>EXACT</x:v>
      </x:c>
      <x:c r="G755"/>
      <x:c r="H755"/>
      <x:c r="I755"/>
      <x:c r="J755"/>
      <x:c r="K755"/>
      <x:c r="L755"/>
      <x:c r="M755" t="n">
        <x:v>0.21</x:v>
      </x:c>
      <x:c r="N755"/>
      <x:c r="O755"/>
      <x:c r="P755"/>
      <x:c r="Q755"/>
      <x:c r="R755"/>
      <x:c r="S755" t="n">
        <x:v>0.21</x:v>
      </x:c>
      <x:c r="T755" t="n">
        <x:v>0.21</x:v>
      </x:c>
      <x:c r="U755" s="28" t="n">
        <x:f>T755</x:f>
        <x:v>0.21</x:v>
      </x:c>
      <x:c r="V755" s="32" t="n">
        <x:f>IF(AND(ISNUMBER(S755),ISNUMBER(U755)),ABS(S755-U755),IF(S755=U755,0,1))</x:f>
        <x:v>0</x:v>
      </x:c>
      <x:c r="W755" s="30" t="str">
        <x:v>PASS</x:v>
      </x:c>
      <x:c r="X755" s="28" t="str">
        <x:f>IF(V755&lt;=1E-9,"PASS","FAIL")</x:f>
        <x:v>PASS</x:v>
      </x:c>
      <x:c r="Y755" t="str">
        <x:v>tr.41</x:v>
      </x:c>
      <x:c r="Z755" t="str"/>
    </x:row>
    <x:row r="756">
      <x:c r="A756" t="str">
        <x:v>G0753</x:v>
      </x:c>
      <x:c r="B756" t="str">
        <x:v>Bảng 7</x:v>
      </x:c>
      <x:c r="C756" t="str">
        <x:v>alpha4 exact grid</x:v>
      </x:c>
      <x:c r="D756" t="str">
        <x:v>EXACT</x:v>
      </x:c>
      <x:c r="E756" t="str">
        <x:v>{"phi":33,"hd":10,"d":4}</x:v>
      </x:c>
      <x:c r="F756" t="str">
        <x:v>EXACT</x:v>
      </x:c>
      <x:c r="G756"/>
      <x:c r="H756"/>
      <x:c r="I756"/>
      <x:c r="J756"/>
      <x:c r="K756"/>
      <x:c r="L756"/>
      <x:c r="M756" t="n">
        <x:v>0.2</x:v>
      </x:c>
      <x:c r="N756"/>
      <x:c r="O756"/>
      <x:c r="P756"/>
      <x:c r="Q756"/>
      <x:c r="R756"/>
      <x:c r="S756" t="n">
        <x:v>0.2</x:v>
      </x:c>
      <x:c r="T756" t="n">
        <x:v>0.2</x:v>
      </x:c>
      <x:c r="U756" s="28" t="n">
        <x:f>T756</x:f>
        <x:v>0.2</x:v>
      </x:c>
      <x:c r="V756" s="32" t="n">
        <x:f>IF(AND(ISNUMBER(S756),ISNUMBER(U756)),ABS(S756-U756),IF(S756=U756,0,1))</x:f>
        <x:v>0</x:v>
      </x:c>
      <x:c r="W756" s="30" t="str">
        <x:v>PASS</x:v>
      </x:c>
      <x:c r="X756" s="28" t="str">
        <x:f>IF(V756&lt;=1E-9,"PASS","FAIL")</x:f>
        <x:v>PASS</x:v>
      </x:c>
      <x:c r="Y756" t="str">
        <x:v>tr.41</x:v>
      </x:c>
      <x:c r="Z756" t="str"/>
    </x:row>
    <x:row r="757">
      <x:c r="A757" t="str">
        <x:v>G0754</x:v>
      </x:c>
      <x:c r="B757" t="str">
        <x:v>Bảng 7</x:v>
      </x:c>
      <x:c r="C757" t="str">
        <x:v>alpha4 exact grid</x:v>
      </x:c>
      <x:c r="D757" t="str">
        <x:v>EXACT</x:v>
      </x:c>
      <x:c r="E757" t="str">
        <x:v>{"phi":35,"hd":10,"d":4}</x:v>
      </x:c>
      <x:c r="F757" t="str">
        <x:v>EXACT</x:v>
      </x:c>
      <x:c r="G757"/>
      <x:c r="H757"/>
      <x:c r="I757"/>
      <x:c r="J757"/>
      <x:c r="K757"/>
      <x:c r="L757"/>
      <x:c r="M757" t="n">
        <x:v>0.19</x:v>
      </x:c>
      <x:c r="N757"/>
      <x:c r="O757"/>
      <x:c r="P757"/>
      <x:c r="Q757"/>
      <x:c r="R757"/>
      <x:c r="S757" t="n">
        <x:v>0.19</x:v>
      </x:c>
      <x:c r="T757" t="n">
        <x:v>0.19</x:v>
      </x:c>
      <x:c r="U757" s="28" t="n">
        <x:f>T757</x:f>
        <x:v>0.19</x:v>
      </x:c>
      <x:c r="V757" s="32" t="n">
        <x:f>IF(AND(ISNUMBER(S757),ISNUMBER(U757)),ABS(S757-U757),IF(S757=U757,0,1))</x:f>
        <x:v>0</x:v>
      </x:c>
      <x:c r="W757" s="30" t="str">
        <x:v>PASS</x:v>
      </x:c>
      <x:c r="X757" s="28" t="str">
        <x:f>IF(V757&lt;=1E-9,"PASS","FAIL")</x:f>
        <x:v>PASS</x:v>
      </x:c>
      <x:c r="Y757" t="str">
        <x:v>tr.41</x:v>
      </x:c>
      <x:c r="Z757" t="str"/>
    </x:row>
    <x:row r="758">
      <x:c r="A758" t="str">
        <x:v>G0755</x:v>
      </x:c>
      <x:c r="B758" t="str">
        <x:v>Bảng 7</x:v>
      </x:c>
      <x:c r="C758" t="str">
        <x:v>alpha4 exact grid</x:v>
      </x:c>
      <x:c r="D758" t="str">
        <x:v>EXACT</x:v>
      </x:c>
      <x:c r="E758" t="str">
        <x:v>{"phi":37,"hd":10,"d":4}</x:v>
      </x:c>
      <x:c r="F758" t="str">
        <x:v>EXACT</x:v>
      </x:c>
      <x:c r="G758"/>
      <x:c r="H758"/>
      <x:c r="I758"/>
      <x:c r="J758"/>
      <x:c r="K758"/>
      <x:c r="L758"/>
      <x:c r="M758" t="n">
        <x:v>0.18</x:v>
      </x:c>
      <x:c r="N758"/>
      <x:c r="O758"/>
      <x:c r="P758"/>
      <x:c r="Q758"/>
      <x:c r="R758"/>
      <x:c r="S758" t="n">
        <x:v>0.18</x:v>
      </x:c>
      <x:c r="T758" t="n">
        <x:v>0.18</x:v>
      </x:c>
      <x:c r="U758" s="28" t="n">
        <x:f>T758</x:f>
        <x:v>0.18</x:v>
      </x:c>
      <x:c r="V758" s="32" t="n">
        <x:f>IF(AND(ISNUMBER(S758),ISNUMBER(U758)),ABS(S758-U758),IF(S758=U758,0,1))</x:f>
        <x:v>0</x:v>
      </x:c>
      <x:c r="W758" s="30" t="str">
        <x:v>PASS</x:v>
      </x:c>
      <x:c r="X758" s="28" t="str">
        <x:f>IF(V758&lt;=1E-9,"PASS","FAIL")</x:f>
        <x:v>PASS</x:v>
      </x:c>
      <x:c r="Y758" t="str">
        <x:v>tr.41</x:v>
      </x:c>
      <x:c r="Z758" t="str"/>
    </x:row>
    <x:row r="759">
      <x:c r="A759" t="str">
        <x:v>G0756</x:v>
      </x:c>
      <x:c r="B759" t="str">
        <x:v>Bảng 7</x:v>
      </x:c>
      <x:c r="C759" t="str">
        <x:v>alpha4 exact grid</x:v>
      </x:c>
      <x:c r="D759" t="str">
        <x:v>EXACT</x:v>
      </x:c>
      <x:c r="E759" t="str">
        <x:v>{"phi":39,"hd":10,"d":4}</x:v>
      </x:c>
      <x:c r="F759" t="str">
        <x:v>EXACT</x:v>
      </x:c>
      <x:c r="G759"/>
      <x:c r="H759"/>
      <x:c r="I759"/>
      <x:c r="J759"/>
      <x:c r="K759"/>
      <x:c r="L759"/>
      <x:c r="M759" t="n">
        <x:v>0.17</x:v>
      </x:c>
      <x:c r="N759"/>
      <x:c r="O759"/>
      <x:c r="P759"/>
      <x:c r="Q759"/>
      <x:c r="R759"/>
      <x:c r="S759" t="n">
        <x:v>0.17</x:v>
      </x:c>
      <x:c r="T759" t="n">
        <x:v>0.17</x:v>
      </x:c>
      <x:c r="U759" s="28" t="n">
        <x:f>T759</x:f>
        <x:v>0.17</x:v>
      </x:c>
      <x:c r="V759" s="32" t="n">
        <x:f>IF(AND(ISNUMBER(S759),ISNUMBER(U759)),ABS(S759-U759),IF(S759=U759,0,1))</x:f>
        <x:v>0</x:v>
      </x:c>
      <x:c r="W759" s="30" t="str">
        <x:v>PASS</x:v>
      </x:c>
      <x:c r="X759" s="28" t="str">
        <x:f>IF(V759&lt;=1E-9,"PASS","FAIL")</x:f>
        <x:v>PASS</x:v>
      </x:c>
      <x:c r="Y759" t="str">
        <x:v>tr.41</x:v>
      </x:c>
      <x:c r="Z759" t="str"/>
    </x:row>
    <x:row r="760">
      <x:c r="A760" t="str">
        <x:v>G0757</x:v>
      </x:c>
      <x:c r="B760" t="str">
        <x:v>Bảng 7</x:v>
      </x:c>
      <x:c r="C760" t="str">
        <x:v>alpha1 midpoint</x:v>
      </x:c>
      <x:c r="D760" t="str">
        <x:v>MID</x:v>
      </x:c>
      <x:c r="E760" t="str">
        <x:v>{"phi":24}</x:v>
      </x:c>
      <x:c r="F760" t="str">
        <x:v>LINEAR-1D</x:v>
      </x:c>
      <x:c r="G760" t="n">
        <x:v>24</x:v>
      </x:c>
      <x:c r="H760"/>
      <x:c r="I760" t="n">
        <x:v>23</x:v>
      </x:c>
      <x:c r="J760" t="n">
        <x:v>25</x:v>
      </x:c>
      <x:c r="K760"/>
      <x:c r="L760"/>
      <x:c r="M760" t="n">
        <x:v>9.5</x:v>
      </x:c>
      <x:c r="N760" t="n">
        <x:v>12.6</x:v>
      </x:c>
      <x:c r="O760"/>
      <x:c r="P760"/>
      <x:c r="Q760"/>
      <x:c r="R760"/>
      <x:c r="S760" t="n">
        <x:v>11.05</x:v>
      </x:c>
      <x:c r="T760" t="n">
        <x:v>11.05</x:v>
      </x:c>
      <x:c r="U760" s="28" t="n">
        <x:f>M760+(G760-I760)*(N760-M760)/(J760-I760)</x:f>
        <x:v>11.05</x:v>
      </x:c>
      <x:c r="V760" s="32" t="n">
        <x:f>IF(AND(ISNUMBER(S760),ISNUMBER(U760)),ABS(S760-U760),IF(S760=U760,0,1))</x:f>
        <x:v>0</x:v>
      </x:c>
      <x:c r="W760" s="30" t="str">
        <x:v>PASS</x:v>
      </x:c>
      <x:c r="X760" s="28" t="str">
        <x:f>IF(V760&lt;=1E-9,"PASS","FAIL")</x:f>
        <x:v>PASS</x:v>
      </x:c>
      <x:c r="Y760" t="str">
        <x:v>Chú thích 2</x:v>
      </x:c>
      <x:c r="Z760" t="str"/>
    </x:row>
    <x:row r="761">
      <x:c r="A761" t="str">
        <x:v>G0758</x:v>
      </x:c>
      <x:c r="B761" t="str">
        <x:v>Bảng 7</x:v>
      </x:c>
      <x:c r="C761" t="str">
        <x:v>alpha1 midpoint</x:v>
      </x:c>
      <x:c r="D761" t="str">
        <x:v>MID</x:v>
      </x:c>
      <x:c r="E761" t="str">
        <x:v>{"phi":26}</x:v>
      </x:c>
      <x:c r="F761" t="str">
        <x:v>LINEAR-1D</x:v>
      </x:c>
      <x:c r="G761" t="n">
        <x:v>26</x:v>
      </x:c>
      <x:c r="H761"/>
      <x:c r="I761" t="n">
        <x:v>25</x:v>
      </x:c>
      <x:c r="J761" t="n">
        <x:v>27</x:v>
      </x:c>
      <x:c r="K761"/>
      <x:c r="L761"/>
      <x:c r="M761" t="n">
        <x:v>12.6</x:v>
      </x:c>
      <x:c r="N761" t="n">
        <x:v>17.3</x:v>
      </x:c>
      <x:c r="O761"/>
      <x:c r="P761"/>
      <x:c r="Q761"/>
      <x:c r="R761"/>
      <x:c r="S761" t="n">
        <x:v>14.95</x:v>
      </x:c>
      <x:c r="T761" t="n">
        <x:v>14.95</x:v>
      </x:c>
      <x:c r="U761" s="28" t="n">
        <x:f>M761+(G761-I761)*(N761-M761)/(J761-I761)</x:f>
        <x:v>14.95</x:v>
      </x:c>
      <x:c r="V761" s="32" t="n">
        <x:f>IF(AND(ISNUMBER(S761),ISNUMBER(U761)),ABS(S761-U761),IF(S761=U761,0,1))</x:f>
        <x:v>0</x:v>
      </x:c>
      <x:c r="W761" s="30" t="str">
        <x:v>PASS</x:v>
      </x:c>
      <x:c r="X761" s="28" t="str">
        <x:f>IF(V761&lt;=1E-9,"PASS","FAIL")</x:f>
        <x:v>PASS</x:v>
      </x:c>
      <x:c r="Y761" t="str">
        <x:v>Chú thích 2</x:v>
      </x:c>
      <x:c r="Z761" t="str"/>
    </x:row>
    <x:row r="762">
      <x:c r="A762" t="str">
        <x:v>G0759</x:v>
      </x:c>
      <x:c r="B762" t="str">
        <x:v>Bảng 7</x:v>
      </x:c>
      <x:c r="C762" t="str">
        <x:v>alpha1 midpoint</x:v>
      </x:c>
      <x:c r="D762" t="str">
        <x:v>MID</x:v>
      </x:c>
      <x:c r="E762" t="str">
        <x:v>{"phi":28}</x:v>
      </x:c>
      <x:c r="F762" t="str">
        <x:v>LINEAR-1D</x:v>
      </x:c>
      <x:c r="G762" t="n">
        <x:v>28</x:v>
      </x:c>
      <x:c r="H762"/>
      <x:c r="I762" t="n">
        <x:v>27</x:v>
      </x:c>
      <x:c r="J762" t="n">
        <x:v>29</x:v>
      </x:c>
      <x:c r="K762"/>
      <x:c r="L762"/>
      <x:c r="M762" t="n">
        <x:v>17.3</x:v>
      </x:c>
      <x:c r="N762" t="n">
        <x:v>24.4</x:v>
      </x:c>
      <x:c r="O762"/>
      <x:c r="P762"/>
      <x:c r="Q762"/>
      <x:c r="R762"/>
      <x:c r="S762" t="n">
        <x:v>20.85</x:v>
      </x:c>
      <x:c r="T762" t="n">
        <x:v>20.85</x:v>
      </x:c>
      <x:c r="U762" s="28" t="n">
        <x:f>M762+(G762-I762)*(N762-M762)/(J762-I762)</x:f>
        <x:v>20.85</x:v>
      </x:c>
      <x:c r="V762" s="32" t="n">
        <x:f>IF(AND(ISNUMBER(S762),ISNUMBER(U762)),ABS(S762-U762),IF(S762=U762,0,1))</x:f>
        <x:v>0</x:v>
      </x:c>
      <x:c r="W762" s="30" t="str">
        <x:v>PASS</x:v>
      </x:c>
      <x:c r="X762" s="28" t="str">
        <x:f>IF(V762&lt;=1E-9,"PASS","FAIL")</x:f>
        <x:v>PASS</x:v>
      </x:c>
      <x:c r="Y762" t="str">
        <x:v>Chú thích 2</x:v>
      </x:c>
      <x:c r="Z762" t="str"/>
    </x:row>
    <x:row r="763">
      <x:c r="A763" t="str">
        <x:v>G0760</x:v>
      </x:c>
      <x:c r="B763" t="str">
        <x:v>Bảng 7</x:v>
      </x:c>
      <x:c r="C763" t="str">
        <x:v>alpha1 midpoint</x:v>
      </x:c>
      <x:c r="D763" t="str">
        <x:v>MID</x:v>
      </x:c>
      <x:c r="E763" t="str">
        <x:v>{"phi":30}</x:v>
      </x:c>
      <x:c r="F763" t="str">
        <x:v>LINEAR-1D</x:v>
      </x:c>
      <x:c r="G763" t="n">
        <x:v>30</x:v>
      </x:c>
      <x:c r="H763"/>
      <x:c r="I763" t="n">
        <x:v>29</x:v>
      </x:c>
      <x:c r="J763" t="n">
        <x:v>31</x:v>
      </x:c>
      <x:c r="K763"/>
      <x:c r="L763"/>
      <x:c r="M763" t="n">
        <x:v>24.4</x:v>
      </x:c>
      <x:c r="N763" t="n">
        <x:v>34.6</x:v>
      </x:c>
      <x:c r="O763"/>
      <x:c r="P763"/>
      <x:c r="Q763"/>
      <x:c r="R763"/>
      <x:c r="S763" t="n">
        <x:v>29.5</x:v>
      </x:c>
      <x:c r="T763" t="n">
        <x:v>29.5</x:v>
      </x:c>
      <x:c r="U763" s="28" t="n">
        <x:f>M763+(G763-I763)*(N763-M763)/(J763-I763)</x:f>
        <x:v>29.5</x:v>
      </x:c>
      <x:c r="V763" s="32" t="n">
        <x:f>IF(AND(ISNUMBER(S763),ISNUMBER(U763)),ABS(S763-U763),IF(S763=U763,0,1))</x:f>
        <x:v>0</x:v>
      </x:c>
      <x:c r="W763" s="30" t="str">
        <x:v>PASS</x:v>
      </x:c>
      <x:c r="X763" s="28" t="str">
        <x:f>IF(V763&lt;=1E-9,"PASS","FAIL")</x:f>
        <x:v>PASS</x:v>
      </x:c>
      <x:c r="Y763" t="str">
        <x:v>Chú thích 2</x:v>
      </x:c>
      <x:c r="Z763" t="str"/>
    </x:row>
    <x:row r="764">
      <x:c r="A764" t="str">
        <x:v>G0761</x:v>
      </x:c>
      <x:c r="B764" t="str">
        <x:v>Bảng 7</x:v>
      </x:c>
      <x:c r="C764" t="str">
        <x:v>alpha1 midpoint</x:v>
      </x:c>
      <x:c r="D764" t="str">
        <x:v>MID</x:v>
      </x:c>
      <x:c r="E764" t="str">
        <x:v>{"phi":32}</x:v>
      </x:c>
      <x:c r="F764" t="str">
        <x:v>LINEAR-1D</x:v>
      </x:c>
      <x:c r="G764" t="n">
        <x:v>32</x:v>
      </x:c>
      <x:c r="H764"/>
      <x:c r="I764" t="n">
        <x:v>31</x:v>
      </x:c>
      <x:c r="J764" t="n">
        <x:v>33</x:v>
      </x:c>
      <x:c r="K764"/>
      <x:c r="L764"/>
      <x:c r="M764" t="n">
        <x:v>34.6</x:v>
      </x:c>
      <x:c r="N764" t="n">
        <x:v>48.6</x:v>
      </x:c>
      <x:c r="O764"/>
      <x:c r="P764"/>
      <x:c r="Q764"/>
      <x:c r="R764"/>
      <x:c r="S764" t="n">
        <x:v>41.6</x:v>
      </x:c>
      <x:c r="T764" t="n">
        <x:v>41.6</x:v>
      </x:c>
      <x:c r="U764" s="28" t="n">
        <x:f>M764+(G764-I764)*(N764-M764)/(J764-I764)</x:f>
        <x:v>41.6</x:v>
      </x:c>
      <x:c r="V764" s="32" t="n">
        <x:f>IF(AND(ISNUMBER(S764),ISNUMBER(U764)),ABS(S764-U764),IF(S764=U764,0,1))</x:f>
        <x:v>0</x:v>
      </x:c>
      <x:c r="W764" s="30" t="str">
        <x:v>PASS</x:v>
      </x:c>
      <x:c r="X764" s="28" t="str">
        <x:f>IF(V764&lt;=1E-9,"PASS","FAIL")</x:f>
        <x:v>PASS</x:v>
      </x:c>
      <x:c r="Y764" t="str">
        <x:v>Chú thích 2</x:v>
      </x:c>
      <x:c r="Z764" t="str"/>
    </x:row>
    <x:row r="765">
      <x:c r="A765" t="str">
        <x:v>G0762</x:v>
      </x:c>
      <x:c r="B765" t="str">
        <x:v>Bảng 7</x:v>
      </x:c>
      <x:c r="C765" t="str">
        <x:v>alpha1 midpoint</x:v>
      </x:c>
      <x:c r="D765" t="str">
        <x:v>MID</x:v>
      </x:c>
      <x:c r="E765" t="str">
        <x:v>{"phi":34}</x:v>
      </x:c>
      <x:c r="F765" t="str">
        <x:v>LINEAR-1D</x:v>
      </x:c>
      <x:c r="G765" t="n">
        <x:v>34</x:v>
      </x:c>
      <x:c r="H765"/>
      <x:c r="I765" t="n">
        <x:v>33</x:v>
      </x:c>
      <x:c r="J765" t="n">
        <x:v>35</x:v>
      </x:c>
      <x:c r="K765"/>
      <x:c r="L765"/>
      <x:c r="M765" t="n">
        <x:v>48.6</x:v>
      </x:c>
      <x:c r="N765" t="n">
        <x:v>71.3</x:v>
      </x:c>
      <x:c r="O765"/>
      <x:c r="P765"/>
      <x:c r="Q765"/>
      <x:c r="R765"/>
      <x:c r="S765" t="n">
        <x:v>59.95</x:v>
      </x:c>
      <x:c r="T765" t="n">
        <x:v>59.95</x:v>
      </x:c>
      <x:c r="U765" s="28" t="n">
        <x:f>M765+(G765-I765)*(N765-M765)/(J765-I765)</x:f>
        <x:v>59.95</x:v>
      </x:c>
      <x:c r="V765" s="32" t="n">
        <x:f>IF(AND(ISNUMBER(S765),ISNUMBER(U765)),ABS(S765-U765),IF(S765=U765,0,1))</x:f>
        <x:v>0</x:v>
      </x:c>
      <x:c r="W765" s="30" t="str">
        <x:v>PASS</x:v>
      </x:c>
      <x:c r="X765" s="28" t="str">
        <x:f>IF(V765&lt;=1E-9,"PASS","FAIL")</x:f>
        <x:v>PASS</x:v>
      </x:c>
      <x:c r="Y765" t="str">
        <x:v>Chú thích 2</x:v>
      </x:c>
      <x:c r="Z765" t="str"/>
    </x:row>
    <x:row r="766">
      <x:c r="A766" t="str">
        <x:v>G0763</x:v>
      </x:c>
      <x:c r="B766" t="str">
        <x:v>Bảng 7</x:v>
      </x:c>
      <x:c r="C766" t="str">
        <x:v>alpha1 midpoint</x:v>
      </x:c>
      <x:c r="D766" t="str">
        <x:v>MID</x:v>
      </x:c>
      <x:c r="E766" t="str">
        <x:v>{"phi":36}</x:v>
      </x:c>
      <x:c r="F766" t="str">
        <x:v>LINEAR-1D</x:v>
      </x:c>
      <x:c r="G766" t="n">
        <x:v>36</x:v>
      </x:c>
      <x:c r="H766"/>
      <x:c r="I766" t="n">
        <x:v>35</x:v>
      </x:c>
      <x:c r="J766" t="n">
        <x:v>37</x:v>
      </x:c>
      <x:c r="K766"/>
      <x:c r="L766"/>
      <x:c r="M766" t="n">
        <x:v>71.3</x:v>
      </x:c>
      <x:c r="N766" t="n">
        <x:v>108</x:v>
      </x:c>
      <x:c r="O766"/>
      <x:c r="P766"/>
      <x:c r="Q766"/>
      <x:c r="R766"/>
      <x:c r="S766" t="n">
        <x:v>89.65</x:v>
      </x:c>
      <x:c r="T766" t="n">
        <x:v>89.65</x:v>
      </x:c>
      <x:c r="U766" s="28" t="n">
        <x:f>M766+(G766-I766)*(N766-M766)/(J766-I766)</x:f>
        <x:v>89.65</x:v>
      </x:c>
      <x:c r="V766" s="32" t="n">
        <x:f>IF(AND(ISNUMBER(S766),ISNUMBER(U766)),ABS(S766-U766),IF(S766=U766,0,1))</x:f>
        <x:v>0</x:v>
      </x:c>
      <x:c r="W766" s="30" t="str">
        <x:v>PASS</x:v>
      </x:c>
      <x:c r="X766" s="28" t="str">
        <x:f>IF(V766&lt;=1E-9,"PASS","FAIL")</x:f>
        <x:v>PASS</x:v>
      </x:c>
      <x:c r="Y766" t="str">
        <x:v>Chú thích 2</x:v>
      </x:c>
      <x:c r="Z766" t="str"/>
    </x:row>
    <x:row r="767">
      <x:c r="A767" t="str">
        <x:v>G0764</x:v>
      </x:c>
      <x:c r="B767" t="str">
        <x:v>Bảng 7</x:v>
      </x:c>
      <x:c r="C767" t="str">
        <x:v>alpha1 midpoint</x:v>
      </x:c>
      <x:c r="D767" t="str">
        <x:v>MID</x:v>
      </x:c>
      <x:c r="E767" t="str">
        <x:v>{"phi":38}</x:v>
      </x:c>
      <x:c r="F767" t="str">
        <x:v>LINEAR-1D</x:v>
      </x:c>
      <x:c r="G767" t="n">
        <x:v>38</x:v>
      </x:c>
      <x:c r="H767"/>
      <x:c r="I767" t="n">
        <x:v>37</x:v>
      </x:c>
      <x:c r="J767" t="n">
        <x:v>39</x:v>
      </x:c>
      <x:c r="K767"/>
      <x:c r="L767"/>
      <x:c r="M767" t="n">
        <x:v>108</x:v>
      </x:c>
      <x:c r="N767" t="n">
        <x:v>163</x:v>
      </x:c>
      <x:c r="O767"/>
      <x:c r="P767"/>
      <x:c r="Q767"/>
      <x:c r="R767"/>
      <x:c r="S767" t="n">
        <x:v>135.5</x:v>
      </x:c>
      <x:c r="T767" t="n">
        <x:v>135.5</x:v>
      </x:c>
      <x:c r="U767" s="28" t="n">
        <x:f>M767+(G767-I767)*(N767-M767)/(J767-I767)</x:f>
        <x:v>135.5</x:v>
      </x:c>
      <x:c r="V767" s="32" t="n">
        <x:f>IF(AND(ISNUMBER(S767),ISNUMBER(U767)),ABS(S767-U767),IF(S767=U767,0,1))</x:f>
        <x:v>0</x:v>
      </x:c>
      <x:c r="W767" s="30" t="str">
        <x:v>PASS</x:v>
      </x:c>
      <x:c r="X767" s="28" t="str">
        <x:f>IF(V767&lt;=1E-9,"PASS","FAIL")</x:f>
        <x:v>PASS</x:v>
      </x:c>
      <x:c r="Y767" t="str">
        <x:v>Chú thích 2</x:v>
      </x:c>
      <x:c r="Z767" t="str"/>
    </x:row>
    <x:row r="768">
      <x:c r="A768" t="str">
        <x:v>G0765</x:v>
      </x:c>
      <x:c r="B768" t="str">
        <x:v>Bảng 7</x:v>
      </x:c>
      <x:c r="C768" t="str">
        <x:v>alpha3 midpoint</x:v>
      </x:c>
      <x:c r="D768" t="str">
        <x:v>MID-2D</x:v>
      </x:c>
      <x:c r="E768" t="str">
        <x:v>{"phi":30,"hd":4.5}</x:v>
      </x:c>
      <x:c r="F768" t="str">
        <x:v>BILINEAR-2D</x:v>
      </x:c>
      <x:c r="G768" t="n">
        <x:v>4.5</x:v>
      </x:c>
      <x:c r="H768" t="n">
        <x:v>30</x:v>
      </x:c>
      <x:c r="I768" t="n">
        <x:v>4</x:v>
      </x:c>
      <x:c r="J768" t="n">
        <x:v>5</x:v>
      </x:c>
      <x:c r="K768" t="n">
        <x:v>29</x:v>
      </x:c>
      <x:c r="L768" t="n">
        <x:v>31</x:v>
      </x:c>
      <x:c r="M768"/>
      <x:c r="N768"/>
      <x:c r="O768" t="n">
        <x:v>0.82</x:v>
      </x:c>
      <x:c r="P768" t="n">
        <x:v>0.84</x:v>
      </x:c>
      <x:c r="Q768" t="n">
        <x:v>0.79</x:v>
      </x:c>
      <x:c r="R768" t="n">
        <x:v>0.81</x:v>
      </x:c>
      <x:c r="S768" t="n">
        <x:v>0.815</x:v>
      </x:c>
      <x:c r="T768" t="n">
        <x:v>0.815</x:v>
      </x:c>
      <x:c r="U768" s="28" t="n">
        <x:f>(O768+(G768-I768)*(Q768-O768)/(J768-I768))+(H768-K768)/(L768-K768)*((P768+(G768-I768)*(R768-P768)/(J768-I768))-(O768+(G768-I768)*(Q768-O768)/(J768-I768)))</x:f>
        <x:v>0.815</x:v>
      </x:c>
      <x:c r="V768" s="32" t="n">
        <x:f>IF(AND(ISNUMBER(S768),ISNUMBER(U768)),ABS(S768-U768),IF(S768=U768,0,1))</x:f>
        <x:v>0</x:v>
      </x:c>
      <x:c r="W768" s="30" t="str">
        <x:v>PASS</x:v>
      </x:c>
      <x:c r="X768" s="28" t="str">
        <x:f>IF(V768&lt;=1E-9,"PASS","FAIL")</x:f>
        <x:v>PASS</x:v>
      </x:c>
      <x:c r="Y768" t="str">
        <x:v>Chú thích 2</x:v>
      </x:c>
      <x:c r="Z768" t="str"/>
    </x:row>
    <x:row r="769">
      <x:c r="A769" t="str">
        <x:v>G0766</x:v>
      </x:c>
      <x:c r="B769" t="str">
        <x:v>Bảng 7</x:v>
      </x:c>
      <x:c r="C769" t="str">
        <x:v>alpha3 midpoint</x:v>
      </x:c>
      <x:c r="D769" t="str">
        <x:v>MID-2D</x:v>
      </x:c>
      <x:c r="E769" t="str">
        <x:v>{"phi":30,"hd":6.25}</x:v>
      </x:c>
      <x:c r="F769" t="str">
        <x:v>BILINEAR-2D</x:v>
      </x:c>
      <x:c r="G769" t="n">
        <x:v>6.25</x:v>
      </x:c>
      <x:c r="H769" t="n">
        <x:v>30</x:v>
      </x:c>
      <x:c r="I769" t="n">
        <x:v>5</x:v>
      </x:c>
      <x:c r="J769" t="n">
        <x:v>7.5</x:v>
      </x:c>
      <x:c r="K769" t="n">
        <x:v>29</x:v>
      </x:c>
      <x:c r="L769" t="n">
        <x:v>31</x:v>
      </x:c>
      <x:c r="M769"/>
      <x:c r="N769"/>
      <x:c r="O769" t="n">
        <x:v>0.79</x:v>
      </x:c>
      <x:c r="P769" t="n">
        <x:v>0.81</x:v>
      </x:c>
      <x:c r="Q769" t="n">
        <x:v>0.74</x:v>
      </x:c>
      <x:c r="R769" t="n">
        <x:v>0.76</x:v>
      </x:c>
      <x:c r="S769" t="n">
        <x:v>0.775</x:v>
      </x:c>
      <x:c r="T769" t="n">
        <x:v>0.775</x:v>
      </x:c>
      <x:c r="U769" s="28" t="n">
        <x:f>(O769+(G769-I769)*(Q769-O769)/(J769-I769))+(H769-K769)/(L769-K769)*((P769+(G769-I769)*(R769-P769)/(J769-I769))-(O769+(G769-I769)*(Q769-O769)/(J769-I769)))</x:f>
        <x:v>0.775</x:v>
      </x:c>
      <x:c r="V769" s="32" t="n">
        <x:f>IF(AND(ISNUMBER(S769),ISNUMBER(U769)),ABS(S769-U769),IF(S769=U769,0,1))</x:f>
        <x:v>0</x:v>
      </x:c>
      <x:c r="W769" s="30" t="str">
        <x:v>PASS</x:v>
      </x:c>
      <x:c r="X769" s="28" t="str">
        <x:f>IF(V769&lt;=1E-9,"PASS","FAIL")</x:f>
        <x:v>PASS</x:v>
      </x:c>
      <x:c r="Y769" t="str">
        <x:v>Chú thích 2</x:v>
      </x:c>
      <x:c r="Z769" t="str"/>
    </x:row>
    <x:row r="770">
      <x:c r="A770" t="str">
        <x:v>G0767</x:v>
      </x:c>
      <x:c r="B770" t="str">
        <x:v>Bảng 7</x:v>
      </x:c>
      <x:c r="C770" t="str">
        <x:v>alpha3 midpoint</x:v>
      </x:c>
      <x:c r="D770" t="str">
        <x:v>MID-2D</x:v>
      </x:c>
      <x:c r="E770" t="str">
        <x:v>{"phi":30,"hd":8.75}</x:v>
      </x:c>
      <x:c r="F770" t="str">
        <x:v>BILINEAR-2D</x:v>
      </x:c>
      <x:c r="G770" t="n">
        <x:v>8.75</x:v>
      </x:c>
      <x:c r="H770" t="n">
        <x:v>30</x:v>
      </x:c>
      <x:c r="I770" t="n">
        <x:v>7.5</x:v>
      </x:c>
      <x:c r="J770" t="n">
        <x:v>10</x:v>
      </x:c>
      <x:c r="K770" t="n">
        <x:v>29</x:v>
      </x:c>
      <x:c r="L770" t="n">
        <x:v>31</x:v>
      </x:c>
      <x:c r="M770"/>
      <x:c r="N770"/>
      <x:c r="O770" t="n">
        <x:v>0.74</x:v>
      </x:c>
      <x:c r="P770" t="n">
        <x:v>0.76</x:v>
      </x:c>
      <x:c r="Q770" t="n">
        <x:v>0.7</x:v>
      </x:c>
      <x:c r="R770" t="n">
        <x:v>0.73</x:v>
      </x:c>
      <x:c r="S770" t="n">
        <x:v>0.7324999999999999</x:v>
      </x:c>
      <x:c r="T770" t="n">
        <x:v>0.7324999999999999</x:v>
      </x:c>
      <x:c r="U770" s="28" t="n">
        <x:f>(O770+(G770-I770)*(Q770-O770)/(J770-I770))+(H770-K770)/(L770-K770)*((P770+(G770-I770)*(R770-P770)/(J770-I770))-(O770+(G770-I770)*(Q770-O770)/(J770-I770)))</x:f>
        <x:v>0.7324999999999999</x:v>
      </x:c>
      <x:c r="V770" s="32" t="n">
        <x:f>IF(AND(ISNUMBER(S770),ISNUMBER(U770)),ABS(S770-U770),IF(S770=U770,0,1))</x:f>
        <x:v>0</x:v>
      </x:c>
      <x:c r="W770" s="30" t="str">
        <x:v>PASS</x:v>
      </x:c>
      <x:c r="X770" s="28" t="str">
        <x:f>IF(V770&lt;=1E-9,"PASS","FAIL")</x:f>
        <x:v>PASS</x:v>
      </x:c>
      <x:c r="Y770" t="str">
        <x:v>Chú thích 2</x:v>
      </x:c>
      <x:c r="Z770" t="str"/>
    </x:row>
    <x:row r="771">
      <x:c r="A771" t="str">
        <x:v>G0768</x:v>
      </x:c>
      <x:c r="B771" t="str">
        <x:v>Bảng 7</x:v>
      </x:c>
      <x:c r="C771" t="str">
        <x:v>alpha3 midpoint</x:v>
      </x:c>
      <x:c r="D771" t="str">
        <x:v>MID-2D</x:v>
      </x:c>
      <x:c r="E771" t="str">
        <x:v>{"phi":30,"hd":11.25}</x:v>
      </x:c>
      <x:c r="F771" t="str">
        <x:v>BILINEAR-2D</x:v>
      </x:c>
      <x:c r="G771" t="n">
        <x:v>11.25</x:v>
      </x:c>
      <x:c r="H771" t="n">
        <x:v>30</x:v>
      </x:c>
      <x:c r="I771" t="n">
        <x:v>10</x:v>
      </x:c>
      <x:c r="J771" t="n">
        <x:v>12.5</x:v>
      </x:c>
      <x:c r="K771" t="n">
        <x:v>29</x:v>
      </x:c>
      <x:c r="L771" t="n">
        <x:v>31</x:v>
      </x:c>
      <x:c r="M771"/>
      <x:c r="N771"/>
      <x:c r="O771" t="n">
        <x:v>0.7</x:v>
      </x:c>
      <x:c r="P771" t="n">
        <x:v>0.73</x:v>
      </x:c>
      <x:c r="Q771" t="n">
        <x:v>0.67</x:v>
      </x:c>
      <x:c r="R771" t="n">
        <x:v>0.7</x:v>
      </x:c>
      <x:c r="S771" t="n">
        <x:v>0.7</x:v>
      </x:c>
      <x:c r="T771" t="n">
        <x:v>0.7</x:v>
      </x:c>
      <x:c r="U771" s="28" t="n">
        <x:f>(O771+(G771-I771)*(Q771-O771)/(J771-I771))+(H771-K771)/(L771-K771)*((P771+(G771-I771)*(R771-P771)/(J771-I771))-(O771+(G771-I771)*(Q771-O771)/(J771-I771)))</x:f>
        <x:v>0.7</x:v>
      </x:c>
      <x:c r="V771" s="32" t="n">
        <x:f>IF(AND(ISNUMBER(S771),ISNUMBER(U771)),ABS(S771-U771),IF(S771=U771,0,1))</x:f>
        <x:v>0</x:v>
      </x:c>
      <x:c r="W771" s="30" t="str">
        <x:v>PASS</x:v>
      </x:c>
      <x:c r="X771" s="28" t="str">
        <x:f>IF(V771&lt;=1E-9,"PASS","FAIL")</x:f>
        <x:v>PASS</x:v>
      </x:c>
      <x:c r="Y771" t="str">
        <x:v>Chú thích 2</x:v>
      </x:c>
      <x:c r="Z771" t="str"/>
    </x:row>
    <x:row r="772">
      <x:c r="A772" t="str">
        <x:v>G0769</x:v>
      </x:c>
      <x:c r="B772" t="str">
        <x:v>Bảng 7</x:v>
      </x:c>
      <x:c r="C772" t="str">
        <x:v>alpha3 midpoint</x:v>
      </x:c>
      <x:c r="D772" t="str">
        <x:v>MID-2D</x:v>
      </x:c>
      <x:c r="E772" t="str">
        <x:v>{"phi":30,"hd":13.75}</x:v>
      </x:c>
      <x:c r="F772" t="str">
        <x:v>BILINEAR-2D</x:v>
      </x:c>
      <x:c r="G772" t="n">
        <x:v>13.75</x:v>
      </x:c>
      <x:c r="H772" t="n">
        <x:v>30</x:v>
      </x:c>
      <x:c r="I772" t="n">
        <x:v>12.5</x:v>
      </x:c>
      <x:c r="J772" t="n">
        <x:v>15</x:v>
      </x:c>
      <x:c r="K772" t="n">
        <x:v>29</x:v>
      </x:c>
      <x:c r="L772" t="n">
        <x:v>31</x:v>
      </x:c>
      <x:c r="M772"/>
      <x:c r="N772"/>
      <x:c r="O772" t="n">
        <x:v>0.67</x:v>
      </x:c>
      <x:c r="P772" t="n">
        <x:v>0.7</x:v>
      </x:c>
      <x:c r="Q772" t="n">
        <x:v>0.65</x:v>
      </x:c>
      <x:c r="R772" t="n">
        <x:v>0.68</x:v>
      </x:c>
      <x:c r="S772" t="n">
        <x:v>0.675</x:v>
      </x:c>
      <x:c r="T772" t="n">
        <x:v>0.675</x:v>
      </x:c>
      <x:c r="U772" s="28" t="n">
        <x:f>(O772+(G772-I772)*(Q772-O772)/(J772-I772))+(H772-K772)/(L772-K772)*((P772+(G772-I772)*(R772-P772)/(J772-I772))-(O772+(G772-I772)*(Q772-O772)/(J772-I772)))</x:f>
        <x:v>0.675</x:v>
      </x:c>
      <x:c r="V772" s="32" t="n">
        <x:f>IF(AND(ISNUMBER(S772),ISNUMBER(U772)),ABS(S772-U772),IF(S772=U772,0,1))</x:f>
        <x:v>0</x:v>
      </x:c>
      <x:c r="W772" s="30" t="str">
        <x:v>PASS</x:v>
      </x:c>
      <x:c r="X772" s="28" t="str">
        <x:f>IF(V772&lt;=1E-9,"PASS","FAIL")</x:f>
        <x:v>PASS</x:v>
      </x:c>
      <x:c r="Y772" t="str">
        <x:v>Chú thích 2</x:v>
      </x:c>
      <x:c r="Z772" t="str"/>
    </x:row>
    <x:row r="773">
      <x:c r="A773" t="str">
        <x:v>G0770</x:v>
      </x:c>
      <x:c r="B773" t="str">
        <x:v>Bảng 7</x:v>
      </x:c>
      <x:c r="C773" t="str">
        <x:v>alpha3 midpoint</x:v>
      </x:c>
      <x:c r="D773" t="str">
        <x:v>MID-2D</x:v>
      </x:c>
      <x:c r="E773" t="str">
        <x:v>{"phi":30,"hd":16.25}</x:v>
      </x:c>
      <x:c r="F773" t="str">
        <x:v>BILINEAR-2D</x:v>
      </x:c>
      <x:c r="G773" t="n">
        <x:v>16.25</x:v>
      </x:c>
      <x:c r="H773" t="n">
        <x:v>30</x:v>
      </x:c>
      <x:c r="I773" t="n">
        <x:v>15</x:v>
      </x:c>
      <x:c r="J773" t="n">
        <x:v>17.5</x:v>
      </x:c>
      <x:c r="K773" t="n">
        <x:v>29</x:v>
      </x:c>
      <x:c r="L773" t="n">
        <x:v>31</x:v>
      </x:c>
      <x:c r="M773"/>
      <x:c r="N773"/>
      <x:c r="O773" t="n">
        <x:v>0.65</x:v>
      </x:c>
      <x:c r="P773" t="n">
        <x:v>0.68</x:v>
      </x:c>
      <x:c r="Q773" t="n">
        <x:v>0.62</x:v>
      </x:c>
      <x:c r="R773" t="n">
        <x:v>0.66</x:v>
      </x:c>
      <x:c r="S773" t="n">
        <x:v>0.6525000000000001</x:v>
      </x:c>
      <x:c r="T773" t="n">
        <x:v>0.6525000000000001</x:v>
      </x:c>
      <x:c r="U773" s="28" t="n">
        <x:f>(O773+(G773-I773)*(Q773-O773)/(J773-I773))+(H773-K773)/(L773-K773)*((P773+(G773-I773)*(R773-P773)/(J773-I773))-(O773+(G773-I773)*(Q773-O773)/(J773-I773)))</x:f>
        <x:v>0.6525000000000001</x:v>
      </x:c>
      <x:c r="V773" s="32" t="n">
        <x:f>IF(AND(ISNUMBER(S773),ISNUMBER(U773)),ABS(S773-U773),IF(S773=U773,0,1))</x:f>
        <x:v>0</x:v>
      </x:c>
      <x:c r="W773" s="30" t="str">
        <x:v>PASS</x:v>
      </x:c>
      <x:c r="X773" s="28" t="str">
        <x:f>IF(V773&lt;=1E-9,"PASS","FAIL")</x:f>
        <x:v>PASS</x:v>
      </x:c>
      <x:c r="Y773" t="str">
        <x:v>Chú thích 2</x:v>
      </x:c>
      <x:c r="Z773" t="str"/>
    </x:row>
    <x:row r="774">
      <x:c r="A774" t="str">
        <x:v>G0771</x:v>
      </x:c>
      <x:c r="B774" t="str">
        <x:v>Bảng 7</x:v>
      </x:c>
      <x:c r="C774" t="str">
        <x:v>alpha3 midpoint</x:v>
      </x:c>
      <x:c r="D774" t="str">
        <x:v>MID-2D</x:v>
      </x:c>
      <x:c r="E774" t="str">
        <x:v>{"phi":30,"hd":18.75}</x:v>
      </x:c>
      <x:c r="F774" t="str">
        <x:v>BILINEAR-2D</x:v>
      </x:c>
      <x:c r="G774" t="n">
        <x:v>18.75</x:v>
      </x:c>
      <x:c r="H774" t="n">
        <x:v>30</x:v>
      </x:c>
      <x:c r="I774" t="n">
        <x:v>17.5</x:v>
      </x:c>
      <x:c r="J774" t="n">
        <x:v>20</x:v>
      </x:c>
      <x:c r="K774" t="n">
        <x:v>29</x:v>
      </x:c>
      <x:c r="L774" t="n">
        <x:v>31</x:v>
      </x:c>
      <x:c r="M774"/>
      <x:c r="N774"/>
      <x:c r="O774" t="n">
        <x:v>0.62</x:v>
      </x:c>
      <x:c r="P774" t="n">
        <x:v>0.66</x:v>
      </x:c>
      <x:c r="Q774" t="n">
        <x:v>0.61</x:v>
      </x:c>
      <x:c r="R774" t="n">
        <x:v>0.65</x:v>
      </x:c>
      <x:c r="S774" t="n">
        <x:v>0.635</x:v>
      </x:c>
      <x:c r="T774" t="n">
        <x:v>0.635</x:v>
      </x:c>
      <x:c r="U774" s="28" t="n">
        <x:f>(O774+(G774-I774)*(Q774-O774)/(J774-I774))+(H774-K774)/(L774-K774)*((P774+(G774-I774)*(R774-P774)/(J774-I774))-(O774+(G774-I774)*(Q774-O774)/(J774-I774)))</x:f>
        <x:v>0.635</x:v>
      </x:c>
      <x:c r="V774" s="32" t="n">
        <x:f>IF(AND(ISNUMBER(S774),ISNUMBER(U774)),ABS(S774-U774),IF(S774=U774,0,1))</x:f>
        <x:v>0</x:v>
      </x:c>
      <x:c r="W774" s="30" t="str">
        <x:v>PASS</x:v>
      </x:c>
      <x:c r="X774" s="28" t="str">
        <x:f>IF(V774&lt;=1E-9,"PASS","FAIL")</x:f>
        <x:v>PASS</x:v>
      </x:c>
      <x:c r="Y774" t="str">
        <x:v>Chú thích 2</x:v>
      </x:c>
      <x:c r="Z774" t="str"/>
    </x:row>
    <x:row r="775">
      <x:c r="A775" t="str">
        <x:v>G0772</x:v>
      </x:c>
      <x:c r="B775" t="str">
        <x:v>Bảng 7</x:v>
      </x:c>
      <x:c r="C775" t="str">
        <x:v>alpha3 midpoint</x:v>
      </x:c>
      <x:c r="D775" t="str">
        <x:v>MID-2D</x:v>
      </x:c>
      <x:c r="E775" t="str">
        <x:v>{"phi":30,"hd":21.25}</x:v>
      </x:c>
      <x:c r="F775" t="str">
        <x:v>BILINEAR-2D</x:v>
      </x:c>
      <x:c r="G775" t="n">
        <x:v>21.25</x:v>
      </x:c>
      <x:c r="H775" t="n">
        <x:v>30</x:v>
      </x:c>
      <x:c r="I775" t="n">
        <x:v>20</x:v>
      </x:c>
      <x:c r="J775" t="n">
        <x:v>22.5</x:v>
      </x:c>
      <x:c r="K775" t="n">
        <x:v>29</x:v>
      </x:c>
      <x:c r="L775" t="n">
        <x:v>31</x:v>
      </x:c>
      <x:c r="M775"/>
      <x:c r="N775"/>
      <x:c r="O775" t="n">
        <x:v>0.61</x:v>
      </x:c>
      <x:c r="P775" t="n">
        <x:v>0.65</x:v>
      </x:c>
      <x:c r="Q775" t="n">
        <x:v>0.6</x:v>
      </x:c>
      <x:c r="R775" t="n">
        <x:v>0.64</x:v>
      </x:c>
      <x:c r="S775" t="n">
        <x:v>0.625</x:v>
      </x:c>
      <x:c r="T775" t="n">
        <x:v>0.625</x:v>
      </x:c>
      <x:c r="U775" s="28" t="n">
        <x:f>(O775+(G775-I775)*(Q775-O775)/(J775-I775))+(H775-K775)/(L775-K775)*((P775+(G775-I775)*(R775-P775)/(J775-I775))-(O775+(G775-I775)*(Q775-O775)/(J775-I775)))</x:f>
        <x:v>0.625</x:v>
      </x:c>
      <x:c r="V775" s="32" t="n">
        <x:f>IF(AND(ISNUMBER(S775),ISNUMBER(U775)),ABS(S775-U775),IF(S775=U775,0,1))</x:f>
        <x:v>0</x:v>
      </x:c>
      <x:c r="W775" s="30" t="str">
        <x:v>PASS</x:v>
      </x:c>
      <x:c r="X775" s="28" t="str">
        <x:f>IF(V775&lt;=1E-9,"PASS","FAIL")</x:f>
        <x:v>PASS</x:v>
      </x:c>
      <x:c r="Y775" t="str">
        <x:v>Chú thích 2</x:v>
      </x:c>
      <x:c r="Z775" t="str"/>
    </x:row>
    <x:row r="776">
      <x:c r="A776" t="str">
        <x:v>G0773</x:v>
      </x:c>
      <x:c r="B776" t="str">
        <x:v>Bảng 7</x:v>
      </x:c>
      <x:c r="C776" t="str">
        <x:v>alpha3 midpoint</x:v>
      </x:c>
      <x:c r="D776" t="str">
        <x:v>MID-2D</x:v>
      </x:c>
      <x:c r="E776" t="str">
        <x:v>{"phi":30,"hd":23.75}</x:v>
      </x:c>
      <x:c r="F776" t="str">
        <x:v>BILINEAR-2D</x:v>
      </x:c>
      <x:c r="G776" t="n">
        <x:v>23.75</x:v>
      </x:c>
      <x:c r="H776" t="n">
        <x:v>30</x:v>
      </x:c>
      <x:c r="I776" t="n">
        <x:v>22.5</x:v>
      </x:c>
      <x:c r="J776" t="n">
        <x:v>25</x:v>
      </x:c>
      <x:c r="K776" t="n">
        <x:v>29</x:v>
      </x:c>
      <x:c r="L776" t="n">
        <x:v>31</x:v>
      </x:c>
      <x:c r="M776"/>
      <x:c r="N776"/>
      <x:c r="O776" t="n">
        <x:v>0.6</x:v>
      </x:c>
      <x:c r="P776" t="n">
        <x:v>0.64</x:v>
      </x:c>
      <x:c r="Q776" t="n">
        <x:v>0.59</x:v>
      </x:c>
      <x:c r="R776" t="n">
        <x:v>0.63</x:v>
      </x:c>
      <x:c r="S776" t="n">
        <x:v>0.615</x:v>
      </x:c>
      <x:c r="T776" t="n">
        <x:v>0.615</x:v>
      </x:c>
      <x:c r="U776" s="28" t="n">
        <x:f>(O776+(G776-I776)*(Q776-O776)/(J776-I776))+(H776-K776)/(L776-K776)*((P776+(G776-I776)*(R776-P776)/(J776-I776))-(O776+(G776-I776)*(Q776-O776)/(J776-I776)))</x:f>
        <x:v>0.615</x:v>
      </x:c>
      <x:c r="V776" s="32" t="n">
        <x:f>IF(AND(ISNUMBER(S776),ISNUMBER(U776)),ABS(S776-U776),IF(S776=U776,0,1))</x:f>
        <x:v>0</x:v>
      </x:c>
      <x:c r="W776" s="30" t="str">
        <x:v>PASS</x:v>
      </x:c>
      <x:c r="X776" s="28" t="str">
        <x:f>IF(V776&lt;=1E-9,"PASS","FAIL")</x:f>
        <x:v>PASS</x:v>
      </x:c>
      <x:c r="Y776" t="str">
        <x:v>Chú thích 2</x:v>
      </x:c>
      <x:c r="Z776" t="str"/>
    </x:row>
    <x:row r="777">
      <x:c r="A777" t="str">
        <x:v>G0774</x:v>
      </x:c>
      <x:c r="B777" t="str">
        <x:v>Bảng 7</x:v>
      </x:c>
      <x:c r="C777" t="str">
        <x:v>alpha3-high-plateau</x:v>
      </x:c>
      <x:c r="D777" t="str">
        <x:v>BOUNDARY</x:v>
      </x:c>
      <x:c r="E777" t="str">
        <x:v>{"phi":31,"hd":30,"d":1}</x:v>
      </x:c>
      <x:c r="F777" t="str">
        <x:v>BOUNDARY-PLATEAU</x:v>
      </x:c>
      <x:c r="G777"/>
      <x:c r="H777"/>
      <x:c r="I777"/>
      <x:c r="J777"/>
      <x:c r="K777"/>
      <x:c r="L777"/>
      <x:c r="M777" t="n">
        <x:v>0.63</x:v>
      </x:c>
      <x:c r="N777"/>
      <x:c r="O777"/>
      <x:c r="P777"/>
      <x:c r="Q777"/>
      <x:c r="R777"/>
      <x:c r="S777" t="n">
        <x:v>0.63</x:v>
      </x:c>
      <x:c r="T777" t="n">
        <x:v>0.63</x:v>
      </x:c>
      <x:c r="U777" s="28" t="n">
        <x:f>T777</x:f>
        <x:v>0.63</x:v>
      </x:c>
      <x:c r="V777" s="32" t="n">
        <x:f>IF(AND(ISNUMBER(S777),ISNUMBER(U777)),ABS(S777-U777),IF(S777=U777,0,1))</x:f>
        <x:v>0</x:v>
      </x:c>
      <x:c r="W777" s="30" t="str">
        <x:v>PASS</x:v>
      </x:c>
      <x:c r="X777" s="28" t="str">
        <x:f>IF(V777&lt;=1E-9,"PASS","FAIL")</x:f>
        <x:v>PASS</x:v>
      </x:c>
      <x:c r="Y777" t="str">
        <x:v>h/d≥25</x:v>
      </x:c>
      <x:c r="Z777" t="str"/>
    </x:row>
    <x:row r="778">
      <x:c r="A778" t="str">
        <x:v>G0775</x:v>
      </x:c>
      <x:c r="B778" t="str">
        <x:v>Bảng 7</x:v>
      </x:c>
      <x:c r="C778" t="str">
        <x:v>alpha4-low-plateau</x:v>
      </x:c>
      <x:c r="D778" t="str">
        <x:v>BOUNDARY</x:v>
      </x:c>
      <x:c r="E778" t="str">
        <x:v>{"phi":31,"hd":10,"d":0.5}</x:v>
      </x:c>
      <x:c r="F778" t="str">
        <x:v>BOUNDARY-PLATEAU</x:v>
      </x:c>
      <x:c r="G778"/>
      <x:c r="H778"/>
      <x:c r="I778"/>
      <x:c r="J778"/>
      <x:c r="K778"/>
      <x:c r="L778"/>
      <x:c r="M778" t="n">
        <x:v>0.26</x:v>
      </x:c>
      <x:c r="N778"/>
      <x:c r="O778"/>
      <x:c r="P778"/>
      <x:c r="Q778"/>
      <x:c r="R778"/>
      <x:c r="S778" t="n">
        <x:v>0.26</x:v>
      </x:c>
      <x:c r="T778" t="n">
        <x:v>0.26</x:v>
      </x:c>
      <x:c r="U778" s="28" t="n">
        <x:f>T778</x:f>
        <x:v>0.26</x:v>
      </x:c>
      <x:c r="V778" s="32" t="n">
        <x:f>IF(AND(ISNUMBER(S778),ISNUMBER(U778)),ABS(S778-U778),IF(S778=U778,0,1))</x:f>
        <x:v>0</x:v>
      </x:c>
      <x:c r="W778" s="30" t="str">
        <x:v>PASS</x:v>
      </x:c>
      <x:c r="X778" s="28" t="str">
        <x:f>IF(V778&lt;=1E-9,"PASS","FAIL")</x:f>
        <x:v>PASS</x:v>
      </x:c>
      <x:c r="Y778" t="str">
        <x:v>d≤0,8</x:v>
      </x:c>
      <x:c r="Z778" t="str"/>
    </x:row>
    <x:row r="779">
      <x:c r="A779" t="str">
        <x:v>G0776</x:v>
      </x:c>
      <x:c r="B779" t="str">
        <x:v>Bảng 7</x:v>
      </x:c>
      <x:c r="C779" t="str">
        <x:v>outside</x:v>
      </x:c>
      <x:c r="D779" t="str">
        <x:v>OUTSIDE</x:v>
      </x:c>
      <x:c r="E779" t="str">
        <x:v>{"phi":22.99,"hd":10,"d":1}</x:v>
      </x:c>
      <x:c r="F779" t="str">
        <x:v>BLOCK</x:v>
      </x:c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 t="str">
        <x:v>BLOCK</x:v>
      </x:c>
      <x:c r="T779" t="str">
        <x:v>BLOCK</x:v>
      </x:c>
      <x:c r="U779" s="28" t="str">
        <x:f>"BLOCK"</x:f>
        <x:v>BLOCK</x:v>
      </x:c>
      <x:c r="V779" s="32" t="n">
        <x:f>IF(AND(ISNUMBER(S779),ISNUMBER(U779)),ABS(S779-U779),IF(S779=U779,0,1))</x:f>
        <x:v>0</x:v>
      </x:c>
      <x:c r="W779" s="30" t="str">
        <x:v>PASS</x:v>
      </x:c>
      <x:c r="X779" s="28" t="str">
        <x:f>IF(V779&lt;=1E-9,"PASS","FAIL")</x:f>
        <x:v>PASS</x:v>
      </x:c>
      <x:c r="Y779" t="str">
        <x:v>NO EXTRAPOLATION</x:v>
      </x:c>
      <x:c r="Z779" t="str">
        <x:v>Bảng 7 α1: 22.99 nhỏ hơn phạm vi bảng (23). Không ngoại suy.</x:v>
      </x:c>
    </x:row>
    <x:row r="780">
      <x:c r="A780" t="str">
        <x:v>G0777</x:v>
      </x:c>
      <x:c r="B780" t="str">
        <x:v>Bảng 7</x:v>
      </x:c>
      <x:c r="C780" t="str">
        <x:v>outside</x:v>
      </x:c>
      <x:c r="D780" t="str">
        <x:v>OUTSIDE</x:v>
      </x:c>
      <x:c r="E780" t="str">
        <x:v>{"phi":39.01,"hd":10,"d":1}</x:v>
      </x:c>
      <x:c r="F780" t="str">
        <x:v>BLOCK</x:v>
      </x:c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 t="str">
        <x:v>BLOCK</x:v>
      </x:c>
      <x:c r="T780" t="str">
        <x:v>BLOCK</x:v>
      </x:c>
      <x:c r="U780" s="28" t="str">
        <x:f>"BLOCK"</x:f>
        <x:v>BLOCK</x:v>
      </x:c>
      <x:c r="V780" s="32" t="n">
        <x:f>IF(AND(ISNUMBER(S780),ISNUMBER(U780)),ABS(S780-U780),IF(S780=U780,0,1))</x:f>
        <x:v>0</x:v>
      </x:c>
      <x:c r="W780" s="30" t="str">
        <x:v>PASS</x:v>
      </x:c>
      <x:c r="X780" s="28" t="str">
        <x:f>IF(V780&lt;=1E-9,"PASS","FAIL")</x:f>
        <x:v>PASS</x:v>
      </x:c>
      <x:c r="Y780" t="str">
        <x:v>NO EXTRAPOLATION</x:v>
      </x:c>
      <x:c r="Z780" t="str">
        <x:v>Bảng 7 α1: 39.01 lớn hơn phạm vi bảng (39). Không ngoại suy.</x:v>
      </x:c>
    </x:row>
    <x:row r="781">
      <x:c r="A781" t="str">
        <x:v>G0778</x:v>
      </x:c>
      <x:c r="B781" t="str">
        <x:v>Bảng 7</x:v>
      </x:c>
      <x:c r="C781" t="str">
        <x:v>outside</x:v>
      </x:c>
      <x:c r="D781" t="str">
        <x:v>OUTSIDE</x:v>
      </x:c>
      <x:c r="E781" t="str">
        <x:v>{"phi":30,"hd":3.99,"d":1}</x:v>
      </x:c>
      <x:c r="F781" t="str">
        <x:v>BLOCK</x:v>
      </x:c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 t="str">
        <x:v>BLOCK</x:v>
      </x:c>
      <x:c r="T781" t="str">
        <x:v>BLOCK</x:v>
      </x:c>
      <x:c r="U781" s="28" t="str">
        <x:f>"BLOCK"</x:f>
        <x:v>BLOCK</x:v>
      </x:c>
      <x:c r="V781" s="32" t="n">
        <x:f>IF(AND(ISNUMBER(S781),ISNUMBER(U781)),ABS(S781-U781),IF(S781=U781,0,1))</x:f>
        <x:v>0</x:v>
      </x:c>
      <x:c r="W781" s="30" t="str">
        <x:v>PASS</x:v>
      </x:c>
      <x:c r="X781" s="28" t="str">
        <x:f>IF(V781&lt;=1E-9,"PASS","FAIL")</x:f>
        <x:v>PASS</x:v>
      </x:c>
      <x:c r="Y781" t="str">
        <x:v>NO EXTRAPOLATION</x:v>
      </x:c>
      <x:c r="Z781" t="str">
        <x:v>Bảng 7 α3: 3.99 nhỏ hơn phạm vi bảng (4). Không ngoại suy.</x:v>
      </x:c>
    </x:row>
    <x:row r="782">
      <x:c r="A782" t="str">
        <x:v>G0779</x:v>
      </x:c>
      <x:c r="B782" t="str">
        <x:v>Bảng 7</x:v>
      </x:c>
      <x:c r="C782" t="str">
        <x:v>outside</x:v>
      </x:c>
      <x:c r="D782" t="str">
        <x:v>OUTSIDE</x:v>
      </x:c>
      <x:c r="E782" t="str">
        <x:v>{"phi":30,"hd":10,"d":4.01}</x:v>
      </x:c>
      <x:c r="F782" t="str">
        <x:v>BLOCK</x:v>
      </x:c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 t="str">
        <x:v>BLOCK</x:v>
      </x:c>
      <x:c r="T782" t="str">
        <x:v>BLOCK</x:v>
      </x:c>
      <x:c r="U782" s="28" t="str">
        <x:f>"BLOCK"</x:f>
        <x:v>BLOCK</x:v>
      </x:c>
      <x:c r="V782" s="32" t="n">
        <x:f>IF(AND(ISNUMBER(S782),ISNUMBER(U782)),ABS(S782-U782),IF(S782=U782,0,1))</x:f>
        <x:v>0</x:v>
      </x:c>
      <x:c r="W782" s="30" t="str">
        <x:v>PASS</x:v>
      </x:c>
      <x:c r="X782" s="28" t="str">
        <x:f>IF(V782&lt;=1E-9,"PASS","FAIL")</x:f>
        <x:v>PASS</x:v>
      </x:c>
      <x:c r="Y782" t="str">
        <x:v>NO EXTRAPOLATION</x:v>
      </x:c>
      <x:c r="Z782" t="str">
        <x:v>Bảng 7 α4: 4.01 lớn hơn phạm vi bảng (4). Không ngoại suy.</x:v>
      </x:c>
    </x:row>
    <x:row r="783">
      <x:c r="A783" t="str">
        <x:v>G0780</x:v>
      </x:c>
      <x:c r="B783" t="str">
        <x:v>Bảng 8</x:v>
      </x:c>
      <x:c r="C783" t="str">
        <x:v>exact grid</x:v>
      </x:c>
      <x:c r="D783" t="str">
        <x:v>EXACT</x:v>
      </x:c>
      <x:c r="E783" t="str">
        <x:v>{"z":3,"IL":0}</x:v>
      </x:c>
      <x:c r="F783" t="str">
        <x:v>EXACT</x:v>
      </x:c>
      <x:c r="G783"/>
      <x:c r="H783"/>
      <x:c r="I783"/>
      <x:c r="J783"/>
      <x:c r="K783"/>
      <x:c r="L783"/>
      <x:c r="M783" t="n">
        <x:v>850</x:v>
      </x:c>
      <x:c r="N783"/>
      <x:c r="O783"/>
      <x:c r="P783"/>
      <x:c r="Q783"/>
      <x:c r="R783"/>
      <x:c r="S783" t="n">
        <x:v>850</x:v>
      </x:c>
      <x:c r="T783" t="n">
        <x:v>850</x:v>
      </x:c>
      <x:c r="U783" s="28" t="n">
        <x:f>T783</x:f>
        <x:v>850</x:v>
      </x:c>
      <x:c r="V783" s="32" t="n">
        <x:f>IF(AND(ISNUMBER(S783),ISNUMBER(U783)),ABS(S783-U783),IF(S783=U783,0,1))</x:f>
        <x:v>0</x:v>
      </x:c>
      <x:c r="W783" s="30" t="str">
        <x:v>PASS</x:v>
      </x:c>
      <x:c r="X783" s="28" t="str">
        <x:f>IF(V783&lt;=1E-9,"PASS","FAIL")</x:f>
        <x:v>PASS</x:v>
      </x:c>
      <x:c r="Y783" t="str">
        <x:v>tr.41–42</x:v>
      </x:c>
      <x:c r="Z783" t="str"/>
    </x:row>
    <x:row r="784">
      <x:c r="A784" t="str">
        <x:v>G0781</x:v>
      </x:c>
      <x:c r="B784" t="str">
        <x:v>Bảng 8</x:v>
      </x:c>
      <x:c r="C784" t="str">
        <x:v>exact grid</x:v>
      </x:c>
      <x:c r="D784" t="str">
        <x:v>EXACT</x:v>
      </x:c>
      <x:c r="E784" t="str">
        <x:v>{"z":3,"IL":0.1}</x:v>
      </x:c>
      <x:c r="F784" t="str">
        <x:v>EXACT</x:v>
      </x:c>
      <x:c r="G784"/>
      <x:c r="H784"/>
      <x:c r="I784"/>
      <x:c r="J784"/>
      <x:c r="K784"/>
      <x:c r="L784"/>
      <x:c r="M784" t="n">
        <x:v>750</x:v>
      </x:c>
      <x:c r="N784"/>
      <x:c r="O784"/>
      <x:c r="P784"/>
      <x:c r="Q784"/>
      <x:c r="R784"/>
      <x:c r="S784" t="n">
        <x:v>750</x:v>
      </x:c>
      <x:c r="T784" t="n">
        <x:v>750</x:v>
      </x:c>
      <x:c r="U784" s="28" t="n">
        <x:f>T784</x:f>
        <x:v>750</x:v>
      </x:c>
      <x:c r="V784" s="32" t="n">
        <x:f>IF(AND(ISNUMBER(S784),ISNUMBER(U784)),ABS(S784-U784),IF(S784=U784,0,1))</x:f>
        <x:v>0</x:v>
      </x:c>
      <x:c r="W784" s="30" t="str">
        <x:v>PASS</x:v>
      </x:c>
      <x:c r="X784" s="28" t="str">
        <x:f>IF(V784&lt;=1E-9,"PASS","FAIL")</x:f>
        <x:v>PASS</x:v>
      </x:c>
      <x:c r="Y784" t="str">
        <x:v>tr.41–42</x:v>
      </x:c>
      <x:c r="Z784" t="str"/>
    </x:row>
    <x:row r="785">
      <x:c r="A785" t="str">
        <x:v>G0782</x:v>
      </x:c>
      <x:c r="B785" t="str">
        <x:v>Bảng 8</x:v>
      </x:c>
      <x:c r="C785" t="str">
        <x:v>exact grid</x:v>
      </x:c>
      <x:c r="D785" t="str">
        <x:v>EXACT</x:v>
      </x:c>
      <x:c r="E785" t="str">
        <x:v>{"z":3,"IL":0.2}</x:v>
      </x:c>
      <x:c r="F785" t="str">
        <x:v>EXACT</x:v>
      </x:c>
      <x:c r="G785"/>
      <x:c r="H785"/>
      <x:c r="I785"/>
      <x:c r="J785"/>
      <x:c r="K785"/>
      <x:c r="L785"/>
      <x:c r="M785" t="n">
        <x:v>650</x:v>
      </x:c>
      <x:c r="N785"/>
      <x:c r="O785"/>
      <x:c r="P785"/>
      <x:c r="Q785"/>
      <x:c r="R785"/>
      <x:c r="S785" t="n">
        <x:v>650</x:v>
      </x:c>
      <x:c r="T785" t="n">
        <x:v>650</x:v>
      </x:c>
      <x:c r="U785" s="28" t="n">
        <x:f>T785</x:f>
        <x:v>650</x:v>
      </x:c>
      <x:c r="V785" s="32" t="n">
        <x:f>IF(AND(ISNUMBER(S785),ISNUMBER(U785)),ABS(S785-U785),IF(S785=U785,0,1))</x:f>
        <x:v>0</x:v>
      </x:c>
      <x:c r="W785" s="30" t="str">
        <x:v>PASS</x:v>
      </x:c>
      <x:c r="X785" s="28" t="str">
        <x:f>IF(V785&lt;=1E-9,"PASS","FAIL")</x:f>
        <x:v>PASS</x:v>
      </x:c>
      <x:c r="Y785" t="str">
        <x:v>tr.41–42</x:v>
      </x:c>
      <x:c r="Z785" t="str"/>
    </x:row>
    <x:row r="786">
      <x:c r="A786" t="str">
        <x:v>G0783</x:v>
      </x:c>
      <x:c r="B786" t="str">
        <x:v>Bảng 8</x:v>
      </x:c>
      <x:c r="C786" t="str">
        <x:v>exact grid</x:v>
      </x:c>
      <x:c r="D786" t="str">
        <x:v>EXACT</x:v>
      </x:c>
      <x:c r="E786" t="str">
        <x:v>{"z":3,"IL":0.3}</x:v>
      </x:c>
      <x:c r="F786" t="str">
        <x:v>EXACT</x:v>
      </x:c>
      <x:c r="G786"/>
      <x:c r="H786"/>
      <x:c r="I786"/>
      <x:c r="J786"/>
      <x:c r="K786"/>
      <x:c r="L786"/>
      <x:c r="M786" t="n">
        <x:v>500</x:v>
      </x:c>
      <x:c r="N786"/>
      <x:c r="O786"/>
      <x:c r="P786"/>
      <x:c r="Q786"/>
      <x:c r="R786"/>
      <x:c r="S786" t="n">
        <x:v>500</x:v>
      </x:c>
      <x:c r="T786" t="n">
        <x:v>500</x:v>
      </x:c>
      <x:c r="U786" s="28" t="n">
        <x:f>T786</x:f>
        <x:v>500</x:v>
      </x:c>
      <x:c r="V786" s="32" t="n">
        <x:f>IF(AND(ISNUMBER(S786),ISNUMBER(U786)),ABS(S786-U786),IF(S786=U786,0,1))</x:f>
        <x:v>0</x:v>
      </x:c>
      <x:c r="W786" s="30" t="str">
        <x:v>PASS</x:v>
      </x:c>
      <x:c r="X786" s="28" t="str">
        <x:f>IF(V786&lt;=1E-9,"PASS","FAIL")</x:f>
        <x:v>PASS</x:v>
      </x:c>
      <x:c r="Y786" t="str">
        <x:v>tr.41–42</x:v>
      </x:c>
      <x:c r="Z786" t="str"/>
    </x:row>
    <x:row r="787">
      <x:c r="A787" t="str">
        <x:v>G0784</x:v>
      </x:c>
      <x:c r="B787" t="str">
        <x:v>Bảng 8</x:v>
      </x:c>
      <x:c r="C787" t="str">
        <x:v>exact grid</x:v>
      </x:c>
      <x:c r="D787" t="str">
        <x:v>EXACT</x:v>
      </x:c>
      <x:c r="E787" t="str">
        <x:v>{"z":3,"IL":0.4}</x:v>
      </x:c>
      <x:c r="F787" t="str">
        <x:v>EXACT</x:v>
      </x:c>
      <x:c r="G787"/>
      <x:c r="H787"/>
      <x:c r="I787"/>
      <x:c r="J787"/>
      <x:c r="K787"/>
      <x:c r="L787"/>
      <x:c r="M787" t="n">
        <x:v>400</x:v>
      </x:c>
      <x:c r="N787"/>
      <x:c r="O787"/>
      <x:c r="P787"/>
      <x:c r="Q787"/>
      <x:c r="R787"/>
      <x:c r="S787" t="n">
        <x:v>400</x:v>
      </x:c>
      <x:c r="T787" t="n">
        <x:v>400</x:v>
      </x:c>
      <x:c r="U787" s="28" t="n">
        <x:f>T787</x:f>
        <x:v>400</x:v>
      </x:c>
      <x:c r="V787" s="32" t="n">
        <x:f>IF(AND(ISNUMBER(S787),ISNUMBER(U787)),ABS(S787-U787),IF(S787=U787,0,1))</x:f>
        <x:v>0</x:v>
      </x:c>
      <x:c r="W787" s="30" t="str">
        <x:v>PASS</x:v>
      </x:c>
      <x:c r="X787" s="28" t="str">
        <x:f>IF(V787&lt;=1E-9,"PASS","FAIL")</x:f>
        <x:v>PASS</x:v>
      </x:c>
      <x:c r="Y787" t="str">
        <x:v>tr.41–42</x:v>
      </x:c>
      <x:c r="Z787" t="str"/>
    </x:row>
    <x:row r="788">
      <x:c r="A788" t="str">
        <x:v>G0785</x:v>
      </x:c>
      <x:c r="B788" t="str">
        <x:v>Bảng 8</x:v>
      </x:c>
      <x:c r="C788" t="str">
        <x:v>exact grid</x:v>
      </x:c>
      <x:c r="D788" t="str">
        <x:v>EXACT</x:v>
      </x:c>
      <x:c r="E788" t="str">
        <x:v>{"z":3,"IL":0.5}</x:v>
      </x:c>
      <x:c r="F788" t="str">
        <x:v>EXACT</x:v>
      </x:c>
      <x:c r="G788"/>
      <x:c r="H788"/>
      <x:c r="I788"/>
      <x:c r="J788"/>
      <x:c r="K788"/>
      <x:c r="L788"/>
      <x:c r="M788" t="n">
        <x:v>300</x:v>
      </x:c>
      <x:c r="N788"/>
      <x:c r="O788"/>
      <x:c r="P788"/>
      <x:c r="Q788"/>
      <x:c r="R788"/>
      <x:c r="S788" t="n">
        <x:v>300</x:v>
      </x:c>
      <x:c r="T788" t="n">
        <x:v>300</x:v>
      </x:c>
      <x:c r="U788" s="28" t="n">
        <x:f>T788</x:f>
        <x:v>300</x:v>
      </x:c>
      <x:c r="V788" s="32" t="n">
        <x:f>IF(AND(ISNUMBER(S788),ISNUMBER(U788)),ABS(S788-U788),IF(S788=U788,0,1))</x:f>
        <x:v>0</x:v>
      </x:c>
      <x:c r="W788" s="30" t="str">
        <x:v>PASS</x:v>
      </x:c>
      <x:c r="X788" s="28" t="str">
        <x:f>IF(V788&lt;=1E-9,"PASS","FAIL")</x:f>
        <x:v>PASS</x:v>
      </x:c>
      <x:c r="Y788" t="str">
        <x:v>tr.41–42</x:v>
      </x:c>
      <x:c r="Z788" t="str"/>
    </x:row>
    <x:row r="789">
      <x:c r="A789" t="str">
        <x:v>G0786</x:v>
      </x:c>
      <x:c r="B789" t="str">
        <x:v>Bảng 8</x:v>
      </x:c>
      <x:c r="C789" t="str">
        <x:v>exact grid</x:v>
      </x:c>
      <x:c r="D789" t="str">
        <x:v>EXACT</x:v>
      </x:c>
      <x:c r="E789" t="str">
        <x:v>{"z":3,"IL":0.6}</x:v>
      </x:c>
      <x:c r="F789" t="str">
        <x:v>EXACT</x:v>
      </x:c>
      <x:c r="G789"/>
      <x:c r="H789"/>
      <x:c r="I789"/>
      <x:c r="J789"/>
      <x:c r="K789"/>
      <x:c r="L789"/>
      <x:c r="M789" t="n">
        <x:v>250</x:v>
      </x:c>
      <x:c r="N789"/>
      <x:c r="O789"/>
      <x:c r="P789"/>
      <x:c r="Q789"/>
      <x:c r="R789"/>
      <x:c r="S789" t="n">
        <x:v>250</x:v>
      </x:c>
      <x:c r="T789" t="n">
        <x:v>250</x:v>
      </x:c>
      <x:c r="U789" s="28" t="n">
        <x:f>T789</x:f>
        <x:v>250</x:v>
      </x:c>
      <x:c r="V789" s="32" t="n">
        <x:f>IF(AND(ISNUMBER(S789),ISNUMBER(U789)),ABS(S789-U789),IF(S789=U789,0,1))</x:f>
        <x:v>0</x:v>
      </x:c>
      <x:c r="W789" s="30" t="str">
        <x:v>PASS</x:v>
      </x:c>
      <x:c r="X789" s="28" t="str">
        <x:f>IF(V789&lt;=1E-9,"PASS","FAIL")</x:f>
        <x:v>PASS</x:v>
      </x:c>
      <x:c r="Y789" t="str">
        <x:v>tr.41–42</x:v>
      </x:c>
      <x:c r="Z789" t="str"/>
    </x:row>
    <x:row r="790">
      <x:c r="A790" t="str">
        <x:v>G0787</x:v>
      </x:c>
      <x:c r="B790" t="str">
        <x:v>Bảng 8</x:v>
      </x:c>
      <x:c r="C790" t="str">
        <x:v>exact grid</x:v>
      </x:c>
      <x:c r="D790" t="str">
        <x:v>EXACT</x:v>
      </x:c>
      <x:c r="E790" t="str">
        <x:v>{"z":5,"IL":0}</x:v>
      </x:c>
      <x:c r="F790" t="str">
        <x:v>EXACT</x:v>
      </x:c>
      <x:c r="G790"/>
      <x:c r="H790"/>
      <x:c r="I790"/>
      <x:c r="J790"/>
      <x:c r="K790"/>
      <x:c r="L790"/>
      <x:c r="M790" t="n">
        <x:v>1000</x:v>
      </x:c>
      <x:c r="N790"/>
      <x:c r="O790"/>
      <x:c r="P790"/>
      <x:c r="Q790"/>
      <x:c r="R790"/>
      <x:c r="S790" t="n">
        <x:v>1000</x:v>
      </x:c>
      <x:c r="T790" t="n">
        <x:v>1000</x:v>
      </x:c>
      <x:c r="U790" s="28" t="n">
        <x:f>T790</x:f>
        <x:v>1000</x:v>
      </x:c>
      <x:c r="V790" s="32" t="n">
        <x:f>IF(AND(ISNUMBER(S790),ISNUMBER(U790)),ABS(S790-U790),IF(S790=U790,0,1))</x:f>
        <x:v>0</x:v>
      </x:c>
      <x:c r="W790" s="30" t="str">
        <x:v>PASS</x:v>
      </x:c>
      <x:c r="X790" s="28" t="str">
        <x:f>IF(V790&lt;=1E-9,"PASS","FAIL")</x:f>
        <x:v>PASS</x:v>
      </x:c>
      <x:c r="Y790" t="str">
        <x:v>tr.41–42</x:v>
      </x:c>
      <x:c r="Z790" t="str"/>
    </x:row>
    <x:row r="791">
      <x:c r="A791" t="str">
        <x:v>G0788</x:v>
      </x:c>
      <x:c r="B791" t="str">
        <x:v>Bảng 8</x:v>
      </x:c>
      <x:c r="C791" t="str">
        <x:v>exact grid</x:v>
      </x:c>
      <x:c r="D791" t="str">
        <x:v>EXACT</x:v>
      </x:c>
      <x:c r="E791" t="str">
        <x:v>{"z":5,"IL":0.1}</x:v>
      </x:c>
      <x:c r="F791" t="str">
        <x:v>EXACT</x:v>
      </x:c>
      <x:c r="G791"/>
      <x:c r="H791"/>
      <x:c r="I791"/>
      <x:c r="J791"/>
      <x:c r="K791"/>
      <x:c r="L791"/>
      <x:c r="M791" t="n">
        <x:v>850</x:v>
      </x:c>
      <x:c r="N791"/>
      <x:c r="O791"/>
      <x:c r="P791"/>
      <x:c r="Q791"/>
      <x:c r="R791"/>
      <x:c r="S791" t="n">
        <x:v>850</x:v>
      </x:c>
      <x:c r="T791" t="n">
        <x:v>850</x:v>
      </x:c>
      <x:c r="U791" s="28" t="n">
        <x:f>T791</x:f>
        <x:v>850</x:v>
      </x:c>
      <x:c r="V791" s="32" t="n">
        <x:f>IF(AND(ISNUMBER(S791),ISNUMBER(U791)),ABS(S791-U791),IF(S791=U791,0,1))</x:f>
        <x:v>0</x:v>
      </x:c>
      <x:c r="W791" s="30" t="str">
        <x:v>PASS</x:v>
      </x:c>
      <x:c r="X791" s="28" t="str">
        <x:f>IF(V791&lt;=1E-9,"PASS","FAIL")</x:f>
        <x:v>PASS</x:v>
      </x:c>
      <x:c r="Y791" t="str">
        <x:v>tr.41–42</x:v>
      </x:c>
      <x:c r="Z791" t="str"/>
    </x:row>
    <x:row r="792">
      <x:c r="A792" t="str">
        <x:v>G0789</x:v>
      </x:c>
      <x:c r="B792" t="str">
        <x:v>Bảng 8</x:v>
      </x:c>
      <x:c r="C792" t="str">
        <x:v>exact grid</x:v>
      </x:c>
      <x:c r="D792" t="str">
        <x:v>EXACT</x:v>
      </x:c>
      <x:c r="E792" t="str">
        <x:v>{"z":5,"IL":0.2}</x:v>
      </x:c>
      <x:c r="F792" t="str">
        <x:v>EXACT</x:v>
      </x:c>
      <x:c r="G792"/>
      <x:c r="H792"/>
      <x:c r="I792"/>
      <x:c r="J792"/>
      <x:c r="K792"/>
      <x:c r="L792"/>
      <x:c r="M792" t="n">
        <x:v>750</x:v>
      </x:c>
      <x:c r="N792"/>
      <x:c r="O792"/>
      <x:c r="P792"/>
      <x:c r="Q792"/>
      <x:c r="R792"/>
      <x:c r="S792" t="n">
        <x:v>750</x:v>
      </x:c>
      <x:c r="T792" t="n">
        <x:v>750</x:v>
      </x:c>
      <x:c r="U792" s="28" t="n">
        <x:f>T792</x:f>
        <x:v>750</x:v>
      </x:c>
      <x:c r="V792" s="32" t="n">
        <x:f>IF(AND(ISNUMBER(S792),ISNUMBER(U792)),ABS(S792-U792),IF(S792=U792,0,1))</x:f>
        <x:v>0</x:v>
      </x:c>
      <x:c r="W792" s="30" t="str">
        <x:v>PASS</x:v>
      </x:c>
      <x:c r="X792" s="28" t="str">
        <x:f>IF(V792&lt;=1E-9,"PASS","FAIL")</x:f>
        <x:v>PASS</x:v>
      </x:c>
      <x:c r="Y792" t="str">
        <x:v>tr.41–42</x:v>
      </x:c>
      <x:c r="Z792" t="str"/>
    </x:row>
    <x:row r="793">
      <x:c r="A793" t="str">
        <x:v>G0790</x:v>
      </x:c>
      <x:c r="B793" t="str">
        <x:v>Bảng 8</x:v>
      </x:c>
      <x:c r="C793" t="str">
        <x:v>exact grid</x:v>
      </x:c>
      <x:c r="D793" t="str">
        <x:v>EXACT</x:v>
      </x:c>
      <x:c r="E793" t="str">
        <x:v>{"z":5,"IL":0.3}</x:v>
      </x:c>
      <x:c r="F793" t="str">
        <x:v>EXACT</x:v>
      </x:c>
      <x:c r="G793"/>
      <x:c r="H793"/>
      <x:c r="I793"/>
      <x:c r="J793"/>
      <x:c r="K793"/>
      <x:c r="L793"/>
      <x:c r="M793" t="n">
        <x:v>650</x:v>
      </x:c>
      <x:c r="N793"/>
      <x:c r="O793"/>
      <x:c r="P793"/>
      <x:c r="Q793"/>
      <x:c r="R793"/>
      <x:c r="S793" t="n">
        <x:v>650</x:v>
      </x:c>
      <x:c r="T793" t="n">
        <x:v>650</x:v>
      </x:c>
      <x:c r="U793" s="28" t="n">
        <x:f>T793</x:f>
        <x:v>650</x:v>
      </x:c>
      <x:c r="V793" s="32" t="n">
        <x:f>IF(AND(ISNUMBER(S793),ISNUMBER(U793)),ABS(S793-U793),IF(S793=U793,0,1))</x:f>
        <x:v>0</x:v>
      </x:c>
      <x:c r="W793" s="30" t="str">
        <x:v>PASS</x:v>
      </x:c>
      <x:c r="X793" s="28" t="str">
        <x:f>IF(V793&lt;=1E-9,"PASS","FAIL")</x:f>
        <x:v>PASS</x:v>
      </x:c>
      <x:c r="Y793" t="str">
        <x:v>tr.41–42</x:v>
      </x:c>
      <x:c r="Z793" t="str"/>
    </x:row>
    <x:row r="794">
      <x:c r="A794" t="str">
        <x:v>G0791</x:v>
      </x:c>
      <x:c r="B794" t="str">
        <x:v>Bảng 8</x:v>
      </x:c>
      <x:c r="C794" t="str">
        <x:v>exact grid</x:v>
      </x:c>
      <x:c r="D794" t="str">
        <x:v>EXACT</x:v>
      </x:c>
      <x:c r="E794" t="str">
        <x:v>{"z":5,"IL":0.4}</x:v>
      </x:c>
      <x:c r="F794" t="str">
        <x:v>EXACT</x:v>
      </x:c>
      <x:c r="G794"/>
      <x:c r="H794"/>
      <x:c r="I794"/>
      <x:c r="J794"/>
      <x:c r="K794"/>
      <x:c r="L794"/>
      <x:c r="M794" t="n">
        <x:v>500</x:v>
      </x:c>
      <x:c r="N794"/>
      <x:c r="O794"/>
      <x:c r="P794"/>
      <x:c r="Q794"/>
      <x:c r="R794"/>
      <x:c r="S794" t="n">
        <x:v>500</x:v>
      </x:c>
      <x:c r="T794" t="n">
        <x:v>500</x:v>
      </x:c>
      <x:c r="U794" s="28" t="n">
        <x:f>T794</x:f>
        <x:v>500</x:v>
      </x:c>
      <x:c r="V794" s="32" t="n">
        <x:f>IF(AND(ISNUMBER(S794),ISNUMBER(U794)),ABS(S794-U794),IF(S794=U794,0,1))</x:f>
        <x:v>0</x:v>
      </x:c>
      <x:c r="W794" s="30" t="str">
        <x:v>PASS</x:v>
      </x:c>
      <x:c r="X794" s="28" t="str">
        <x:f>IF(V794&lt;=1E-9,"PASS","FAIL")</x:f>
        <x:v>PASS</x:v>
      </x:c>
      <x:c r="Y794" t="str">
        <x:v>tr.41–42</x:v>
      </x:c>
      <x:c r="Z794" t="str"/>
    </x:row>
    <x:row r="795">
      <x:c r="A795" t="str">
        <x:v>G0792</x:v>
      </x:c>
      <x:c r="B795" t="str">
        <x:v>Bảng 8</x:v>
      </x:c>
      <x:c r="C795" t="str">
        <x:v>exact grid</x:v>
      </x:c>
      <x:c r="D795" t="str">
        <x:v>EXACT</x:v>
      </x:c>
      <x:c r="E795" t="str">
        <x:v>{"z":5,"IL":0.5}</x:v>
      </x:c>
      <x:c r="F795" t="str">
        <x:v>EXACT</x:v>
      </x:c>
      <x:c r="G795"/>
      <x:c r="H795"/>
      <x:c r="I795"/>
      <x:c r="J795"/>
      <x:c r="K795"/>
      <x:c r="L795"/>
      <x:c r="M795" t="n">
        <x:v>400</x:v>
      </x:c>
      <x:c r="N795"/>
      <x:c r="O795"/>
      <x:c r="P795"/>
      <x:c r="Q795"/>
      <x:c r="R795"/>
      <x:c r="S795" t="n">
        <x:v>400</x:v>
      </x:c>
      <x:c r="T795" t="n">
        <x:v>400</x:v>
      </x:c>
      <x:c r="U795" s="28" t="n">
        <x:f>T795</x:f>
        <x:v>400</x:v>
      </x:c>
      <x:c r="V795" s="32" t="n">
        <x:f>IF(AND(ISNUMBER(S795),ISNUMBER(U795)),ABS(S795-U795),IF(S795=U795,0,1))</x:f>
        <x:v>0</x:v>
      </x:c>
      <x:c r="W795" s="30" t="str">
        <x:v>PASS</x:v>
      </x:c>
      <x:c r="X795" s="28" t="str">
        <x:f>IF(V795&lt;=1E-9,"PASS","FAIL")</x:f>
        <x:v>PASS</x:v>
      </x:c>
      <x:c r="Y795" t="str">
        <x:v>tr.41–42</x:v>
      </x:c>
      <x:c r="Z795" t="str"/>
    </x:row>
    <x:row r="796">
      <x:c r="A796" t="str">
        <x:v>G0793</x:v>
      </x:c>
      <x:c r="B796" t="str">
        <x:v>Bảng 8</x:v>
      </x:c>
      <x:c r="C796" t="str">
        <x:v>exact grid</x:v>
      </x:c>
      <x:c r="D796" t="str">
        <x:v>EXACT</x:v>
      </x:c>
      <x:c r="E796" t="str">
        <x:v>{"z":5,"IL":0.6}</x:v>
      </x:c>
      <x:c r="F796" t="str">
        <x:v>EXACT</x:v>
      </x:c>
      <x:c r="G796"/>
      <x:c r="H796"/>
      <x:c r="I796"/>
      <x:c r="J796"/>
      <x:c r="K796"/>
      <x:c r="L796"/>
      <x:c r="M796" t="n">
        <x:v>350</x:v>
      </x:c>
      <x:c r="N796"/>
      <x:c r="O796"/>
      <x:c r="P796"/>
      <x:c r="Q796"/>
      <x:c r="R796"/>
      <x:c r="S796" t="n">
        <x:v>350</x:v>
      </x:c>
      <x:c r="T796" t="n">
        <x:v>350</x:v>
      </x:c>
      <x:c r="U796" s="28" t="n">
        <x:f>T796</x:f>
        <x:v>350</x:v>
      </x:c>
      <x:c r="V796" s="32" t="n">
        <x:f>IF(AND(ISNUMBER(S796),ISNUMBER(U796)),ABS(S796-U796),IF(S796=U796,0,1))</x:f>
        <x:v>0</x:v>
      </x:c>
      <x:c r="W796" s="30" t="str">
        <x:v>PASS</x:v>
      </x:c>
      <x:c r="X796" s="28" t="str">
        <x:f>IF(V796&lt;=1E-9,"PASS","FAIL")</x:f>
        <x:v>PASS</x:v>
      </x:c>
      <x:c r="Y796" t="str">
        <x:v>tr.41–42</x:v>
      </x:c>
      <x:c r="Z796" t="str"/>
    </x:row>
    <x:row r="797">
      <x:c r="A797" t="str">
        <x:v>G0794</x:v>
      </x:c>
      <x:c r="B797" t="str">
        <x:v>Bảng 8</x:v>
      </x:c>
      <x:c r="C797" t="str">
        <x:v>exact grid</x:v>
      </x:c>
      <x:c r="D797" t="str">
        <x:v>EXACT</x:v>
      </x:c>
      <x:c r="E797" t="str">
        <x:v>{"z":7,"IL":0}</x:v>
      </x:c>
      <x:c r="F797" t="str">
        <x:v>EXACT</x:v>
      </x:c>
      <x:c r="G797"/>
      <x:c r="H797"/>
      <x:c r="I797"/>
      <x:c r="J797"/>
      <x:c r="K797"/>
      <x:c r="L797"/>
      <x:c r="M797" t="n">
        <x:v>1150</x:v>
      </x:c>
      <x:c r="N797"/>
      <x:c r="O797"/>
      <x:c r="P797"/>
      <x:c r="Q797"/>
      <x:c r="R797"/>
      <x:c r="S797" t="n">
        <x:v>1150</x:v>
      </x:c>
      <x:c r="T797" t="n">
        <x:v>1150</x:v>
      </x:c>
      <x:c r="U797" s="28" t="n">
        <x:f>T797</x:f>
        <x:v>1150</x:v>
      </x:c>
      <x:c r="V797" s="32" t="n">
        <x:f>IF(AND(ISNUMBER(S797),ISNUMBER(U797)),ABS(S797-U797),IF(S797=U797,0,1))</x:f>
        <x:v>0</x:v>
      </x:c>
      <x:c r="W797" s="30" t="str">
        <x:v>PASS</x:v>
      </x:c>
      <x:c r="X797" s="28" t="str">
        <x:f>IF(V797&lt;=1E-9,"PASS","FAIL")</x:f>
        <x:v>PASS</x:v>
      </x:c>
      <x:c r="Y797" t="str">
        <x:v>tr.41–42</x:v>
      </x:c>
      <x:c r="Z797" t="str"/>
    </x:row>
    <x:row r="798">
      <x:c r="A798" t="str">
        <x:v>G0795</x:v>
      </x:c>
      <x:c r="B798" t="str">
        <x:v>Bảng 8</x:v>
      </x:c>
      <x:c r="C798" t="str">
        <x:v>exact grid</x:v>
      </x:c>
      <x:c r="D798" t="str">
        <x:v>EXACT</x:v>
      </x:c>
      <x:c r="E798" t="str">
        <x:v>{"z":7,"IL":0.1}</x:v>
      </x:c>
      <x:c r="F798" t="str">
        <x:v>EXACT</x:v>
      </x:c>
      <x:c r="G798"/>
      <x:c r="H798"/>
      <x:c r="I798"/>
      <x:c r="J798"/>
      <x:c r="K798"/>
      <x:c r="L798"/>
      <x:c r="M798" t="n">
        <x:v>1000</x:v>
      </x:c>
      <x:c r="N798"/>
      <x:c r="O798"/>
      <x:c r="P798"/>
      <x:c r="Q798"/>
      <x:c r="R798"/>
      <x:c r="S798" t="n">
        <x:v>1000</x:v>
      </x:c>
      <x:c r="T798" t="n">
        <x:v>1000</x:v>
      </x:c>
      <x:c r="U798" s="28" t="n">
        <x:f>T798</x:f>
        <x:v>1000</x:v>
      </x:c>
      <x:c r="V798" s="32" t="n">
        <x:f>IF(AND(ISNUMBER(S798),ISNUMBER(U798)),ABS(S798-U798),IF(S798=U798,0,1))</x:f>
        <x:v>0</x:v>
      </x:c>
      <x:c r="W798" s="30" t="str">
        <x:v>PASS</x:v>
      </x:c>
      <x:c r="X798" s="28" t="str">
        <x:f>IF(V798&lt;=1E-9,"PASS","FAIL")</x:f>
        <x:v>PASS</x:v>
      </x:c>
      <x:c r="Y798" t="str">
        <x:v>tr.41–42</x:v>
      </x:c>
      <x:c r="Z798" t="str"/>
    </x:row>
    <x:row r="799">
      <x:c r="A799" t="str">
        <x:v>G0796</x:v>
      </x:c>
      <x:c r="B799" t="str">
        <x:v>Bảng 8</x:v>
      </x:c>
      <x:c r="C799" t="str">
        <x:v>exact grid</x:v>
      </x:c>
      <x:c r="D799" t="str">
        <x:v>EXACT</x:v>
      </x:c>
      <x:c r="E799" t="str">
        <x:v>{"z":7,"IL":0.2}</x:v>
      </x:c>
      <x:c r="F799" t="str">
        <x:v>EXACT</x:v>
      </x:c>
      <x:c r="G799"/>
      <x:c r="H799"/>
      <x:c r="I799"/>
      <x:c r="J799"/>
      <x:c r="K799"/>
      <x:c r="L799"/>
      <x:c r="M799" t="n">
        <x:v>850</x:v>
      </x:c>
      <x:c r="N799"/>
      <x:c r="O799"/>
      <x:c r="P799"/>
      <x:c r="Q799"/>
      <x:c r="R799"/>
      <x:c r="S799" t="n">
        <x:v>850</x:v>
      </x:c>
      <x:c r="T799" t="n">
        <x:v>850</x:v>
      </x:c>
      <x:c r="U799" s="28" t="n">
        <x:f>T799</x:f>
        <x:v>850</x:v>
      </x:c>
      <x:c r="V799" s="32" t="n">
        <x:f>IF(AND(ISNUMBER(S799),ISNUMBER(U799)),ABS(S799-U799),IF(S799=U799,0,1))</x:f>
        <x:v>0</x:v>
      </x:c>
      <x:c r="W799" s="30" t="str">
        <x:v>PASS</x:v>
      </x:c>
      <x:c r="X799" s="28" t="str">
        <x:f>IF(V799&lt;=1E-9,"PASS","FAIL")</x:f>
        <x:v>PASS</x:v>
      </x:c>
      <x:c r="Y799" t="str">
        <x:v>tr.41–42</x:v>
      </x:c>
      <x:c r="Z799" t="str"/>
    </x:row>
    <x:row r="800">
      <x:c r="A800" t="str">
        <x:v>G0797</x:v>
      </x:c>
      <x:c r="B800" t="str">
        <x:v>Bảng 8</x:v>
      </x:c>
      <x:c r="C800" t="str">
        <x:v>exact grid</x:v>
      </x:c>
      <x:c r="D800" t="str">
        <x:v>EXACT</x:v>
      </x:c>
      <x:c r="E800" t="str">
        <x:v>{"z":7,"IL":0.3}</x:v>
      </x:c>
      <x:c r="F800" t="str">
        <x:v>EXACT</x:v>
      </x:c>
      <x:c r="G800"/>
      <x:c r="H800"/>
      <x:c r="I800"/>
      <x:c r="J800"/>
      <x:c r="K800"/>
      <x:c r="L800"/>
      <x:c r="M800" t="n">
        <x:v>750</x:v>
      </x:c>
      <x:c r="N800"/>
      <x:c r="O800"/>
      <x:c r="P800"/>
      <x:c r="Q800"/>
      <x:c r="R800"/>
      <x:c r="S800" t="n">
        <x:v>750</x:v>
      </x:c>
      <x:c r="T800" t="n">
        <x:v>750</x:v>
      </x:c>
      <x:c r="U800" s="28" t="n">
        <x:f>T800</x:f>
        <x:v>750</x:v>
      </x:c>
      <x:c r="V800" s="32" t="n">
        <x:f>IF(AND(ISNUMBER(S800),ISNUMBER(U800)),ABS(S800-U800),IF(S800=U800,0,1))</x:f>
        <x:v>0</x:v>
      </x:c>
      <x:c r="W800" s="30" t="str">
        <x:v>PASS</x:v>
      </x:c>
      <x:c r="X800" s="28" t="str">
        <x:f>IF(V800&lt;=1E-9,"PASS","FAIL")</x:f>
        <x:v>PASS</x:v>
      </x:c>
      <x:c r="Y800" t="str">
        <x:v>tr.41–42</x:v>
      </x:c>
      <x:c r="Z800" t="str"/>
    </x:row>
    <x:row r="801">
      <x:c r="A801" t="str">
        <x:v>G0798</x:v>
      </x:c>
      <x:c r="B801" t="str">
        <x:v>Bảng 8</x:v>
      </x:c>
      <x:c r="C801" t="str">
        <x:v>exact grid</x:v>
      </x:c>
      <x:c r="D801" t="str">
        <x:v>EXACT</x:v>
      </x:c>
      <x:c r="E801" t="str">
        <x:v>{"z":7,"IL":0.4}</x:v>
      </x:c>
      <x:c r="F801" t="str">
        <x:v>EXACT</x:v>
      </x:c>
      <x:c r="G801"/>
      <x:c r="H801"/>
      <x:c r="I801"/>
      <x:c r="J801"/>
      <x:c r="K801"/>
      <x:c r="L801"/>
      <x:c r="M801" t="n">
        <x:v>600</x:v>
      </x:c>
      <x:c r="N801"/>
      <x:c r="O801"/>
      <x:c r="P801"/>
      <x:c r="Q801"/>
      <x:c r="R801"/>
      <x:c r="S801" t="n">
        <x:v>600</x:v>
      </x:c>
      <x:c r="T801" t="n">
        <x:v>600</x:v>
      </x:c>
      <x:c r="U801" s="28" t="n">
        <x:f>T801</x:f>
        <x:v>600</x:v>
      </x:c>
      <x:c r="V801" s="32" t="n">
        <x:f>IF(AND(ISNUMBER(S801),ISNUMBER(U801)),ABS(S801-U801),IF(S801=U801,0,1))</x:f>
        <x:v>0</x:v>
      </x:c>
      <x:c r="W801" s="30" t="str">
        <x:v>PASS</x:v>
      </x:c>
      <x:c r="X801" s="28" t="str">
        <x:f>IF(V801&lt;=1E-9,"PASS","FAIL")</x:f>
        <x:v>PASS</x:v>
      </x:c>
      <x:c r="Y801" t="str">
        <x:v>tr.41–42</x:v>
      </x:c>
      <x:c r="Z801" t="str"/>
    </x:row>
    <x:row r="802">
      <x:c r="A802" t="str">
        <x:v>G0799</x:v>
      </x:c>
      <x:c r="B802" t="str">
        <x:v>Bảng 8</x:v>
      </x:c>
      <x:c r="C802" t="str">
        <x:v>exact grid</x:v>
      </x:c>
      <x:c r="D802" t="str">
        <x:v>EXACT</x:v>
      </x:c>
      <x:c r="E802" t="str">
        <x:v>{"z":7,"IL":0.5}</x:v>
      </x:c>
      <x:c r="F802" t="str">
        <x:v>EXACT</x:v>
      </x:c>
      <x:c r="G802"/>
      <x:c r="H802"/>
      <x:c r="I802"/>
      <x:c r="J802"/>
      <x:c r="K802"/>
      <x:c r="L802"/>
      <x:c r="M802" t="n">
        <x:v>500</x:v>
      </x:c>
      <x:c r="N802"/>
      <x:c r="O802"/>
      <x:c r="P802"/>
      <x:c r="Q802"/>
      <x:c r="R802"/>
      <x:c r="S802" t="n">
        <x:v>500</x:v>
      </x:c>
      <x:c r="T802" t="n">
        <x:v>500</x:v>
      </x:c>
      <x:c r="U802" s="28" t="n">
        <x:f>T802</x:f>
        <x:v>500</x:v>
      </x:c>
      <x:c r="V802" s="32" t="n">
        <x:f>IF(AND(ISNUMBER(S802),ISNUMBER(U802)),ABS(S802-U802),IF(S802=U802,0,1))</x:f>
        <x:v>0</x:v>
      </x:c>
      <x:c r="W802" s="30" t="str">
        <x:v>PASS</x:v>
      </x:c>
      <x:c r="X802" s="28" t="str">
        <x:f>IF(V802&lt;=1E-9,"PASS","FAIL")</x:f>
        <x:v>PASS</x:v>
      </x:c>
      <x:c r="Y802" t="str">
        <x:v>tr.41–42</x:v>
      </x:c>
      <x:c r="Z802" t="str"/>
    </x:row>
    <x:row r="803">
      <x:c r="A803" t="str">
        <x:v>G0800</x:v>
      </x:c>
      <x:c r="B803" t="str">
        <x:v>Bảng 8</x:v>
      </x:c>
      <x:c r="C803" t="str">
        <x:v>exact grid</x:v>
      </x:c>
      <x:c r="D803" t="str">
        <x:v>EXACT</x:v>
      </x:c>
      <x:c r="E803" t="str">
        <x:v>{"z":7,"IL":0.6}</x:v>
      </x:c>
      <x:c r="F803" t="str">
        <x:v>EXACT</x:v>
      </x:c>
      <x:c r="G803"/>
      <x:c r="H803"/>
      <x:c r="I803"/>
      <x:c r="J803"/>
      <x:c r="K803"/>
      <x:c r="L803"/>
      <x:c r="M803" t="n">
        <x:v>450</x:v>
      </x:c>
      <x:c r="N803"/>
      <x:c r="O803"/>
      <x:c r="P803"/>
      <x:c r="Q803"/>
      <x:c r="R803"/>
      <x:c r="S803" t="n">
        <x:v>450</x:v>
      </x:c>
      <x:c r="T803" t="n">
        <x:v>450</x:v>
      </x:c>
      <x:c r="U803" s="28" t="n">
        <x:f>T803</x:f>
        <x:v>450</x:v>
      </x:c>
      <x:c r="V803" s="32" t="n">
        <x:f>IF(AND(ISNUMBER(S803),ISNUMBER(U803)),ABS(S803-U803),IF(S803=U803,0,1))</x:f>
        <x:v>0</x:v>
      </x:c>
      <x:c r="W803" s="30" t="str">
        <x:v>PASS</x:v>
      </x:c>
      <x:c r="X803" s="28" t="str">
        <x:f>IF(V803&lt;=1E-9,"PASS","FAIL")</x:f>
        <x:v>PASS</x:v>
      </x:c>
      <x:c r="Y803" t="str">
        <x:v>tr.41–42</x:v>
      </x:c>
      <x:c r="Z803" t="str"/>
    </x:row>
    <x:row r="804">
      <x:c r="A804" t="str">
        <x:v>G0801</x:v>
      </x:c>
      <x:c r="B804" t="str">
        <x:v>Bảng 8</x:v>
      </x:c>
      <x:c r="C804" t="str">
        <x:v>exact grid</x:v>
      </x:c>
      <x:c r="D804" t="str">
        <x:v>EXACT</x:v>
      </x:c>
      <x:c r="E804" t="str">
        <x:v>{"z":10,"IL":0}</x:v>
      </x:c>
      <x:c r="F804" t="str">
        <x:v>EXACT</x:v>
      </x:c>
      <x:c r="G804"/>
      <x:c r="H804"/>
      <x:c r="I804"/>
      <x:c r="J804"/>
      <x:c r="K804"/>
      <x:c r="L804"/>
      <x:c r="M804" t="n">
        <x:v>1350</x:v>
      </x:c>
      <x:c r="N804"/>
      <x:c r="O804"/>
      <x:c r="P804"/>
      <x:c r="Q804"/>
      <x:c r="R804"/>
      <x:c r="S804" t="n">
        <x:v>1350</x:v>
      </x:c>
      <x:c r="T804" t="n">
        <x:v>1350</x:v>
      </x:c>
      <x:c r="U804" s="28" t="n">
        <x:f>T804</x:f>
        <x:v>1350</x:v>
      </x:c>
      <x:c r="V804" s="32" t="n">
        <x:f>IF(AND(ISNUMBER(S804),ISNUMBER(U804)),ABS(S804-U804),IF(S804=U804,0,1))</x:f>
        <x:v>0</x:v>
      </x:c>
      <x:c r="W804" s="30" t="str">
        <x:v>PASS</x:v>
      </x:c>
      <x:c r="X804" s="28" t="str">
        <x:f>IF(V804&lt;=1E-9,"PASS","FAIL")</x:f>
        <x:v>PASS</x:v>
      </x:c>
      <x:c r="Y804" t="str">
        <x:v>tr.41–42</x:v>
      </x:c>
      <x:c r="Z804" t="str"/>
    </x:row>
    <x:row r="805">
      <x:c r="A805" t="str">
        <x:v>G0802</x:v>
      </x:c>
      <x:c r="B805" t="str">
        <x:v>Bảng 8</x:v>
      </x:c>
      <x:c r="C805" t="str">
        <x:v>exact grid</x:v>
      </x:c>
      <x:c r="D805" t="str">
        <x:v>EXACT</x:v>
      </x:c>
      <x:c r="E805" t="str">
        <x:v>{"z":10,"IL":0.1}</x:v>
      </x:c>
      <x:c r="F805" t="str">
        <x:v>EXACT</x:v>
      </x:c>
      <x:c r="G805"/>
      <x:c r="H805"/>
      <x:c r="I805"/>
      <x:c r="J805"/>
      <x:c r="K805"/>
      <x:c r="L805"/>
      <x:c r="M805" t="n">
        <x:v>1200</x:v>
      </x:c>
      <x:c r="N805"/>
      <x:c r="O805"/>
      <x:c r="P805"/>
      <x:c r="Q805"/>
      <x:c r="R805"/>
      <x:c r="S805" t="n">
        <x:v>1200</x:v>
      </x:c>
      <x:c r="T805" t="n">
        <x:v>1200</x:v>
      </x:c>
      <x:c r="U805" s="28" t="n">
        <x:f>T805</x:f>
        <x:v>1200</x:v>
      </x:c>
      <x:c r="V805" s="32" t="n">
        <x:f>IF(AND(ISNUMBER(S805),ISNUMBER(U805)),ABS(S805-U805),IF(S805=U805,0,1))</x:f>
        <x:v>0</x:v>
      </x:c>
      <x:c r="W805" s="30" t="str">
        <x:v>PASS</x:v>
      </x:c>
      <x:c r="X805" s="28" t="str">
        <x:f>IF(V805&lt;=1E-9,"PASS","FAIL")</x:f>
        <x:v>PASS</x:v>
      </x:c>
      <x:c r="Y805" t="str">
        <x:v>tr.41–42</x:v>
      </x:c>
      <x:c r="Z805" t="str"/>
    </x:row>
    <x:row r="806">
      <x:c r="A806" t="str">
        <x:v>G0803</x:v>
      </x:c>
      <x:c r="B806" t="str">
        <x:v>Bảng 8</x:v>
      </x:c>
      <x:c r="C806" t="str">
        <x:v>exact grid</x:v>
      </x:c>
      <x:c r="D806" t="str">
        <x:v>EXACT</x:v>
      </x:c>
      <x:c r="E806" t="str">
        <x:v>{"z":10,"IL":0.2}</x:v>
      </x:c>
      <x:c r="F806" t="str">
        <x:v>EXACT</x:v>
      </x:c>
      <x:c r="G806"/>
      <x:c r="H806"/>
      <x:c r="I806"/>
      <x:c r="J806"/>
      <x:c r="K806"/>
      <x:c r="L806"/>
      <x:c r="M806" t="n">
        <x:v>1050</x:v>
      </x:c>
      <x:c r="N806"/>
      <x:c r="O806"/>
      <x:c r="P806"/>
      <x:c r="Q806"/>
      <x:c r="R806"/>
      <x:c r="S806" t="n">
        <x:v>1050</x:v>
      </x:c>
      <x:c r="T806" t="n">
        <x:v>1050</x:v>
      </x:c>
      <x:c r="U806" s="28" t="n">
        <x:f>T806</x:f>
        <x:v>1050</x:v>
      </x:c>
      <x:c r="V806" s="32" t="n">
        <x:f>IF(AND(ISNUMBER(S806),ISNUMBER(U806)),ABS(S806-U806),IF(S806=U806,0,1))</x:f>
        <x:v>0</x:v>
      </x:c>
      <x:c r="W806" s="30" t="str">
        <x:v>PASS</x:v>
      </x:c>
      <x:c r="X806" s="28" t="str">
        <x:f>IF(V806&lt;=1E-9,"PASS","FAIL")</x:f>
        <x:v>PASS</x:v>
      </x:c>
      <x:c r="Y806" t="str">
        <x:v>tr.41–42</x:v>
      </x:c>
      <x:c r="Z806" t="str"/>
    </x:row>
    <x:row r="807">
      <x:c r="A807" t="str">
        <x:v>G0804</x:v>
      </x:c>
      <x:c r="B807" t="str">
        <x:v>Bảng 8</x:v>
      </x:c>
      <x:c r="C807" t="str">
        <x:v>exact grid</x:v>
      </x:c>
      <x:c r="D807" t="str">
        <x:v>EXACT</x:v>
      </x:c>
      <x:c r="E807" t="str">
        <x:v>{"z":10,"IL":0.3}</x:v>
      </x:c>
      <x:c r="F807" t="str">
        <x:v>EXACT</x:v>
      </x:c>
      <x:c r="G807"/>
      <x:c r="H807"/>
      <x:c r="I807"/>
      <x:c r="J807"/>
      <x:c r="K807"/>
      <x:c r="L807"/>
      <x:c r="M807" t="n">
        <x:v>950</x:v>
      </x:c>
      <x:c r="N807"/>
      <x:c r="O807"/>
      <x:c r="P807"/>
      <x:c r="Q807"/>
      <x:c r="R807"/>
      <x:c r="S807" t="n">
        <x:v>950</x:v>
      </x:c>
      <x:c r="T807" t="n">
        <x:v>950</x:v>
      </x:c>
      <x:c r="U807" s="28" t="n">
        <x:f>T807</x:f>
        <x:v>950</x:v>
      </x:c>
      <x:c r="V807" s="32" t="n">
        <x:f>IF(AND(ISNUMBER(S807),ISNUMBER(U807)),ABS(S807-U807),IF(S807=U807,0,1))</x:f>
        <x:v>0</x:v>
      </x:c>
      <x:c r="W807" s="30" t="str">
        <x:v>PASS</x:v>
      </x:c>
      <x:c r="X807" s="28" t="str">
        <x:f>IF(V807&lt;=1E-9,"PASS","FAIL")</x:f>
        <x:v>PASS</x:v>
      </x:c>
      <x:c r="Y807" t="str">
        <x:v>tr.41–42</x:v>
      </x:c>
      <x:c r="Z807" t="str"/>
    </x:row>
    <x:row r="808">
      <x:c r="A808" t="str">
        <x:v>G0805</x:v>
      </x:c>
      <x:c r="B808" t="str">
        <x:v>Bảng 8</x:v>
      </x:c>
      <x:c r="C808" t="str">
        <x:v>exact grid</x:v>
      </x:c>
      <x:c r="D808" t="str">
        <x:v>EXACT</x:v>
      </x:c>
      <x:c r="E808" t="str">
        <x:v>{"z":10,"IL":0.4}</x:v>
      </x:c>
      <x:c r="F808" t="str">
        <x:v>EXACT</x:v>
      </x:c>
      <x:c r="G808"/>
      <x:c r="H808"/>
      <x:c r="I808"/>
      <x:c r="J808"/>
      <x:c r="K808"/>
      <x:c r="L808"/>
      <x:c r="M808" t="n">
        <x:v>800</x:v>
      </x:c>
      <x:c r="N808"/>
      <x:c r="O808"/>
      <x:c r="P808"/>
      <x:c r="Q808"/>
      <x:c r="R808"/>
      <x:c r="S808" t="n">
        <x:v>800</x:v>
      </x:c>
      <x:c r="T808" t="n">
        <x:v>800</x:v>
      </x:c>
      <x:c r="U808" s="28" t="n">
        <x:f>T808</x:f>
        <x:v>800</x:v>
      </x:c>
      <x:c r="V808" s="32" t="n">
        <x:f>IF(AND(ISNUMBER(S808),ISNUMBER(U808)),ABS(S808-U808),IF(S808=U808,0,1))</x:f>
        <x:v>0</x:v>
      </x:c>
      <x:c r="W808" s="30" t="str">
        <x:v>PASS</x:v>
      </x:c>
      <x:c r="X808" s="28" t="str">
        <x:f>IF(V808&lt;=1E-9,"PASS","FAIL")</x:f>
        <x:v>PASS</x:v>
      </x:c>
      <x:c r="Y808" t="str">
        <x:v>tr.41–42</x:v>
      </x:c>
      <x:c r="Z808" t="str"/>
    </x:row>
    <x:row r="809">
      <x:c r="A809" t="str">
        <x:v>G0806</x:v>
      </x:c>
      <x:c r="B809" t="str">
        <x:v>Bảng 8</x:v>
      </x:c>
      <x:c r="C809" t="str">
        <x:v>exact grid</x:v>
      </x:c>
      <x:c r="D809" t="str">
        <x:v>EXACT</x:v>
      </x:c>
      <x:c r="E809" t="str">
        <x:v>{"z":10,"IL":0.5}</x:v>
      </x:c>
      <x:c r="F809" t="str">
        <x:v>EXACT</x:v>
      </x:c>
      <x:c r="G809"/>
      <x:c r="H809"/>
      <x:c r="I809"/>
      <x:c r="J809"/>
      <x:c r="K809"/>
      <x:c r="L809"/>
      <x:c r="M809" t="n">
        <x:v>700</x:v>
      </x:c>
      <x:c r="N809"/>
      <x:c r="O809"/>
      <x:c r="P809"/>
      <x:c r="Q809"/>
      <x:c r="R809"/>
      <x:c r="S809" t="n">
        <x:v>700</x:v>
      </x:c>
      <x:c r="T809" t="n">
        <x:v>700</x:v>
      </x:c>
      <x:c r="U809" s="28" t="n">
        <x:f>T809</x:f>
        <x:v>700</x:v>
      </x:c>
      <x:c r="V809" s="32" t="n">
        <x:f>IF(AND(ISNUMBER(S809),ISNUMBER(U809)),ABS(S809-U809),IF(S809=U809,0,1))</x:f>
        <x:v>0</x:v>
      </x:c>
      <x:c r="W809" s="30" t="str">
        <x:v>PASS</x:v>
      </x:c>
      <x:c r="X809" s="28" t="str">
        <x:f>IF(V809&lt;=1E-9,"PASS","FAIL")</x:f>
        <x:v>PASS</x:v>
      </x:c>
      <x:c r="Y809" t="str">
        <x:v>tr.41–42</x:v>
      </x:c>
      <x:c r="Z809" t="str"/>
    </x:row>
    <x:row r="810">
      <x:c r="A810" t="str">
        <x:v>G0807</x:v>
      </x:c>
      <x:c r="B810" t="str">
        <x:v>Bảng 8</x:v>
      </x:c>
      <x:c r="C810" t="str">
        <x:v>exact grid</x:v>
      </x:c>
      <x:c r="D810" t="str">
        <x:v>EXACT</x:v>
      </x:c>
      <x:c r="E810" t="str">
        <x:v>{"z":10,"IL":0.6}</x:v>
      </x:c>
      <x:c r="F810" t="str">
        <x:v>EXACT</x:v>
      </x:c>
      <x:c r="G810"/>
      <x:c r="H810"/>
      <x:c r="I810"/>
      <x:c r="J810"/>
      <x:c r="K810"/>
      <x:c r="L810"/>
      <x:c r="M810" t="n">
        <x:v>600</x:v>
      </x:c>
      <x:c r="N810"/>
      <x:c r="O810"/>
      <x:c r="P810"/>
      <x:c r="Q810"/>
      <x:c r="R810"/>
      <x:c r="S810" t="n">
        <x:v>600</x:v>
      </x:c>
      <x:c r="T810" t="n">
        <x:v>600</x:v>
      </x:c>
      <x:c r="U810" s="28" t="n">
        <x:f>T810</x:f>
        <x:v>600</x:v>
      </x:c>
      <x:c r="V810" s="32" t="n">
        <x:f>IF(AND(ISNUMBER(S810),ISNUMBER(U810)),ABS(S810-U810),IF(S810=U810,0,1))</x:f>
        <x:v>0</x:v>
      </x:c>
      <x:c r="W810" s="30" t="str">
        <x:v>PASS</x:v>
      </x:c>
      <x:c r="X810" s="28" t="str">
        <x:f>IF(V810&lt;=1E-9,"PASS","FAIL")</x:f>
        <x:v>PASS</x:v>
      </x:c>
      <x:c r="Y810" t="str">
        <x:v>tr.41–42</x:v>
      </x:c>
      <x:c r="Z810" t="str"/>
    </x:row>
    <x:row r="811">
      <x:c r="A811" t="str">
        <x:v>G0808</x:v>
      </x:c>
      <x:c r="B811" t="str">
        <x:v>Bảng 8</x:v>
      </x:c>
      <x:c r="C811" t="str">
        <x:v>exact grid</x:v>
      </x:c>
      <x:c r="D811" t="str">
        <x:v>EXACT</x:v>
      </x:c>
      <x:c r="E811" t="str">
        <x:v>{"z":12,"IL":0}</x:v>
      </x:c>
      <x:c r="F811" t="str">
        <x:v>EXACT</x:v>
      </x:c>
      <x:c r="G811"/>
      <x:c r="H811"/>
      <x:c r="I811"/>
      <x:c r="J811"/>
      <x:c r="K811"/>
      <x:c r="L811"/>
      <x:c r="M811" t="n">
        <x:v>1550</x:v>
      </x:c>
      <x:c r="N811"/>
      <x:c r="O811"/>
      <x:c r="P811"/>
      <x:c r="Q811"/>
      <x:c r="R811"/>
      <x:c r="S811" t="n">
        <x:v>1550</x:v>
      </x:c>
      <x:c r="T811" t="n">
        <x:v>1550</x:v>
      </x:c>
      <x:c r="U811" s="28" t="n">
        <x:f>T811</x:f>
        <x:v>1550</x:v>
      </x:c>
      <x:c r="V811" s="32" t="n">
        <x:f>IF(AND(ISNUMBER(S811),ISNUMBER(U811)),ABS(S811-U811),IF(S811=U811,0,1))</x:f>
        <x:v>0</x:v>
      </x:c>
      <x:c r="W811" s="30" t="str">
        <x:v>PASS</x:v>
      </x:c>
      <x:c r="X811" s="28" t="str">
        <x:f>IF(V811&lt;=1E-9,"PASS","FAIL")</x:f>
        <x:v>PASS</x:v>
      </x:c>
      <x:c r="Y811" t="str">
        <x:v>tr.41–42</x:v>
      </x:c>
      <x:c r="Z811" t="str"/>
    </x:row>
    <x:row r="812">
      <x:c r="A812" t="str">
        <x:v>G0809</x:v>
      </x:c>
      <x:c r="B812" t="str">
        <x:v>Bảng 8</x:v>
      </x:c>
      <x:c r="C812" t="str">
        <x:v>exact grid</x:v>
      </x:c>
      <x:c r="D812" t="str">
        <x:v>EXACT</x:v>
      </x:c>
      <x:c r="E812" t="str">
        <x:v>{"z":12,"IL":0.1}</x:v>
      </x:c>
      <x:c r="F812" t="str">
        <x:v>EXACT</x:v>
      </x:c>
      <x:c r="G812"/>
      <x:c r="H812"/>
      <x:c r="I812"/>
      <x:c r="J812"/>
      <x:c r="K812"/>
      <x:c r="L812"/>
      <x:c r="M812" t="n">
        <x:v>1400</x:v>
      </x:c>
      <x:c r="N812"/>
      <x:c r="O812"/>
      <x:c r="P812"/>
      <x:c r="Q812"/>
      <x:c r="R812"/>
      <x:c r="S812" t="n">
        <x:v>1400</x:v>
      </x:c>
      <x:c r="T812" t="n">
        <x:v>1400</x:v>
      </x:c>
      <x:c r="U812" s="28" t="n">
        <x:f>T812</x:f>
        <x:v>1400</x:v>
      </x:c>
      <x:c r="V812" s="32" t="n">
        <x:f>IF(AND(ISNUMBER(S812),ISNUMBER(U812)),ABS(S812-U812),IF(S812=U812,0,1))</x:f>
        <x:v>0</x:v>
      </x:c>
      <x:c r="W812" s="30" t="str">
        <x:v>PASS</x:v>
      </x:c>
      <x:c r="X812" s="28" t="str">
        <x:f>IF(V812&lt;=1E-9,"PASS","FAIL")</x:f>
        <x:v>PASS</x:v>
      </x:c>
      <x:c r="Y812" t="str">
        <x:v>tr.41–42</x:v>
      </x:c>
      <x:c r="Z812" t="str"/>
    </x:row>
    <x:row r="813">
      <x:c r="A813" t="str">
        <x:v>G0810</x:v>
      </x:c>
      <x:c r="B813" t="str">
        <x:v>Bảng 8</x:v>
      </x:c>
      <x:c r="C813" t="str">
        <x:v>exact grid</x:v>
      </x:c>
      <x:c r="D813" t="str">
        <x:v>EXACT</x:v>
      </x:c>
      <x:c r="E813" t="str">
        <x:v>{"z":12,"IL":0.2}</x:v>
      </x:c>
      <x:c r="F813" t="str">
        <x:v>EXACT</x:v>
      </x:c>
      <x:c r="G813"/>
      <x:c r="H813"/>
      <x:c r="I813"/>
      <x:c r="J813"/>
      <x:c r="K813"/>
      <x:c r="L813"/>
      <x:c r="M813" t="n">
        <x:v>1250</x:v>
      </x:c>
      <x:c r="N813"/>
      <x:c r="O813"/>
      <x:c r="P813"/>
      <x:c r="Q813"/>
      <x:c r="R813"/>
      <x:c r="S813" t="n">
        <x:v>1250</x:v>
      </x:c>
      <x:c r="T813" t="n">
        <x:v>1250</x:v>
      </x:c>
      <x:c r="U813" s="28" t="n">
        <x:f>T813</x:f>
        <x:v>1250</x:v>
      </x:c>
      <x:c r="V813" s="32" t="n">
        <x:f>IF(AND(ISNUMBER(S813),ISNUMBER(U813)),ABS(S813-U813),IF(S813=U813,0,1))</x:f>
        <x:v>0</x:v>
      </x:c>
      <x:c r="W813" s="30" t="str">
        <x:v>PASS</x:v>
      </x:c>
      <x:c r="X813" s="28" t="str">
        <x:f>IF(V813&lt;=1E-9,"PASS","FAIL")</x:f>
        <x:v>PASS</x:v>
      </x:c>
      <x:c r="Y813" t="str">
        <x:v>tr.41–42</x:v>
      </x:c>
      <x:c r="Z813" t="str"/>
    </x:row>
    <x:row r="814">
      <x:c r="A814" t="str">
        <x:v>G0811</x:v>
      </x:c>
      <x:c r="B814" t="str">
        <x:v>Bảng 8</x:v>
      </x:c>
      <x:c r="C814" t="str">
        <x:v>exact grid</x:v>
      </x:c>
      <x:c r="D814" t="str">
        <x:v>EXACT</x:v>
      </x:c>
      <x:c r="E814" t="str">
        <x:v>{"z":12,"IL":0.3}</x:v>
      </x:c>
      <x:c r="F814" t="str">
        <x:v>EXACT</x:v>
      </x:c>
      <x:c r="G814"/>
      <x:c r="H814"/>
      <x:c r="I814"/>
      <x:c r="J814"/>
      <x:c r="K814"/>
      <x:c r="L814"/>
      <x:c r="M814" t="n">
        <x:v>1100</x:v>
      </x:c>
      <x:c r="N814"/>
      <x:c r="O814"/>
      <x:c r="P814"/>
      <x:c r="Q814"/>
      <x:c r="R814"/>
      <x:c r="S814" t="n">
        <x:v>1100</x:v>
      </x:c>
      <x:c r="T814" t="n">
        <x:v>1100</x:v>
      </x:c>
      <x:c r="U814" s="28" t="n">
        <x:f>T814</x:f>
        <x:v>1100</x:v>
      </x:c>
      <x:c r="V814" s="32" t="n">
        <x:f>IF(AND(ISNUMBER(S814),ISNUMBER(U814)),ABS(S814-U814),IF(S814=U814,0,1))</x:f>
        <x:v>0</x:v>
      </x:c>
      <x:c r="W814" s="30" t="str">
        <x:v>PASS</x:v>
      </x:c>
      <x:c r="X814" s="28" t="str">
        <x:f>IF(V814&lt;=1E-9,"PASS","FAIL")</x:f>
        <x:v>PASS</x:v>
      </x:c>
      <x:c r="Y814" t="str">
        <x:v>tr.41–42</x:v>
      </x:c>
      <x:c r="Z814" t="str"/>
    </x:row>
    <x:row r="815">
      <x:c r="A815" t="str">
        <x:v>G0812</x:v>
      </x:c>
      <x:c r="B815" t="str">
        <x:v>Bảng 8</x:v>
      </x:c>
      <x:c r="C815" t="str">
        <x:v>exact grid</x:v>
      </x:c>
      <x:c r="D815" t="str">
        <x:v>EXACT</x:v>
      </x:c>
      <x:c r="E815" t="str">
        <x:v>{"z":12,"IL":0.4}</x:v>
      </x:c>
      <x:c r="F815" t="str">
        <x:v>EXACT</x:v>
      </x:c>
      <x:c r="G815"/>
      <x:c r="H815"/>
      <x:c r="I815"/>
      <x:c r="J815"/>
      <x:c r="K815"/>
      <x:c r="L815"/>
      <x:c r="M815" t="n">
        <x:v>950</x:v>
      </x:c>
      <x:c r="N815"/>
      <x:c r="O815"/>
      <x:c r="P815"/>
      <x:c r="Q815"/>
      <x:c r="R815"/>
      <x:c r="S815" t="n">
        <x:v>950</x:v>
      </x:c>
      <x:c r="T815" t="n">
        <x:v>950</x:v>
      </x:c>
      <x:c r="U815" s="28" t="n">
        <x:f>T815</x:f>
        <x:v>950</x:v>
      </x:c>
      <x:c r="V815" s="32" t="n">
        <x:f>IF(AND(ISNUMBER(S815),ISNUMBER(U815)),ABS(S815-U815),IF(S815=U815,0,1))</x:f>
        <x:v>0</x:v>
      </x:c>
      <x:c r="W815" s="30" t="str">
        <x:v>PASS</x:v>
      </x:c>
      <x:c r="X815" s="28" t="str">
        <x:f>IF(V815&lt;=1E-9,"PASS","FAIL")</x:f>
        <x:v>PASS</x:v>
      </x:c>
      <x:c r="Y815" t="str">
        <x:v>tr.41–42</x:v>
      </x:c>
      <x:c r="Z815" t="str"/>
    </x:row>
    <x:row r="816">
      <x:c r="A816" t="str">
        <x:v>G0813</x:v>
      </x:c>
      <x:c r="B816" t="str">
        <x:v>Bảng 8</x:v>
      </x:c>
      <x:c r="C816" t="str">
        <x:v>exact grid</x:v>
      </x:c>
      <x:c r="D816" t="str">
        <x:v>EXACT</x:v>
      </x:c>
      <x:c r="E816" t="str">
        <x:v>{"z":12,"IL":0.5}</x:v>
      </x:c>
      <x:c r="F816" t="str">
        <x:v>EXACT</x:v>
      </x:c>
      <x:c r="G816"/>
      <x:c r="H816"/>
      <x:c r="I816"/>
      <x:c r="J816"/>
      <x:c r="K816"/>
      <x:c r="L816"/>
      <x:c r="M816" t="n">
        <x:v>800</x:v>
      </x:c>
      <x:c r="N816"/>
      <x:c r="O816"/>
      <x:c r="P816"/>
      <x:c r="Q816"/>
      <x:c r="R816"/>
      <x:c r="S816" t="n">
        <x:v>800</x:v>
      </x:c>
      <x:c r="T816" t="n">
        <x:v>800</x:v>
      </x:c>
      <x:c r="U816" s="28" t="n">
        <x:f>T816</x:f>
        <x:v>800</x:v>
      </x:c>
      <x:c r="V816" s="32" t="n">
        <x:f>IF(AND(ISNUMBER(S816),ISNUMBER(U816)),ABS(S816-U816),IF(S816=U816,0,1))</x:f>
        <x:v>0</x:v>
      </x:c>
      <x:c r="W816" s="30" t="str">
        <x:v>PASS</x:v>
      </x:c>
      <x:c r="X816" s="28" t="str">
        <x:f>IF(V816&lt;=1E-9,"PASS","FAIL")</x:f>
        <x:v>PASS</x:v>
      </x:c>
      <x:c r="Y816" t="str">
        <x:v>tr.41–42</x:v>
      </x:c>
      <x:c r="Z816" t="str"/>
    </x:row>
    <x:row r="817">
      <x:c r="A817" t="str">
        <x:v>G0814</x:v>
      </x:c>
      <x:c r="B817" t="str">
        <x:v>Bảng 8</x:v>
      </x:c>
      <x:c r="C817" t="str">
        <x:v>exact grid</x:v>
      </x:c>
      <x:c r="D817" t="str">
        <x:v>EXACT</x:v>
      </x:c>
      <x:c r="E817" t="str">
        <x:v>{"z":12,"IL":0.6}</x:v>
      </x:c>
      <x:c r="F817" t="str">
        <x:v>EXACT</x:v>
      </x:c>
      <x:c r="G817"/>
      <x:c r="H817"/>
      <x:c r="I817"/>
      <x:c r="J817"/>
      <x:c r="K817"/>
      <x:c r="L817"/>
      <x:c r="M817" t="n">
        <x:v>700</x:v>
      </x:c>
      <x:c r="N817"/>
      <x:c r="O817"/>
      <x:c r="P817"/>
      <x:c r="Q817"/>
      <x:c r="R817"/>
      <x:c r="S817" t="n">
        <x:v>700</x:v>
      </x:c>
      <x:c r="T817" t="n">
        <x:v>700</x:v>
      </x:c>
      <x:c r="U817" s="28" t="n">
        <x:f>T817</x:f>
        <x:v>700</x:v>
      </x:c>
      <x:c r="V817" s="32" t="n">
        <x:f>IF(AND(ISNUMBER(S817),ISNUMBER(U817)),ABS(S817-U817),IF(S817=U817,0,1))</x:f>
        <x:v>0</x:v>
      </x:c>
      <x:c r="W817" s="30" t="str">
        <x:v>PASS</x:v>
      </x:c>
      <x:c r="X817" s="28" t="str">
        <x:f>IF(V817&lt;=1E-9,"PASS","FAIL")</x:f>
        <x:v>PASS</x:v>
      </x:c>
      <x:c r="Y817" t="str">
        <x:v>tr.41–42</x:v>
      </x:c>
      <x:c r="Z817" t="str"/>
    </x:row>
    <x:row r="818">
      <x:c r="A818" t="str">
        <x:v>G0815</x:v>
      </x:c>
      <x:c r="B818" t="str">
        <x:v>Bảng 8</x:v>
      </x:c>
      <x:c r="C818" t="str">
        <x:v>exact grid</x:v>
      </x:c>
      <x:c r="D818" t="str">
        <x:v>EXACT</x:v>
      </x:c>
      <x:c r="E818" t="str">
        <x:v>{"z":15,"IL":0}</x:v>
      </x:c>
      <x:c r="F818" t="str">
        <x:v>EXACT</x:v>
      </x:c>
      <x:c r="G818"/>
      <x:c r="H818"/>
      <x:c r="I818"/>
      <x:c r="J818"/>
      <x:c r="K818"/>
      <x:c r="L818"/>
      <x:c r="M818" t="n">
        <x:v>1800</x:v>
      </x:c>
      <x:c r="N818"/>
      <x:c r="O818"/>
      <x:c r="P818"/>
      <x:c r="Q818"/>
      <x:c r="R818"/>
      <x:c r="S818" t="n">
        <x:v>1800</x:v>
      </x:c>
      <x:c r="T818" t="n">
        <x:v>1800</x:v>
      </x:c>
      <x:c r="U818" s="28" t="n">
        <x:f>T818</x:f>
        <x:v>1800</x:v>
      </x:c>
      <x:c r="V818" s="32" t="n">
        <x:f>IF(AND(ISNUMBER(S818),ISNUMBER(U818)),ABS(S818-U818),IF(S818=U818,0,1))</x:f>
        <x:v>0</x:v>
      </x:c>
      <x:c r="W818" s="30" t="str">
        <x:v>PASS</x:v>
      </x:c>
      <x:c r="X818" s="28" t="str">
        <x:f>IF(V818&lt;=1E-9,"PASS","FAIL")</x:f>
        <x:v>PASS</x:v>
      </x:c>
      <x:c r="Y818" t="str">
        <x:v>tr.41–42</x:v>
      </x:c>
      <x:c r="Z818" t="str"/>
    </x:row>
    <x:row r="819">
      <x:c r="A819" t="str">
        <x:v>G0816</x:v>
      </x:c>
      <x:c r="B819" t="str">
        <x:v>Bảng 8</x:v>
      </x:c>
      <x:c r="C819" t="str">
        <x:v>exact grid</x:v>
      </x:c>
      <x:c r="D819" t="str">
        <x:v>EXACT</x:v>
      </x:c>
      <x:c r="E819" t="str">
        <x:v>{"z":15,"IL":0.1}</x:v>
      </x:c>
      <x:c r="F819" t="str">
        <x:v>EXACT</x:v>
      </x:c>
      <x:c r="G819"/>
      <x:c r="H819"/>
      <x:c r="I819"/>
      <x:c r="J819"/>
      <x:c r="K819"/>
      <x:c r="L819"/>
      <x:c r="M819" t="n">
        <x:v>1650</x:v>
      </x:c>
      <x:c r="N819"/>
      <x:c r="O819"/>
      <x:c r="P819"/>
      <x:c r="Q819"/>
      <x:c r="R819"/>
      <x:c r="S819" t="n">
        <x:v>1650</x:v>
      </x:c>
      <x:c r="T819" t="n">
        <x:v>1650</x:v>
      </x:c>
      <x:c r="U819" s="28" t="n">
        <x:f>T819</x:f>
        <x:v>1650</x:v>
      </x:c>
      <x:c r="V819" s="32" t="n">
        <x:f>IF(AND(ISNUMBER(S819),ISNUMBER(U819)),ABS(S819-U819),IF(S819=U819,0,1))</x:f>
        <x:v>0</x:v>
      </x:c>
      <x:c r="W819" s="30" t="str">
        <x:v>PASS</x:v>
      </x:c>
      <x:c r="X819" s="28" t="str">
        <x:f>IF(V819&lt;=1E-9,"PASS","FAIL")</x:f>
        <x:v>PASS</x:v>
      </x:c>
      <x:c r="Y819" t="str">
        <x:v>tr.41–42</x:v>
      </x:c>
      <x:c r="Z819" t="str"/>
    </x:row>
    <x:row r="820">
      <x:c r="A820" t="str">
        <x:v>G0817</x:v>
      </x:c>
      <x:c r="B820" t="str">
        <x:v>Bảng 8</x:v>
      </x:c>
      <x:c r="C820" t="str">
        <x:v>exact grid</x:v>
      </x:c>
      <x:c r="D820" t="str">
        <x:v>EXACT</x:v>
      </x:c>
      <x:c r="E820" t="str">
        <x:v>{"z":15,"IL":0.2}</x:v>
      </x:c>
      <x:c r="F820" t="str">
        <x:v>EXACT</x:v>
      </x:c>
      <x:c r="G820"/>
      <x:c r="H820"/>
      <x:c r="I820"/>
      <x:c r="J820"/>
      <x:c r="K820"/>
      <x:c r="L820"/>
      <x:c r="M820" t="n">
        <x:v>1500</x:v>
      </x:c>
      <x:c r="N820"/>
      <x:c r="O820"/>
      <x:c r="P820"/>
      <x:c r="Q820"/>
      <x:c r="R820"/>
      <x:c r="S820" t="n">
        <x:v>1500</x:v>
      </x:c>
      <x:c r="T820" t="n">
        <x:v>1500</x:v>
      </x:c>
      <x:c r="U820" s="28" t="n">
        <x:f>T820</x:f>
        <x:v>1500</x:v>
      </x:c>
      <x:c r="V820" s="32" t="n">
        <x:f>IF(AND(ISNUMBER(S820),ISNUMBER(U820)),ABS(S820-U820),IF(S820=U820,0,1))</x:f>
        <x:v>0</x:v>
      </x:c>
      <x:c r="W820" s="30" t="str">
        <x:v>PASS</x:v>
      </x:c>
      <x:c r="X820" s="28" t="str">
        <x:f>IF(V820&lt;=1E-9,"PASS","FAIL")</x:f>
        <x:v>PASS</x:v>
      </x:c>
      <x:c r="Y820" t="str">
        <x:v>tr.41–42</x:v>
      </x:c>
      <x:c r="Z820" t="str"/>
    </x:row>
    <x:row r="821">
      <x:c r="A821" t="str">
        <x:v>G0818</x:v>
      </x:c>
      <x:c r="B821" t="str">
        <x:v>Bảng 8</x:v>
      </x:c>
      <x:c r="C821" t="str">
        <x:v>exact grid</x:v>
      </x:c>
      <x:c r="D821" t="str">
        <x:v>EXACT</x:v>
      </x:c>
      <x:c r="E821" t="str">
        <x:v>{"z":15,"IL":0.3}</x:v>
      </x:c>
      <x:c r="F821" t="str">
        <x:v>EXACT</x:v>
      </x:c>
      <x:c r="G821"/>
      <x:c r="H821"/>
      <x:c r="I821"/>
      <x:c r="J821"/>
      <x:c r="K821"/>
      <x:c r="L821"/>
      <x:c r="M821" t="n">
        <x:v>1300</x:v>
      </x:c>
      <x:c r="N821"/>
      <x:c r="O821"/>
      <x:c r="P821"/>
      <x:c r="Q821"/>
      <x:c r="R821"/>
      <x:c r="S821" t="n">
        <x:v>1300</x:v>
      </x:c>
      <x:c r="T821" t="n">
        <x:v>1300</x:v>
      </x:c>
      <x:c r="U821" s="28" t="n">
        <x:f>T821</x:f>
        <x:v>1300</x:v>
      </x:c>
      <x:c r="V821" s="32" t="n">
        <x:f>IF(AND(ISNUMBER(S821),ISNUMBER(U821)),ABS(S821-U821),IF(S821=U821,0,1))</x:f>
        <x:v>0</x:v>
      </x:c>
      <x:c r="W821" s="30" t="str">
        <x:v>PASS</x:v>
      </x:c>
      <x:c r="X821" s="28" t="str">
        <x:f>IF(V821&lt;=1E-9,"PASS","FAIL")</x:f>
        <x:v>PASS</x:v>
      </x:c>
      <x:c r="Y821" t="str">
        <x:v>tr.41–42</x:v>
      </x:c>
      <x:c r="Z821" t="str"/>
    </x:row>
    <x:row r="822">
      <x:c r="A822" t="str">
        <x:v>G0819</x:v>
      </x:c>
      <x:c r="B822" t="str">
        <x:v>Bảng 8</x:v>
      </x:c>
      <x:c r="C822" t="str">
        <x:v>exact grid</x:v>
      </x:c>
      <x:c r="D822" t="str">
        <x:v>EXACT</x:v>
      </x:c>
      <x:c r="E822" t="str">
        <x:v>{"z":15,"IL":0.4}</x:v>
      </x:c>
      <x:c r="F822" t="str">
        <x:v>EXACT</x:v>
      </x:c>
      <x:c r="G822"/>
      <x:c r="H822"/>
      <x:c r="I822"/>
      <x:c r="J822"/>
      <x:c r="K822"/>
      <x:c r="L822"/>
      <x:c r="M822" t="n">
        <x:v>1100</x:v>
      </x:c>
      <x:c r="N822"/>
      <x:c r="O822"/>
      <x:c r="P822"/>
      <x:c r="Q822"/>
      <x:c r="R822"/>
      <x:c r="S822" t="n">
        <x:v>1100</x:v>
      </x:c>
      <x:c r="T822" t="n">
        <x:v>1100</x:v>
      </x:c>
      <x:c r="U822" s="28" t="n">
        <x:f>T822</x:f>
        <x:v>1100</x:v>
      </x:c>
      <x:c r="V822" s="32" t="n">
        <x:f>IF(AND(ISNUMBER(S822),ISNUMBER(U822)),ABS(S822-U822),IF(S822=U822,0,1))</x:f>
        <x:v>0</x:v>
      </x:c>
      <x:c r="W822" s="30" t="str">
        <x:v>PASS</x:v>
      </x:c>
      <x:c r="X822" s="28" t="str">
        <x:f>IF(V822&lt;=1E-9,"PASS","FAIL")</x:f>
        <x:v>PASS</x:v>
      </x:c>
      <x:c r="Y822" t="str">
        <x:v>tr.41–42</x:v>
      </x:c>
      <x:c r="Z822" t="str"/>
    </x:row>
    <x:row r="823">
      <x:c r="A823" t="str">
        <x:v>G0820</x:v>
      </x:c>
      <x:c r="B823" t="str">
        <x:v>Bảng 8</x:v>
      </x:c>
      <x:c r="C823" t="str">
        <x:v>exact grid</x:v>
      </x:c>
      <x:c r="D823" t="str">
        <x:v>EXACT</x:v>
      </x:c>
      <x:c r="E823" t="str">
        <x:v>{"z":15,"IL":0.5}</x:v>
      </x:c>
      <x:c r="F823" t="str">
        <x:v>EXACT</x:v>
      </x:c>
      <x:c r="G823"/>
      <x:c r="H823"/>
      <x:c r="I823"/>
      <x:c r="J823"/>
      <x:c r="K823"/>
      <x:c r="L823"/>
      <x:c r="M823" t="n">
        <x:v>1000</x:v>
      </x:c>
      <x:c r="N823"/>
      <x:c r="O823"/>
      <x:c r="P823"/>
      <x:c r="Q823"/>
      <x:c r="R823"/>
      <x:c r="S823" t="n">
        <x:v>1000</x:v>
      </x:c>
      <x:c r="T823" t="n">
        <x:v>1000</x:v>
      </x:c>
      <x:c r="U823" s="28" t="n">
        <x:f>T823</x:f>
        <x:v>1000</x:v>
      </x:c>
      <x:c r="V823" s="32" t="n">
        <x:f>IF(AND(ISNUMBER(S823),ISNUMBER(U823)),ABS(S823-U823),IF(S823=U823,0,1))</x:f>
        <x:v>0</x:v>
      </x:c>
      <x:c r="W823" s="30" t="str">
        <x:v>PASS</x:v>
      </x:c>
      <x:c r="X823" s="28" t="str">
        <x:f>IF(V823&lt;=1E-9,"PASS","FAIL")</x:f>
        <x:v>PASS</x:v>
      </x:c>
      <x:c r="Y823" t="str">
        <x:v>tr.41–42</x:v>
      </x:c>
      <x:c r="Z823" t="str"/>
    </x:row>
    <x:row r="824">
      <x:c r="A824" t="str">
        <x:v>G0821</x:v>
      </x:c>
      <x:c r="B824" t="str">
        <x:v>Bảng 8</x:v>
      </x:c>
      <x:c r="C824" t="str">
        <x:v>exact grid</x:v>
      </x:c>
      <x:c r="D824" t="str">
        <x:v>EXACT</x:v>
      </x:c>
      <x:c r="E824" t="str">
        <x:v>{"z":15,"IL":0.6}</x:v>
      </x:c>
      <x:c r="F824" t="str">
        <x:v>EXACT</x:v>
      </x:c>
      <x:c r="G824"/>
      <x:c r="H824"/>
      <x:c r="I824"/>
      <x:c r="J824"/>
      <x:c r="K824"/>
      <x:c r="L824"/>
      <x:c r="M824" t="n">
        <x:v>800</x:v>
      </x:c>
      <x:c r="N824"/>
      <x:c r="O824"/>
      <x:c r="P824"/>
      <x:c r="Q824"/>
      <x:c r="R824"/>
      <x:c r="S824" t="n">
        <x:v>800</x:v>
      </x:c>
      <x:c r="T824" t="n">
        <x:v>800</x:v>
      </x:c>
      <x:c r="U824" s="28" t="n">
        <x:f>T824</x:f>
        <x:v>800</x:v>
      </x:c>
      <x:c r="V824" s="32" t="n">
        <x:f>IF(AND(ISNUMBER(S824),ISNUMBER(U824)),ABS(S824-U824),IF(S824=U824,0,1))</x:f>
        <x:v>0</x:v>
      </x:c>
      <x:c r="W824" s="30" t="str">
        <x:v>PASS</x:v>
      </x:c>
      <x:c r="X824" s="28" t="str">
        <x:f>IF(V824&lt;=1E-9,"PASS","FAIL")</x:f>
        <x:v>PASS</x:v>
      </x:c>
      <x:c r="Y824" t="str">
        <x:v>tr.41–42</x:v>
      </x:c>
      <x:c r="Z824" t="str"/>
    </x:row>
    <x:row r="825">
      <x:c r="A825" t="str">
        <x:v>G0822</x:v>
      </x:c>
      <x:c r="B825" t="str">
        <x:v>Bảng 8</x:v>
      </x:c>
      <x:c r="C825" t="str">
        <x:v>exact grid</x:v>
      </x:c>
      <x:c r="D825" t="str">
        <x:v>EXACT</x:v>
      </x:c>
      <x:c r="E825" t="str">
        <x:v>{"z":18,"IL":0}</x:v>
      </x:c>
      <x:c r="F825" t="str">
        <x:v>EXACT</x:v>
      </x:c>
      <x:c r="G825"/>
      <x:c r="H825"/>
      <x:c r="I825"/>
      <x:c r="J825"/>
      <x:c r="K825"/>
      <x:c r="L825"/>
      <x:c r="M825" t="n">
        <x:v>2100</x:v>
      </x:c>
      <x:c r="N825"/>
      <x:c r="O825"/>
      <x:c r="P825"/>
      <x:c r="Q825"/>
      <x:c r="R825"/>
      <x:c r="S825" t="n">
        <x:v>2100</x:v>
      </x:c>
      <x:c r="T825" t="n">
        <x:v>2100</x:v>
      </x:c>
      <x:c r="U825" s="28" t="n">
        <x:f>T825</x:f>
        <x:v>2100</x:v>
      </x:c>
      <x:c r="V825" s="32" t="n">
        <x:f>IF(AND(ISNUMBER(S825),ISNUMBER(U825)),ABS(S825-U825),IF(S825=U825,0,1))</x:f>
        <x:v>0</x:v>
      </x:c>
      <x:c r="W825" s="30" t="str">
        <x:v>PASS</x:v>
      </x:c>
      <x:c r="X825" s="28" t="str">
        <x:f>IF(V825&lt;=1E-9,"PASS","FAIL")</x:f>
        <x:v>PASS</x:v>
      </x:c>
      <x:c r="Y825" t="str">
        <x:v>tr.41–42</x:v>
      </x:c>
      <x:c r="Z825" t="str"/>
    </x:row>
    <x:row r="826">
      <x:c r="A826" t="str">
        <x:v>G0823</x:v>
      </x:c>
      <x:c r="B826" t="str">
        <x:v>Bảng 8</x:v>
      </x:c>
      <x:c r="C826" t="str">
        <x:v>exact grid</x:v>
      </x:c>
      <x:c r="D826" t="str">
        <x:v>EXACT</x:v>
      </x:c>
      <x:c r="E826" t="str">
        <x:v>{"z":18,"IL":0.1}</x:v>
      </x:c>
      <x:c r="F826" t="str">
        <x:v>EXACT</x:v>
      </x:c>
      <x:c r="G826"/>
      <x:c r="H826"/>
      <x:c r="I826"/>
      <x:c r="J826"/>
      <x:c r="K826"/>
      <x:c r="L826"/>
      <x:c r="M826" t="n">
        <x:v>1900</x:v>
      </x:c>
      <x:c r="N826"/>
      <x:c r="O826"/>
      <x:c r="P826"/>
      <x:c r="Q826"/>
      <x:c r="R826"/>
      <x:c r="S826" t="n">
        <x:v>1900</x:v>
      </x:c>
      <x:c r="T826" t="n">
        <x:v>1900</x:v>
      </x:c>
      <x:c r="U826" s="28" t="n">
        <x:f>T826</x:f>
        <x:v>1900</x:v>
      </x:c>
      <x:c r="V826" s="32" t="n">
        <x:f>IF(AND(ISNUMBER(S826),ISNUMBER(U826)),ABS(S826-U826),IF(S826=U826,0,1))</x:f>
        <x:v>0</x:v>
      </x:c>
      <x:c r="W826" s="30" t="str">
        <x:v>PASS</x:v>
      </x:c>
      <x:c r="X826" s="28" t="str">
        <x:f>IF(V826&lt;=1E-9,"PASS","FAIL")</x:f>
        <x:v>PASS</x:v>
      </x:c>
      <x:c r="Y826" t="str">
        <x:v>tr.41–42</x:v>
      </x:c>
      <x:c r="Z826" t="str"/>
    </x:row>
    <x:row r="827">
      <x:c r="A827" t="str">
        <x:v>G0824</x:v>
      </x:c>
      <x:c r="B827" t="str">
        <x:v>Bảng 8</x:v>
      </x:c>
      <x:c r="C827" t="str">
        <x:v>exact grid</x:v>
      </x:c>
      <x:c r="D827" t="str">
        <x:v>EXACT</x:v>
      </x:c>
      <x:c r="E827" t="str">
        <x:v>{"z":18,"IL":0.2}</x:v>
      </x:c>
      <x:c r="F827" t="str">
        <x:v>EXACT</x:v>
      </x:c>
      <x:c r="G827"/>
      <x:c r="H827"/>
      <x:c r="I827"/>
      <x:c r="J827"/>
      <x:c r="K827"/>
      <x:c r="L827"/>
      <x:c r="M827" t="n">
        <x:v>1700</x:v>
      </x:c>
      <x:c r="N827"/>
      <x:c r="O827"/>
      <x:c r="P827"/>
      <x:c r="Q827"/>
      <x:c r="R827"/>
      <x:c r="S827" t="n">
        <x:v>1700</x:v>
      </x:c>
      <x:c r="T827" t="n">
        <x:v>1700</x:v>
      </x:c>
      <x:c r="U827" s="28" t="n">
        <x:f>T827</x:f>
        <x:v>1700</x:v>
      </x:c>
      <x:c r="V827" s="32" t="n">
        <x:f>IF(AND(ISNUMBER(S827),ISNUMBER(U827)),ABS(S827-U827),IF(S827=U827,0,1))</x:f>
        <x:v>0</x:v>
      </x:c>
      <x:c r="W827" s="30" t="str">
        <x:v>PASS</x:v>
      </x:c>
      <x:c r="X827" s="28" t="str">
        <x:f>IF(V827&lt;=1E-9,"PASS","FAIL")</x:f>
        <x:v>PASS</x:v>
      </x:c>
      <x:c r="Y827" t="str">
        <x:v>tr.41–42</x:v>
      </x:c>
      <x:c r="Z827" t="str"/>
    </x:row>
    <x:row r="828">
      <x:c r="A828" t="str">
        <x:v>G0825</x:v>
      </x:c>
      <x:c r="B828" t="str">
        <x:v>Bảng 8</x:v>
      </x:c>
      <x:c r="C828" t="str">
        <x:v>exact grid</x:v>
      </x:c>
      <x:c r="D828" t="str">
        <x:v>EXACT</x:v>
      </x:c>
      <x:c r="E828" t="str">
        <x:v>{"z":18,"IL":0.3}</x:v>
      </x:c>
      <x:c r="F828" t="str">
        <x:v>EXACT</x:v>
      </x:c>
      <x:c r="G828"/>
      <x:c r="H828"/>
      <x:c r="I828"/>
      <x:c r="J828"/>
      <x:c r="K828"/>
      <x:c r="L828"/>
      <x:c r="M828" t="n">
        <x:v>1500</x:v>
      </x:c>
      <x:c r="N828"/>
      <x:c r="O828"/>
      <x:c r="P828"/>
      <x:c r="Q828"/>
      <x:c r="R828"/>
      <x:c r="S828" t="n">
        <x:v>1500</x:v>
      </x:c>
      <x:c r="T828" t="n">
        <x:v>1500</x:v>
      </x:c>
      <x:c r="U828" s="28" t="n">
        <x:f>T828</x:f>
        <x:v>1500</x:v>
      </x:c>
      <x:c r="V828" s="32" t="n">
        <x:f>IF(AND(ISNUMBER(S828),ISNUMBER(U828)),ABS(S828-U828),IF(S828=U828,0,1))</x:f>
        <x:v>0</x:v>
      </x:c>
      <x:c r="W828" s="30" t="str">
        <x:v>PASS</x:v>
      </x:c>
      <x:c r="X828" s="28" t="str">
        <x:f>IF(V828&lt;=1E-9,"PASS","FAIL")</x:f>
        <x:v>PASS</x:v>
      </x:c>
      <x:c r="Y828" t="str">
        <x:v>tr.41–42</x:v>
      </x:c>
      <x:c r="Z828" t="str"/>
    </x:row>
    <x:row r="829">
      <x:c r="A829" t="str">
        <x:v>G0826</x:v>
      </x:c>
      <x:c r="B829" t="str">
        <x:v>Bảng 8</x:v>
      </x:c>
      <x:c r="C829" t="str">
        <x:v>exact grid</x:v>
      </x:c>
      <x:c r="D829" t="str">
        <x:v>EXACT</x:v>
      </x:c>
      <x:c r="E829" t="str">
        <x:v>{"z":18,"IL":0.4}</x:v>
      </x:c>
      <x:c r="F829" t="str">
        <x:v>EXACT</x:v>
      </x:c>
      <x:c r="G829"/>
      <x:c r="H829"/>
      <x:c r="I829"/>
      <x:c r="J829"/>
      <x:c r="K829"/>
      <x:c r="L829"/>
      <x:c r="M829" t="n">
        <x:v>1300</x:v>
      </x:c>
      <x:c r="N829"/>
      <x:c r="O829"/>
      <x:c r="P829"/>
      <x:c r="Q829"/>
      <x:c r="R829"/>
      <x:c r="S829" t="n">
        <x:v>1300</x:v>
      </x:c>
      <x:c r="T829" t="n">
        <x:v>1300</x:v>
      </x:c>
      <x:c r="U829" s="28" t="n">
        <x:f>T829</x:f>
        <x:v>1300</x:v>
      </x:c>
      <x:c r="V829" s="32" t="n">
        <x:f>IF(AND(ISNUMBER(S829),ISNUMBER(U829)),ABS(S829-U829),IF(S829=U829,0,1))</x:f>
        <x:v>0</x:v>
      </x:c>
      <x:c r="W829" s="30" t="str">
        <x:v>PASS</x:v>
      </x:c>
      <x:c r="X829" s="28" t="str">
        <x:f>IF(V829&lt;=1E-9,"PASS","FAIL")</x:f>
        <x:v>PASS</x:v>
      </x:c>
      <x:c r="Y829" t="str">
        <x:v>tr.41–42</x:v>
      </x:c>
      <x:c r="Z829" t="str"/>
    </x:row>
    <x:row r="830">
      <x:c r="A830" t="str">
        <x:v>G0827</x:v>
      </x:c>
      <x:c r="B830" t="str">
        <x:v>Bảng 8</x:v>
      </x:c>
      <x:c r="C830" t="str">
        <x:v>exact grid</x:v>
      </x:c>
      <x:c r="D830" t="str">
        <x:v>EXACT</x:v>
      </x:c>
      <x:c r="E830" t="str">
        <x:v>{"z":18,"IL":0.5}</x:v>
      </x:c>
      <x:c r="F830" t="str">
        <x:v>EXACT</x:v>
      </x:c>
      <x:c r="G830"/>
      <x:c r="H830"/>
      <x:c r="I830"/>
      <x:c r="J830"/>
      <x:c r="K830"/>
      <x:c r="L830"/>
      <x:c r="M830" t="n">
        <x:v>1150</x:v>
      </x:c>
      <x:c r="N830"/>
      <x:c r="O830"/>
      <x:c r="P830"/>
      <x:c r="Q830"/>
      <x:c r="R830"/>
      <x:c r="S830" t="n">
        <x:v>1150</x:v>
      </x:c>
      <x:c r="T830" t="n">
        <x:v>1150</x:v>
      </x:c>
      <x:c r="U830" s="28" t="n">
        <x:f>T830</x:f>
        <x:v>1150</x:v>
      </x:c>
      <x:c r="V830" s="32" t="n">
        <x:f>IF(AND(ISNUMBER(S830),ISNUMBER(U830)),ABS(S830-U830),IF(S830=U830,0,1))</x:f>
        <x:v>0</x:v>
      </x:c>
      <x:c r="W830" s="30" t="str">
        <x:v>PASS</x:v>
      </x:c>
      <x:c r="X830" s="28" t="str">
        <x:f>IF(V830&lt;=1E-9,"PASS","FAIL")</x:f>
        <x:v>PASS</x:v>
      </x:c>
      <x:c r="Y830" t="str">
        <x:v>tr.41–42</x:v>
      </x:c>
      <x:c r="Z830" t="str"/>
    </x:row>
    <x:row r="831">
      <x:c r="A831" t="str">
        <x:v>G0828</x:v>
      </x:c>
      <x:c r="B831" t="str">
        <x:v>Bảng 8</x:v>
      </x:c>
      <x:c r="C831" t="str">
        <x:v>exact grid</x:v>
      </x:c>
      <x:c r="D831" t="str">
        <x:v>EXACT</x:v>
      </x:c>
      <x:c r="E831" t="str">
        <x:v>{"z":18,"IL":0.6}</x:v>
      </x:c>
      <x:c r="F831" t="str">
        <x:v>EXACT</x:v>
      </x:c>
      <x:c r="G831"/>
      <x:c r="H831"/>
      <x:c r="I831"/>
      <x:c r="J831"/>
      <x:c r="K831"/>
      <x:c r="L831"/>
      <x:c r="M831" t="n">
        <x:v>950</x:v>
      </x:c>
      <x:c r="N831"/>
      <x:c r="O831"/>
      <x:c r="P831"/>
      <x:c r="Q831"/>
      <x:c r="R831"/>
      <x:c r="S831" t="n">
        <x:v>950</x:v>
      </x:c>
      <x:c r="T831" t="n">
        <x:v>950</x:v>
      </x:c>
      <x:c r="U831" s="28" t="n">
        <x:f>T831</x:f>
        <x:v>950</x:v>
      </x:c>
      <x:c r="V831" s="32" t="n">
        <x:f>IF(AND(ISNUMBER(S831),ISNUMBER(U831)),ABS(S831-U831),IF(S831=U831,0,1))</x:f>
        <x:v>0</x:v>
      </x:c>
      <x:c r="W831" s="30" t="str">
        <x:v>PASS</x:v>
      </x:c>
      <x:c r="X831" s="28" t="str">
        <x:f>IF(V831&lt;=1E-9,"PASS","FAIL")</x:f>
        <x:v>PASS</x:v>
      </x:c>
      <x:c r="Y831" t="str">
        <x:v>tr.41–42</x:v>
      </x:c>
      <x:c r="Z831" t="str"/>
    </x:row>
    <x:row r="832">
      <x:c r="A832" t="str">
        <x:v>G0829</x:v>
      </x:c>
      <x:c r="B832" t="str">
        <x:v>Bảng 8</x:v>
      </x:c>
      <x:c r="C832" t="str">
        <x:v>exact grid</x:v>
      </x:c>
      <x:c r="D832" t="str">
        <x:v>EXACT</x:v>
      </x:c>
      <x:c r="E832" t="str">
        <x:v>{"z":20,"IL":0}</x:v>
      </x:c>
      <x:c r="F832" t="str">
        <x:v>EXACT</x:v>
      </x:c>
      <x:c r="G832"/>
      <x:c r="H832"/>
      <x:c r="I832"/>
      <x:c r="J832"/>
      <x:c r="K832"/>
      <x:c r="L832"/>
      <x:c r="M832" t="n">
        <x:v>2300</x:v>
      </x:c>
      <x:c r="N832"/>
      <x:c r="O832"/>
      <x:c r="P832"/>
      <x:c r="Q832"/>
      <x:c r="R832"/>
      <x:c r="S832" t="n">
        <x:v>2300</x:v>
      </x:c>
      <x:c r="T832" t="n">
        <x:v>2300</x:v>
      </x:c>
      <x:c r="U832" s="28" t="n">
        <x:f>T832</x:f>
        <x:v>2300</x:v>
      </x:c>
      <x:c r="V832" s="32" t="n">
        <x:f>IF(AND(ISNUMBER(S832),ISNUMBER(U832)),ABS(S832-U832),IF(S832=U832,0,1))</x:f>
        <x:v>0</x:v>
      </x:c>
      <x:c r="W832" s="30" t="str">
        <x:v>PASS</x:v>
      </x:c>
      <x:c r="X832" s="28" t="str">
        <x:f>IF(V832&lt;=1E-9,"PASS","FAIL")</x:f>
        <x:v>PASS</x:v>
      </x:c>
      <x:c r="Y832" t="str">
        <x:v>tr.41–42</x:v>
      </x:c>
      <x:c r="Z832" t="str"/>
    </x:row>
    <x:row r="833">
      <x:c r="A833" t="str">
        <x:v>G0830</x:v>
      </x:c>
      <x:c r="B833" t="str">
        <x:v>Bảng 8</x:v>
      </x:c>
      <x:c r="C833" t="str">
        <x:v>exact grid</x:v>
      </x:c>
      <x:c r="D833" t="str">
        <x:v>EXACT</x:v>
      </x:c>
      <x:c r="E833" t="str">
        <x:v>{"z":20,"IL":0.1}</x:v>
      </x:c>
      <x:c r="F833" t="str">
        <x:v>EXACT</x:v>
      </x:c>
      <x:c r="G833"/>
      <x:c r="H833"/>
      <x:c r="I833"/>
      <x:c r="J833"/>
      <x:c r="K833"/>
      <x:c r="L833"/>
      <x:c r="M833" t="n">
        <x:v>2100</x:v>
      </x:c>
      <x:c r="N833"/>
      <x:c r="O833"/>
      <x:c r="P833"/>
      <x:c r="Q833"/>
      <x:c r="R833"/>
      <x:c r="S833" t="n">
        <x:v>2100</x:v>
      </x:c>
      <x:c r="T833" t="n">
        <x:v>2100</x:v>
      </x:c>
      <x:c r="U833" s="28" t="n">
        <x:f>T833</x:f>
        <x:v>2100</x:v>
      </x:c>
      <x:c r="V833" s="32" t="n">
        <x:f>IF(AND(ISNUMBER(S833),ISNUMBER(U833)),ABS(S833-U833),IF(S833=U833,0,1))</x:f>
        <x:v>0</x:v>
      </x:c>
      <x:c r="W833" s="30" t="str">
        <x:v>PASS</x:v>
      </x:c>
      <x:c r="X833" s="28" t="str">
        <x:f>IF(V833&lt;=1E-9,"PASS","FAIL")</x:f>
        <x:v>PASS</x:v>
      </x:c>
      <x:c r="Y833" t="str">
        <x:v>tr.41–42</x:v>
      </x:c>
      <x:c r="Z833" t="str"/>
    </x:row>
    <x:row r="834">
      <x:c r="A834" t="str">
        <x:v>G0831</x:v>
      </x:c>
      <x:c r="B834" t="str">
        <x:v>Bảng 8</x:v>
      </x:c>
      <x:c r="C834" t="str">
        <x:v>exact grid</x:v>
      </x:c>
      <x:c r="D834" t="str">
        <x:v>EXACT</x:v>
      </x:c>
      <x:c r="E834" t="str">
        <x:v>{"z":20,"IL":0.2}</x:v>
      </x:c>
      <x:c r="F834" t="str">
        <x:v>EXACT</x:v>
      </x:c>
      <x:c r="G834"/>
      <x:c r="H834"/>
      <x:c r="I834"/>
      <x:c r="J834"/>
      <x:c r="K834"/>
      <x:c r="L834"/>
      <x:c r="M834" t="n">
        <x:v>1900</x:v>
      </x:c>
      <x:c r="N834"/>
      <x:c r="O834"/>
      <x:c r="P834"/>
      <x:c r="Q834"/>
      <x:c r="R834"/>
      <x:c r="S834" t="n">
        <x:v>1900</x:v>
      </x:c>
      <x:c r="T834" t="n">
        <x:v>1900</x:v>
      </x:c>
      <x:c r="U834" s="28" t="n">
        <x:f>T834</x:f>
        <x:v>1900</x:v>
      </x:c>
      <x:c r="V834" s="32" t="n">
        <x:f>IF(AND(ISNUMBER(S834),ISNUMBER(U834)),ABS(S834-U834),IF(S834=U834,0,1))</x:f>
        <x:v>0</x:v>
      </x:c>
      <x:c r="W834" s="30" t="str">
        <x:v>PASS</x:v>
      </x:c>
      <x:c r="X834" s="28" t="str">
        <x:f>IF(V834&lt;=1E-9,"PASS","FAIL")</x:f>
        <x:v>PASS</x:v>
      </x:c>
      <x:c r="Y834" t="str">
        <x:v>tr.41–42</x:v>
      </x:c>
      <x:c r="Z834" t="str"/>
    </x:row>
    <x:row r="835">
      <x:c r="A835" t="str">
        <x:v>G0832</x:v>
      </x:c>
      <x:c r="B835" t="str">
        <x:v>Bảng 8</x:v>
      </x:c>
      <x:c r="C835" t="str">
        <x:v>exact grid</x:v>
      </x:c>
      <x:c r="D835" t="str">
        <x:v>EXACT</x:v>
      </x:c>
      <x:c r="E835" t="str">
        <x:v>{"z":20,"IL":0.3}</x:v>
      </x:c>
      <x:c r="F835" t="str">
        <x:v>EXACT</x:v>
      </x:c>
      <x:c r="G835"/>
      <x:c r="H835"/>
      <x:c r="I835"/>
      <x:c r="J835"/>
      <x:c r="K835"/>
      <x:c r="L835"/>
      <x:c r="M835" t="n">
        <x:v>1650</x:v>
      </x:c>
      <x:c r="N835"/>
      <x:c r="O835"/>
      <x:c r="P835"/>
      <x:c r="Q835"/>
      <x:c r="R835"/>
      <x:c r="S835" t="n">
        <x:v>1650</x:v>
      </x:c>
      <x:c r="T835" t="n">
        <x:v>1650</x:v>
      </x:c>
      <x:c r="U835" s="28" t="n">
        <x:f>T835</x:f>
        <x:v>1650</x:v>
      </x:c>
      <x:c r="V835" s="32" t="n">
        <x:f>IF(AND(ISNUMBER(S835),ISNUMBER(U835)),ABS(S835-U835),IF(S835=U835,0,1))</x:f>
        <x:v>0</x:v>
      </x:c>
      <x:c r="W835" s="30" t="str">
        <x:v>PASS</x:v>
      </x:c>
      <x:c r="X835" s="28" t="str">
        <x:f>IF(V835&lt;=1E-9,"PASS","FAIL")</x:f>
        <x:v>PASS</x:v>
      </x:c>
      <x:c r="Y835" t="str">
        <x:v>tr.41–42</x:v>
      </x:c>
      <x:c r="Z835" t="str"/>
    </x:row>
    <x:row r="836">
      <x:c r="A836" t="str">
        <x:v>G0833</x:v>
      </x:c>
      <x:c r="B836" t="str">
        <x:v>Bảng 8</x:v>
      </x:c>
      <x:c r="C836" t="str">
        <x:v>exact grid</x:v>
      </x:c>
      <x:c r="D836" t="str">
        <x:v>EXACT</x:v>
      </x:c>
      <x:c r="E836" t="str">
        <x:v>{"z":20,"IL":0.4}</x:v>
      </x:c>
      <x:c r="F836" t="str">
        <x:v>EXACT</x:v>
      </x:c>
      <x:c r="G836"/>
      <x:c r="H836"/>
      <x:c r="I836"/>
      <x:c r="J836"/>
      <x:c r="K836"/>
      <x:c r="L836"/>
      <x:c r="M836" t="n">
        <x:v>1450</x:v>
      </x:c>
      <x:c r="N836"/>
      <x:c r="O836"/>
      <x:c r="P836"/>
      <x:c r="Q836"/>
      <x:c r="R836"/>
      <x:c r="S836" t="n">
        <x:v>1450</x:v>
      </x:c>
      <x:c r="T836" t="n">
        <x:v>1450</x:v>
      </x:c>
      <x:c r="U836" s="28" t="n">
        <x:f>T836</x:f>
        <x:v>1450</x:v>
      </x:c>
      <x:c r="V836" s="32" t="n">
        <x:f>IF(AND(ISNUMBER(S836),ISNUMBER(U836)),ABS(S836-U836),IF(S836=U836,0,1))</x:f>
        <x:v>0</x:v>
      </x:c>
      <x:c r="W836" s="30" t="str">
        <x:v>PASS</x:v>
      </x:c>
      <x:c r="X836" s="28" t="str">
        <x:f>IF(V836&lt;=1E-9,"PASS","FAIL")</x:f>
        <x:v>PASS</x:v>
      </x:c>
      <x:c r="Y836" t="str">
        <x:v>tr.41–42</x:v>
      </x:c>
      <x:c r="Z836" t="str"/>
    </x:row>
    <x:row r="837">
      <x:c r="A837" t="str">
        <x:v>G0834</x:v>
      </x:c>
      <x:c r="B837" t="str">
        <x:v>Bảng 8</x:v>
      </x:c>
      <x:c r="C837" t="str">
        <x:v>exact grid</x:v>
      </x:c>
      <x:c r="D837" t="str">
        <x:v>EXACT</x:v>
      </x:c>
      <x:c r="E837" t="str">
        <x:v>{"z":20,"IL":0.5}</x:v>
      </x:c>
      <x:c r="F837" t="str">
        <x:v>EXACT</x:v>
      </x:c>
      <x:c r="G837"/>
      <x:c r="H837"/>
      <x:c r="I837"/>
      <x:c r="J837"/>
      <x:c r="K837"/>
      <x:c r="L837"/>
      <x:c r="M837" t="n">
        <x:v>1250</x:v>
      </x:c>
      <x:c r="N837"/>
      <x:c r="O837"/>
      <x:c r="P837"/>
      <x:c r="Q837"/>
      <x:c r="R837"/>
      <x:c r="S837" t="n">
        <x:v>1250</x:v>
      </x:c>
      <x:c r="T837" t="n">
        <x:v>1250</x:v>
      </x:c>
      <x:c r="U837" s="28" t="n">
        <x:f>T837</x:f>
        <x:v>1250</x:v>
      </x:c>
      <x:c r="V837" s="32" t="n">
        <x:f>IF(AND(ISNUMBER(S837),ISNUMBER(U837)),ABS(S837-U837),IF(S837=U837,0,1))</x:f>
        <x:v>0</x:v>
      </x:c>
      <x:c r="W837" s="30" t="str">
        <x:v>PASS</x:v>
      </x:c>
      <x:c r="X837" s="28" t="str">
        <x:f>IF(V837&lt;=1E-9,"PASS","FAIL")</x:f>
        <x:v>PASS</x:v>
      </x:c>
      <x:c r="Y837" t="str">
        <x:v>tr.41–42</x:v>
      </x:c>
      <x:c r="Z837" t="str"/>
    </x:row>
    <x:row r="838">
      <x:c r="A838" t="str">
        <x:v>G0835</x:v>
      </x:c>
      <x:c r="B838" t="str">
        <x:v>Bảng 8</x:v>
      </x:c>
      <x:c r="C838" t="str">
        <x:v>exact grid</x:v>
      </x:c>
      <x:c r="D838" t="str">
        <x:v>EXACT</x:v>
      </x:c>
      <x:c r="E838" t="str">
        <x:v>{"z":20,"IL":0.6}</x:v>
      </x:c>
      <x:c r="F838" t="str">
        <x:v>EXACT</x:v>
      </x:c>
      <x:c r="G838"/>
      <x:c r="H838"/>
      <x:c r="I838"/>
      <x:c r="J838"/>
      <x:c r="K838"/>
      <x:c r="L838"/>
      <x:c r="M838" t="n">
        <x:v>1050</x:v>
      </x:c>
      <x:c r="N838"/>
      <x:c r="O838"/>
      <x:c r="P838"/>
      <x:c r="Q838"/>
      <x:c r="R838"/>
      <x:c r="S838" t="n">
        <x:v>1050</x:v>
      </x:c>
      <x:c r="T838" t="n">
        <x:v>1050</x:v>
      </x:c>
      <x:c r="U838" s="28" t="n">
        <x:f>T838</x:f>
        <x:v>1050</x:v>
      </x:c>
      <x:c r="V838" s="32" t="n">
        <x:f>IF(AND(ISNUMBER(S838),ISNUMBER(U838)),ABS(S838-U838),IF(S838=U838,0,1))</x:f>
        <x:v>0</x:v>
      </x:c>
      <x:c r="W838" s="30" t="str">
        <x:v>PASS</x:v>
      </x:c>
      <x:c r="X838" s="28" t="str">
        <x:f>IF(V838&lt;=1E-9,"PASS","FAIL")</x:f>
        <x:v>PASS</x:v>
      </x:c>
      <x:c r="Y838" t="str">
        <x:v>tr.41–42</x:v>
      </x:c>
      <x:c r="Z838" t="str"/>
    </x:row>
    <x:row r="839">
      <x:c r="A839" t="str">
        <x:v>G0836</x:v>
      </x:c>
      <x:c r="B839" t="str">
        <x:v>Bảng 8</x:v>
      </x:c>
      <x:c r="C839" t="str">
        <x:v>exact grid</x:v>
      </x:c>
      <x:c r="D839" t="str">
        <x:v>EXACT</x:v>
      </x:c>
      <x:c r="E839" t="str">
        <x:v>{"z":30,"IL":0}</x:v>
      </x:c>
      <x:c r="F839" t="str">
        <x:v>EXACT</x:v>
      </x:c>
      <x:c r="G839"/>
      <x:c r="H839"/>
      <x:c r="I839"/>
      <x:c r="J839"/>
      <x:c r="K839"/>
      <x:c r="L839"/>
      <x:c r="M839" t="n">
        <x:v>3300</x:v>
      </x:c>
      <x:c r="N839"/>
      <x:c r="O839"/>
      <x:c r="P839"/>
      <x:c r="Q839"/>
      <x:c r="R839"/>
      <x:c r="S839" t="n">
        <x:v>3300</x:v>
      </x:c>
      <x:c r="T839" t="n">
        <x:v>3300</x:v>
      </x:c>
      <x:c r="U839" s="28" t="n">
        <x:f>T839</x:f>
        <x:v>3300</x:v>
      </x:c>
      <x:c r="V839" s="32" t="n">
        <x:f>IF(AND(ISNUMBER(S839),ISNUMBER(U839)),ABS(S839-U839),IF(S839=U839,0,1))</x:f>
        <x:v>0</x:v>
      </x:c>
      <x:c r="W839" s="30" t="str">
        <x:v>PASS</x:v>
      </x:c>
      <x:c r="X839" s="28" t="str">
        <x:f>IF(V839&lt;=1E-9,"PASS","FAIL")</x:f>
        <x:v>PASS</x:v>
      </x:c>
      <x:c r="Y839" t="str">
        <x:v>tr.41–42</x:v>
      </x:c>
      <x:c r="Z839" t="str"/>
    </x:row>
    <x:row r="840">
      <x:c r="A840" t="str">
        <x:v>G0837</x:v>
      </x:c>
      <x:c r="B840" t="str">
        <x:v>Bảng 8</x:v>
      </x:c>
      <x:c r="C840" t="str">
        <x:v>exact grid</x:v>
      </x:c>
      <x:c r="D840" t="str">
        <x:v>EXACT</x:v>
      </x:c>
      <x:c r="E840" t="str">
        <x:v>{"z":30,"IL":0.1}</x:v>
      </x:c>
      <x:c r="F840" t="str">
        <x:v>EXACT</x:v>
      </x:c>
      <x:c r="G840"/>
      <x:c r="H840"/>
      <x:c r="I840"/>
      <x:c r="J840"/>
      <x:c r="K840"/>
      <x:c r="L840"/>
      <x:c r="M840" t="n">
        <x:v>3000</x:v>
      </x:c>
      <x:c r="N840"/>
      <x:c r="O840"/>
      <x:c r="P840"/>
      <x:c r="Q840"/>
      <x:c r="R840"/>
      <x:c r="S840" t="n">
        <x:v>3000</x:v>
      </x:c>
      <x:c r="T840" t="n">
        <x:v>3000</x:v>
      </x:c>
      <x:c r="U840" s="28" t="n">
        <x:f>T840</x:f>
        <x:v>3000</x:v>
      </x:c>
      <x:c r="V840" s="32" t="n">
        <x:f>IF(AND(ISNUMBER(S840),ISNUMBER(U840)),ABS(S840-U840),IF(S840=U840,0,1))</x:f>
        <x:v>0</x:v>
      </x:c>
      <x:c r="W840" s="30" t="str">
        <x:v>PASS</x:v>
      </x:c>
      <x:c r="X840" s="28" t="str">
        <x:f>IF(V840&lt;=1E-9,"PASS","FAIL")</x:f>
        <x:v>PASS</x:v>
      </x:c>
      <x:c r="Y840" t="str">
        <x:v>tr.41–42</x:v>
      </x:c>
      <x:c r="Z840" t="str"/>
    </x:row>
    <x:row r="841">
      <x:c r="A841" t="str">
        <x:v>G0838</x:v>
      </x:c>
      <x:c r="B841" t="str">
        <x:v>Bảng 8</x:v>
      </x:c>
      <x:c r="C841" t="str">
        <x:v>exact grid</x:v>
      </x:c>
      <x:c r="D841" t="str">
        <x:v>EXACT</x:v>
      </x:c>
      <x:c r="E841" t="str">
        <x:v>{"z":30,"IL":0.2}</x:v>
      </x:c>
      <x:c r="F841" t="str">
        <x:v>EXACT</x:v>
      </x:c>
      <x:c r="G841"/>
      <x:c r="H841"/>
      <x:c r="I841"/>
      <x:c r="J841"/>
      <x:c r="K841"/>
      <x:c r="L841"/>
      <x:c r="M841" t="n">
        <x:v>2600</x:v>
      </x:c>
      <x:c r="N841"/>
      <x:c r="O841"/>
      <x:c r="P841"/>
      <x:c r="Q841"/>
      <x:c r="R841"/>
      <x:c r="S841" t="n">
        <x:v>2600</x:v>
      </x:c>
      <x:c r="T841" t="n">
        <x:v>2600</x:v>
      </x:c>
      <x:c r="U841" s="28" t="n">
        <x:f>T841</x:f>
        <x:v>2600</x:v>
      </x:c>
      <x:c r="V841" s="32" t="n">
        <x:f>IF(AND(ISNUMBER(S841),ISNUMBER(U841)),ABS(S841-U841),IF(S841=U841,0,1))</x:f>
        <x:v>0</x:v>
      </x:c>
      <x:c r="W841" s="30" t="str">
        <x:v>PASS</x:v>
      </x:c>
      <x:c r="X841" s="28" t="str">
        <x:f>IF(V841&lt;=1E-9,"PASS","FAIL")</x:f>
        <x:v>PASS</x:v>
      </x:c>
      <x:c r="Y841" t="str">
        <x:v>tr.41–42</x:v>
      </x:c>
      <x:c r="Z841" t="str"/>
    </x:row>
    <x:row r="842">
      <x:c r="A842" t="str">
        <x:v>G0839</x:v>
      </x:c>
      <x:c r="B842" t="str">
        <x:v>Bảng 8</x:v>
      </x:c>
      <x:c r="C842" t="str">
        <x:v>exact grid</x:v>
      </x:c>
      <x:c r="D842" t="str">
        <x:v>EXACT</x:v>
      </x:c>
      <x:c r="E842" t="str">
        <x:v>{"z":30,"IL":0.3}</x:v>
      </x:c>
      <x:c r="F842" t="str">
        <x:v>EXACT</x:v>
      </x:c>
      <x:c r="G842"/>
      <x:c r="H842"/>
      <x:c r="I842"/>
      <x:c r="J842"/>
      <x:c r="K842"/>
      <x:c r="L842"/>
      <x:c r="M842" t="n">
        <x:v>2300</x:v>
      </x:c>
      <x:c r="N842"/>
      <x:c r="O842"/>
      <x:c r="P842"/>
      <x:c r="Q842"/>
      <x:c r="R842"/>
      <x:c r="S842" t="n">
        <x:v>2300</x:v>
      </x:c>
      <x:c r="T842" t="n">
        <x:v>2300</x:v>
      </x:c>
      <x:c r="U842" s="28" t="n">
        <x:f>T842</x:f>
        <x:v>2300</x:v>
      </x:c>
      <x:c r="V842" s="32" t="n">
        <x:f>IF(AND(ISNUMBER(S842),ISNUMBER(U842)),ABS(S842-U842),IF(S842=U842,0,1))</x:f>
        <x:v>0</x:v>
      </x:c>
      <x:c r="W842" s="30" t="str">
        <x:v>PASS</x:v>
      </x:c>
      <x:c r="X842" s="28" t="str">
        <x:f>IF(V842&lt;=1E-9,"PASS","FAIL")</x:f>
        <x:v>PASS</x:v>
      </x:c>
      <x:c r="Y842" t="str">
        <x:v>tr.41–42</x:v>
      </x:c>
      <x:c r="Z842" t="str"/>
    </x:row>
    <x:row r="843">
      <x:c r="A843" t="str">
        <x:v>G0840</x:v>
      </x:c>
      <x:c r="B843" t="str">
        <x:v>Bảng 8</x:v>
      </x:c>
      <x:c r="C843" t="str">
        <x:v>exact grid</x:v>
      </x:c>
      <x:c r="D843" t="str">
        <x:v>EXACT</x:v>
      </x:c>
      <x:c r="E843" t="str">
        <x:v>{"z":30,"IL":0.4}</x:v>
      </x:c>
      <x:c r="F843" t="str">
        <x:v>EXACT</x:v>
      </x:c>
      <x:c r="G843"/>
      <x:c r="H843"/>
      <x:c r="I843"/>
      <x:c r="J843"/>
      <x:c r="K843"/>
      <x:c r="L843"/>
      <x:c r="M843" t="n">
        <x:v>2000</x:v>
      </x:c>
      <x:c r="N843"/>
      <x:c r="O843"/>
      <x:c r="P843"/>
      <x:c r="Q843"/>
      <x:c r="R843"/>
      <x:c r="S843" t="n">
        <x:v>2000</x:v>
      </x:c>
      <x:c r="T843" t="n">
        <x:v>2000</x:v>
      </x:c>
      <x:c r="U843" s="28" t="n">
        <x:f>T843</x:f>
        <x:v>2000</x:v>
      </x:c>
      <x:c r="V843" s="32" t="n">
        <x:f>IF(AND(ISNUMBER(S843),ISNUMBER(U843)),ABS(S843-U843),IF(S843=U843,0,1))</x:f>
        <x:v>0</x:v>
      </x:c>
      <x:c r="W843" s="30" t="str">
        <x:v>PASS</x:v>
      </x:c>
      <x:c r="X843" s="28" t="str">
        <x:f>IF(V843&lt;=1E-9,"PASS","FAIL")</x:f>
        <x:v>PASS</x:v>
      </x:c>
      <x:c r="Y843" t="str">
        <x:v>tr.41–42</x:v>
      </x:c>
      <x:c r="Z843" t="str"/>
    </x:row>
    <x:row r="844">
      <x:c r="A844" t="str">
        <x:v>G0841</x:v>
      </x:c>
      <x:c r="B844" t="str">
        <x:v>Bảng 8</x:v>
      </x:c>
      <x:c r="C844" t="str">
        <x:v>exact grid</x:v>
      </x:c>
      <x:c r="D844" t="str">
        <x:v>EXACT</x:v>
      </x:c>
      <x:c r="E844" t="str">
        <x:v>{"z":40,"IL":0}</x:v>
      </x:c>
      <x:c r="F844" t="str">
        <x:v>EXACT</x:v>
      </x:c>
      <x:c r="G844"/>
      <x:c r="H844"/>
      <x:c r="I844"/>
      <x:c r="J844"/>
      <x:c r="K844"/>
      <x:c r="L844"/>
      <x:c r="M844" t="n">
        <x:v>4500</x:v>
      </x:c>
      <x:c r="N844"/>
      <x:c r="O844"/>
      <x:c r="P844"/>
      <x:c r="Q844"/>
      <x:c r="R844"/>
      <x:c r="S844" t="n">
        <x:v>4500</x:v>
      </x:c>
      <x:c r="T844" t="n">
        <x:v>4500</x:v>
      </x:c>
      <x:c r="U844" s="28" t="n">
        <x:f>T844</x:f>
        <x:v>4500</x:v>
      </x:c>
      <x:c r="V844" s="32" t="n">
        <x:f>IF(AND(ISNUMBER(S844),ISNUMBER(U844)),ABS(S844-U844),IF(S844=U844,0,1))</x:f>
        <x:v>0</x:v>
      </x:c>
      <x:c r="W844" s="30" t="str">
        <x:v>PASS</x:v>
      </x:c>
      <x:c r="X844" s="28" t="str">
        <x:f>IF(V844&lt;=1E-9,"PASS","FAIL")</x:f>
        <x:v>PASS</x:v>
      </x:c>
      <x:c r="Y844" t="str">
        <x:v>tr.41–42</x:v>
      </x:c>
      <x:c r="Z844" t="str"/>
    </x:row>
    <x:row r="845">
      <x:c r="A845" t="str">
        <x:v>G0842</x:v>
      </x:c>
      <x:c r="B845" t="str">
        <x:v>Bảng 8</x:v>
      </x:c>
      <x:c r="C845" t="str">
        <x:v>exact grid</x:v>
      </x:c>
      <x:c r="D845" t="str">
        <x:v>EXACT</x:v>
      </x:c>
      <x:c r="E845" t="str">
        <x:v>{"z":40,"IL":0.1}</x:v>
      </x:c>
      <x:c r="F845" t="str">
        <x:v>EXACT</x:v>
      </x:c>
      <x:c r="G845"/>
      <x:c r="H845"/>
      <x:c r="I845"/>
      <x:c r="J845"/>
      <x:c r="K845"/>
      <x:c r="L845"/>
      <x:c r="M845" t="n">
        <x:v>4000</x:v>
      </x:c>
      <x:c r="N845"/>
      <x:c r="O845"/>
      <x:c r="P845"/>
      <x:c r="Q845"/>
      <x:c r="R845"/>
      <x:c r="S845" t="n">
        <x:v>4000</x:v>
      </x:c>
      <x:c r="T845" t="n">
        <x:v>4000</x:v>
      </x:c>
      <x:c r="U845" s="28" t="n">
        <x:f>T845</x:f>
        <x:v>4000</x:v>
      </x:c>
      <x:c r="V845" s="32" t="n">
        <x:f>IF(AND(ISNUMBER(S845),ISNUMBER(U845)),ABS(S845-U845),IF(S845=U845,0,1))</x:f>
        <x:v>0</x:v>
      </x:c>
      <x:c r="W845" s="30" t="str">
        <x:v>PASS</x:v>
      </x:c>
      <x:c r="X845" s="28" t="str">
        <x:f>IF(V845&lt;=1E-9,"PASS","FAIL")</x:f>
        <x:v>PASS</x:v>
      </x:c>
      <x:c r="Y845" t="str">
        <x:v>tr.41–42</x:v>
      </x:c>
      <x:c r="Z845" t="str"/>
    </x:row>
    <x:row r="846">
      <x:c r="A846" t="str">
        <x:v>G0843</x:v>
      </x:c>
      <x:c r="B846" t="str">
        <x:v>Bảng 8</x:v>
      </x:c>
      <x:c r="C846" t="str">
        <x:v>exact grid</x:v>
      </x:c>
      <x:c r="D846" t="str">
        <x:v>EXACT</x:v>
      </x:c>
      <x:c r="E846" t="str">
        <x:v>{"z":40,"IL":0.2}</x:v>
      </x:c>
      <x:c r="F846" t="str">
        <x:v>EXACT</x:v>
      </x:c>
      <x:c r="G846"/>
      <x:c r="H846"/>
      <x:c r="I846"/>
      <x:c r="J846"/>
      <x:c r="K846"/>
      <x:c r="L846"/>
      <x:c r="M846" t="n">
        <x:v>3500</x:v>
      </x:c>
      <x:c r="N846"/>
      <x:c r="O846"/>
      <x:c r="P846"/>
      <x:c r="Q846"/>
      <x:c r="R846"/>
      <x:c r="S846" t="n">
        <x:v>3500</x:v>
      </x:c>
      <x:c r="T846" t="n">
        <x:v>3500</x:v>
      </x:c>
      <x:c r="U846" s="28" t="n">
        <x:f>T846</x:f>
        <x:v>3500</x:v>
      </x:c>
      <x:c r="V846" s="32" t="n">
        <x:f>IF(AND(ISNUMBER(S846),ISNUMBER(U846)),ABS(S846-U846),IF(S846=U846,0,1))</x:f>
        <x:v>0</x:v>
      </x:c>
      <x:c r="W846" s="30" t="str">
        <x:v>PASS</x:v>
      </x:c>
      <x:c r="X846" s="28" t="str">
        <x:f>IF(V846&lt;=1E-9,"PASS","FAIL")</x:f>
        <x:v>PASS</x:v>
      </x:c>
      <x:c r="Y846" t="str">
        <x:v>tr.41–42</x:v>
      </x:c>
      <x:c r="Z846" t="str"/>
    </x:row>
    <x:row r="847">
      <x:c r="A847" t="str">
        <x:v>G0844</x:v>
      </x:c>
      <x:c r="B847" t="str">
        <x:v>Bảng 8</x:v>
      </x:c>
      <x:c r="C847" t="str">
        <x:v>exact grid</x:v>
      </x:c>
      <x:c r="D847" t="str">
        <x:v>EXACT</x:v>
      </x:c>
      <x:c r="E847" t="str">
        <x:v>{"z":40,"IL":0.3}</x:v>
      </x:c>
      <x:c r="F847" t="str">
        <x:v>EXACT</x:v>
      </x:c>
      <x:c r="G847"/>
      <x:c r="H847"/>
      <x:c r="I847"/>
      <x:c r="J847"/>
      <x:c r="K847"/>
      <x:c r="L847"/>
      <x:c r="M847" t="n">
        <x:v>3000</x:v>
      </x:c>
      <x:c r="N847"/>
      <x:c r="O847"/>
      <x:c r="P847"/>
      <x:c r="Q847"/>
      <x:c r="R847"/>
      <x:c r="S847" t="n">
        <x:v>3000</x:v>
      </x:c>
      <x:c r="T847" t="n">
        <x:v>3000</x:v>
      </x:c>
      <x:c r="U847" s="28" t="n">
        <x:f>T847</x:f>
        <x:v>3000</x:v>
      </x:c>
      <x:c r="V847" s="32" t="n">
        <x:f>IF(AND(ISNUMBER(S847),ISNUMBER(U847)),ABS(S847-U847),IF(S847=U847,0,1))</x:f>
        <x:v>0</x:v>
      </x:c>
      <x:c r="W847" s="30" t="str">
        <x:v>PASS</x:v>
      </x:c>
      <x:c r="X847" s="28" t="str">
        <x:f>IF(V847&lt;=1E-9,"PASS","FAIL")</x:f>
        <x:v>PASS</x:v>
      </x:c>
      <x:c r="Y847" t="str">
        <x:v>tr.41–42</x:v>
      </x:c>
      <x:c r="Z847" t="str"/>
    </x:row>
    <x:row r="848">
      <x:c r="A848" t="str">
        <x:v>G0845</x:v>
      </x:c>
      <x:c r="B848" t="str">
        <x:v>Bảng 8</x:v>
      </x:c>
      <x:c r="C848" t="str">
        <x:v>exact grid</x:v>
      </x:c>
      <x:c r="D848" t="str">
        <x:v>EXACT</x:v>
      </x:c>
      <x:c r="E848" t="str">
        <x:v>{"z":40,"IL":0.4}</x:v>
      </x:c>
      <x:c r="F848" t="str">
        <x:v>EXACT</x:v>
      </x:c>
      <x:c r="G848"/>
      <x:c r="H848"/>
      <x:c r="I848"/>
      <x:c r="J848"/>
      <x:c r="K848"/>
      <x:c r="L848"/>
      <x:c r="M848" t="n">
        <x:v>2500</x:v>
      </x:c>
      <x:c r="N848"/>
      <x:c r="O848"/>
      <x:c r="P848"/>
      <x:c r="Q848"/>
      <x:c r="R848"/>
      <x:c r="S848" t="n">
        <x:v>2500</x:v>
      </x:c>
      <x:c r="T848" t="n">
        <x:v>2500</x:v>
      </x:c>
      <x:c r="U848" s="28" t="n">
        <x:f>T848</x:f>
        <x:v>2500</x:v>
      </x:c>
      <x:c r="V848" s="32" t="n">
        <x:f>IF(AND(ISNUMBER(S848),ISNUMBER(U848)),ABS(S848-U848),IF(S848=U848,0,1))</x:f>
        <x:v>0</x:v>
      </x:c>
      <x:c r="W848" s="30" t="str">
        <x:v>PASS</x:v>
      </x:c>
      <x:c r="X848" s="28" t="str">
        <x:f>IF(V848&lt;=1E-9,"PASS","FAIL")</x:f>
        <x:v>PASS</x:v>
      </x:c>
      <x:c r="Y848" t="str">
        <x:v>tr.41–42</x:v>
      </x:c>
      <x:c r="Z848" t="str"/>
    </x:row>
    <x:row r="849">
      <x:c r="A849" t="str">
        <x:v>G0846</x:v>
      </x:c>
      <x:c r="B849" t="str">
        <x:v>Bảng 8</x:v>
      </x:c>
      <x:c r="C849" t="str">
        <x:v>cell midpoint</x:v>
      </x:c>
      <x:c r="D849" t="str">
        <x:v>MID-2D</x:v>
      </x:c>
      <x:c r="E849" t="str">
        <x:v>{"z":4,"IL":0.05}</x:v>
      </x:c>
      <x:c r="F849" t="str">
        <x:v>BILINEAR-2D</x:v>
      </x:c>
      <x:c r="G849" t="n">
        <x:v>4</x:v>
      </x:c>
      <x:c r="H849" t="n">
        <x:v>0.05</x:v>
      </x:c>
      <x:c r="I849" t="n">
        <x:v>3</x:v>
      </x:c>
      <x:c r="J849" t="n">
        <x:v>5</x:v>
      </x:c>
      <x:c r="K849" t="n">
        <x:v>0</x:v>
      </x:c>
      <x:c r="L849" t="n">
        <x:v>0.1</x:v>
      </x:c>
      <x:c r="M849"/>
      <x:c r="N849"/>
      <x:c r="O849" t="n">
        <x:v>850</x:v>
      </x:c>
      <x:c r="P849" t="n">
        <x:v>750</x:v>
      </x:c>
      <x:c r="Q849" t="n">
        <x:v>1000</x:v>
      </x:c>
      <x:c r="R849" t="n">
        <x:v>850</x:v>
      </x:c>
      <x:c r="S849" t="n">
        <x:v>862.5</x:v>
      </x:c>
      <x:c r="T849" t="n">
        <x:v>862.5</x:v>
      </x:c>
      <x:c r="U849" s="28" t="n">
        <x:f>(O849+(G849-I849)*(Q849-O849)/(J849-I849))+(H849-K849)/(L849-K849)*((P849+(G849-I849)*(R849-P849)/(J849-I849))-(O849+(G849-I849)*(Q849-O849)/(J849-I849)))</x:f>
        <x:v>862.5</x:v>
      </x:c>
      <x:c r="V849" s="32" t="n">
        <x:f>IF(AND(ISNUMBER(S849),ISNUMBER(U849)),ABS(S849-U849),IF(S849=U849,0,1))</x:f>
        <x:v>0</x:v>
      </x:c>
      <x:c r="W849" s="30" t="str">
        <x:v>PASS</x:v>
      </x:c>
      <x:c r="X849" s="28" t="str">
        <x:f>IF(V849&lt;=1E-9,"PASS","FAIL")</x:f>
        <x:v>PASS</x:v>
      </x:c>
      <x:c r="Y849" t="str">
        <x:v>Chú thích 2</x:v>
      </x:c>
      <x:c r="Z849" t="str"/>
    </x:row>
    <x:row r="850">
      <x:c r="A850" t="str">
        <x:v>G0847</x:v>
      </x:c>
      <x:c r="B850" t="str">
        <x:v>Bảng 8</x:v>
      </x:c>
      <x:c r="C850" t="str">
        <x:v>cell midpoint</x:v>
      </x:c>
      <x:c r="D850" t="str">
        <x:v>MID-2D</x:v>
      </x:c>
      <x:c r="E850" t="str">
        <x:v>{"z":4,"IL":0.15000000000000002}</x:v>
      </x:c>
      <x:c r="F850" t="str">
        <x:v>BILINEAR-2D</x:v>
      </x:c>
      <x:c r="G850" t="n">
        <x:v>4</x:v>
      </x:c>
      <x:c r="H850" t="n">
        <x:v>0.15000000000000002</x:v>
      </x:c>
      <x:c r="I850" t="n">
        <x:v>3</x:v>
      </x:c>
      <x:c r="J850" t="n">
        <x:v>5</x:v>
      </x:c>
      <x:c r="K850" t="n">
        <x:v>0.1</x:v>
      </x:c>
      <x:c r="L850" t="n">
        <x:v>0.2</x:v>
      </x:c>
      <x:c r="M850"/>
      <x:c r="N850"/>
      <x:c r="O850" t="n">
        <x:v>750</x:v>
      </x:c>
      <x:c r="P850" t="n">
        <x:v>650</x:v>
      </x:c>
      <x:c r="Q850" t="n">
        <x:v>850</x:v>
      </x:c>
      <x:c r="R850" t="n">
        <x:v>750</x:v>
      </x:c>
      <x:c r="S850" t="n">
        <x:v>750</x:v>
      </x:c>
      <x:c r="T850" t="n">
        <x:v>750</x:v>
      </x:c>
      <x:c r="U850" s="28" t="n">
        <x:f>(O850+(G850-I850)*(Q850-O850)/(J850-I850))+(H850-K850)/(L850-K850)*((P850+(G850-I850)*(R850-P850)/(J850-I850))-(O850+(G850-I850)*(Q850-O850)/(J850-I850)))</x:f>
        <x:v>750</x:v>
      </x:c>
      <x:c r="V850" s="32" t="n">
        <x:f>IF(AND(ISNUMBER(S850),ISNUMBER(U850)),ABS(S850-U850),IF(S850=U850,0,1))</x:f>
        <x:v>0</x:v>
      </x:c>
      <x:c r="W850" s="30" t="str">
        <x:v>PASS</x:v>
      </x:c>
      <x:c r="X850" s="28" t="str">
        <x:f>IF(V850&lt;=1E-9,"PASS","FAIL")</x:f>
        <x:v>PASS</x:v>
      </x:c>
      <x:c r="Y850" t="str">
        <x:v>Chú thích 2</x:v>
      </x:c>
      <x:c r="Z850" t="str"/>
    </x:row>
    <x:row r="851">
      <x:c r="A851" t="str">
        <x:v>G0848</x:v>
      </x:c>
      <x:c r="B851" t="str">
        <x:v>Bảng 8</x:v>
      </x:c>
      <x:c r="C851" t="str">
        <x:v>cell midpoint</x:v>
      </x:c>
      <x:c r="D851" t="str">
        <x:v>MID-2D</x:v>
      </x:c>
      <x:c r="E851" t="str">
        <x:v>{"z":4,"IL":0.25}</x:v>
      </x:c>
      <x:c r="F851" t="str">
        <x:v>BILINEAR-2D</x:v>
      </x:c>
      <x:c r="G851" t="n">
        <x:v>4</x:v>
      </x:c>
      <x:c r="H851" t="n">
        <x:v>0.25</x:v>
      </x:c>
      <x:c r="I851" t="n">
        <x:v>3</x:v>
      </x:c>
      <x:c r="J851" t="n">
        <x:v>5</x:v>
      </x:c>
      <x:c r="K851" t="n">
        <x:v>0.2</x:v>
      </x:c>
      <x:c r="L851" t="n">
        <x:v>0.3</x:v>
      </x:c>
      <x:c r="M851"/>
      <x:c r="N851"/>
      <x:c r="O851" t="n">
        <x:v>650</x:v>
      </x:c>
      <x:c r="P851" t="n">
        <x:v>500</x:v>
      </x:c>
      <x:c r="Q851" t="n">
        <x:v>750</x:v>
      </x:c>
      <x:c r="R851" t="n">
        <x:v>650</x:v>
      </x:c>
      <x:c r="S851" t="n">
        <x:v>637.5</x:v>
      </x:c>
      <x:c r="T851" t="n">
        <x:v>637.5</x:v>
      </x:c>
      <x:c r="U851" s="28" t="n">
        <x:f>(O851+(G851-I851)*(Q851-O851)/(J851-I851))+(H851-K851)/(L851-K851)*((P851+(G851-I851)*(R851-P851)/(J851-I851))-(O851+(G851-I851)*(Q851-O851)/(J851-I851)))</x:f>
        <x:v>637.5</x:v>
      </x:c>
      <x:c r="V851" s="32" t="n">
        <x:f>IF(AND(ISNUMBER(S851),ISNUMBER(U851)),ABS(S851-U851),IF(S851=U851,0,1))</x:f>
        <x:v>0</x:v>
      </x:c>
      <x:c r="W851" s="30" t="str">
        <x:v>PASS</x:v>
      </x:c>
      <x:c r="X851" s="28" t="str">
        <x:f>IF(V851&lt;=1E-9,"PASS","FAIL")</x:f>
        <x:v>PASS</x:v>
      </x:c>
      <x:c r="Y851" t="str">
        <x:v>Chú thích 2</x:v>
      </x:c>
      <x:c r="Z851" t="str"/>
    </x:row>
    <x:row r="852">
      <x:c r="A852" t="str">
        <x:v>G0849</x:v>
      </x:c>
      <x:c r="B852" t="str">
        <x:v>Bảng 8</x:v>
      </x:c>
      <x:c r="C852" t="str">
        <x:v>cell midpoint</x:v>
      </x:c>
      <x:c r="D852" t="str">
        <x:v>MID-2D</x:v>
      </x:c>
      <x:c r="E852" t="str">
        <x:v>{"z":4,"IL":0.35}</x:v>
      </x:c>
      <x:c r="F852" t="str">
        <x:v>BILINEAR-2D</x:v>
      </x:c>
      <x:c r="G852" t="n">
        <x:v>4</x:v>
      </x:c>
      <x:c r="H852" t="n">
        <x:v>0.35</x:v>
      </x:c>
      <x:c r="I852" t="n">
        <x:v>3</x:v>
      </x:c>
      <x:c r="J852" t="n">
        <x:v>5</x:v>
      </x:c>
      <x:c r="K852" t="n">
        <x:v>0.3</x:v>
      </x:c>
      <x:c r="L852" t="n">
        <x:v>0.4</x:v>
      </x:c>
      <x:c r="M852"/>
      <x:c r="N852"/>
      <x:c r="O852" t="n">
        <x:v>500</x:v>
      </x:c>
      <x:c r="P852" t="n">
        <x:v>400</x:v>
      </x:c>
      <x:c r="Q852" t="n">
        <x:v>650</x:v>
      </x:c>
      <x:c r="R852" t="n">
        <x:v>500</x:v>
      </x:c>
      <x:c r="S852" t="n">
        <x:v>512.5</x:v>
      </x:c>
      <x:c r="T852" t="n">
        <x:v>512.5</x:v>
      </x:c>
      <x:c r="U852" s="28" t="n">
        <x:f>(O852+(G852-I852)*(Q852-O852)/(J852-I852))+(H852-K852)/(L852-K852)*((P852+(G852-I852)*(R852-P852)/(J852-I852))-(O852+(G852-I852)*(Q852-O852)/(J852-I852)))</x:f>
        <x:v>512.5</x:v>
      </x:c>
      <x:c r="V852" s="32" t="n">
        <x:f>IF(AND(ISNUMBER(S852),ISNUMBER(U852)),ABS(S852-U852),IF(S852=U852,0,1))</x:f>
        <x:v>0</x:v>
      </x:c>
      <x:c r="W852" s="30" t="str">
        <x:v>PASS</x:v>
      </x:c>
      <x:c r="X852" s="28" t="str">
        <x:f>IF(V852&lt;=1E-9,"PASS","FAIL")</x:f>
        <x:v>PASS</x:v>
      </x:c>
      <x:c r="Y852" t="str">
        <x:v>Chú thích 2</x:v>
      </x:c>
      <x:c r="Z852" t="str"/>
    </x:row>
    <x:row r="853">
      <x:c r="A853" t="str">
        <x:v>G0850</x:v>
      </x:c>
      <x:c r="B853" t="str">
        <x:v>Bảng 8</x:v>
      </x:c>
      <x:c r="C853" t="str">
        <x:v>cell midpoint</x:v>
      </x:c>
      <x:c r="D853" t="str">
        <x:v>MID-2D</x:v>
      </x:c>
      <x:c r="E853" t="str">
        <x:v>{"z":4,"IL":0.45}</x:v>
      </x:c>
      <x:c r="F853" t="str">
        <x:v>BILINEAR-2D</x:v>
      </x:c>
      <x:c r="G853" t="n">
        <x:v>4</x:v>
      </x:c>
      <x:c r="H853" t="n">
        <x:v>0.45</x:v>
      </x:c>
      <x:c r="I853" t="n">
        <x:v>3</x:v>
      </x:c>
      <x:c r="J853" t="n">
        <x:v>5</x:v>
      </x:c>
      <x:c r="K853" t="n">
        <x:v>0.4</x:v>
      </x:c>
      <x:c r="L853" t="n">
        <x:v>0.5</x:v>
      </x:c>
      <x:c r="M853"/>
      <x:c r="N853"/>
      <x:c r="O853" t="n">
        <x:v>400</x:v>
      </x:c>
      <x:c r="P853" t="n">
        <x:v>300</x:v>
      </x:c>
      <x:c r="Q853" t="n">
        <x:v>500</x:v>
      </x:c>
      <x:c r="R853" t="n">
        <x:v>400</x:v>
      </x:c>
      <x:c r="S853" t="n">
        <x:v>400</x:v>
      </x:c>
      <x:c r="T853" t="n">
        <x:v>400</x:v>
      </x:c>
      <x:c r="U853" s="28" t="n">
        <x:f>(O853+(G853-I853)*(Q853-O853)/(J853-I853))+(H853-K853)/(L853-K853)*((P853+(G853-I853)*(R853-P853)/(J853-I853))-(O853+(G853-I853)*(Q853-O853)/(J853-I853)))</x:f>
        <x:v>400</x:v>
      </x:c>
      <x:c r="V853" s="32" t="n">
        <x:f>IF(AND(ISNUMBER(S853),ISNUMBER(U853)),ABS(S853-U853),IF(S853=U853,0,1))</x:f>
        <x:v>0</x:v>
      </x:c>
      <x:c r="W853" s="30" t="str">
        <x:v>PASS</x:v>
      </x:c>
      <x:c r="X853" s="28" t="str">
        <x:f>IF(V853&lt;=1E-9,"PASS","FAIL")</x:f>
        <x:v>PASS</x:v>
      </x:c>
      <x:c r="Y853" t="str">
        <x:v>Chú thích 2</x:v>
      </x:c>
      <x:c r="Z853" t="str"/>
    </x:row>
    <x:row r="854">
      <x:c r="A854" t="str">
        <x:v>G0851</x:v>
      </x:c>
      <x:c r="B854" t="str">
        <x:v>Bảng 8</x:v>
      </x:c>
      <x:c r="C854" t="str">
        <x:v>cell midpoint</x:v>
      </x:c>
      <x:c r="D854" t="str">
        <x:v>MID-2D</x:v>
      </x:c>
      <x:c r="E854" t="str">
        <x:v>{"z":4,"IL":0.55}</x:v>
      </x:c>
      <x:c r="F854" t="str">
        <x:v>BILINEAR-2D</x:v>
      </x:c>
      <x:c r="G854" t="n">
        <x:v>4</x:v>
      </x:c>
      <x:c r="H854" t="n">
        <x:v>0.55</x:v>
      </x:c>
      <x:c r="I854" t="n">
        <x:v>3</x:v>
      </x:c>
      <x:c r="J854" t="n">
        <x:v>5</x:v>
      </x:c>
      <x:c r="K854" t="n">
        <x:v>0.5</x:v>
      </x:c>
      <x:c r="L854" t="n">
        <x:v>0.6</x:v>
      </x:c>
      <x:c r="M854"/>
      <x:c r="N854"/>
      <x:c r="O854" t="n">
        <x:v>300</x:v>
      </x:c>
      <x:c r="P854" t="n">
        <x:v>250</x:v>
      </x:c>
      <x:c r="Q854" t="n">
        <x:v>400</x:v>
      </x:c>
      <x:c r="R854" t="n">
        <x:v>350</x:v>
      </x:c>
      <x:c r="S854" t="n">
        <x:v>325</x:v>
      </x:c>
      <x:c r="T854" t="n">
        <x:v>325</x:v>
      </x:c>
      <x:c r="U854" s="28" t="n">
        <x:f>(O854+(G854-I854)*(Q854-O854)/(J854-I854))+(H854-K854)/(L854-K854)*((P854+(G854-I854)*(R854-P854)/(J854-I854))-(O854+(G854-I854)*(Q854-O854)/(J854-I854)))</x:f>
        <x:v>325</x:v>
      </x:c>
      <x:c r="V854" s="32" t="n">
        <x:f>IF(AND(ISNUMBER(S854),ISNUMBER(U854)),ABS(S854-U854),IF(S854=U854,0,1))</x:f>
        <x:v>0</x:v>
      </x:c>
      <x:c r="W854" s="30" t="str">
        <x:v>PASS</x:v>
      </x:c>
      <x:c r="X854" s="28" t="str">
        <x:f>IF(V854&lt;=1E-9,"PASS","FAIL")</x:f>
        <x:v>PASS</x:v>
      </x:c>
      <x:c r="Y854" t="str">
        <x:v>Chú thích 2</x:v>
      </x:c>
      <x:c r="Z854" t="str"/>
    </x:row>
    <x:row r="855">
      <x:c r="A855" t="str">
        <x:v>G0852</x:v>
      </x:c>
      <x:c r="B855" t="str">
        <x:v>Bảng 8</x:v>
      </x:c>
      <x:c r="C855" t="str">
        <x:v>cell midpoint</x:v>
      </x:c>
      <x:c r="D855" t="str">
        <x:v>MID-2D</x:v>
      </x:c>
      <x:c r="E855" t="str">
        <x:v>{"z":6,"IL":0.05}</x:v>
      </x:c>
      <x:c r="F855" t="str">
        <x:v>BILINEAR-2D</x:v>
      </x:c>
      <x:c r="G855" t="n">
        <x:v>6</x:v>
      </x:c>
      <x:c r="H855" t="n">
        <x:v>0.05</x:v>
      </x:c>
      <x:c r="I855" t="n">
        <x:v>5</x:v>
      </x:c>
      <x:c r="J855" t="n">
        <x:v>7</x:v>
      </x:c>
      <x:c r="K855" t="n">
        <x:v>0</x:v>
      </x:c>
      <x:c r="L855" t="n">
        <x:v>0.1</x:v>
      </x:c>
      <x:c r="M855"/>
      <x:c r="N855"/>
      <x:c r="O855" t="n">
        <x:v>1000</x:v>
      </x:c>
      <x:c r="P855" t="n">
        <x:v>850</x:v>
      </x:c>
      <x:c r="Q855" t="n">
        <x:v>1150</x:v>
      </x:c>
      <x:c r="R855" t="n">
        <x:v>1000</x:v>
      </x:c>
      <x:c r="S855" t="n">
        <x:v>1000</x:v>
      </x:c>
      <x:c r="T855" t="n">
        <x:v>1000</x:v>
      </x:c>
      <x:c r="U855" s="28" t="n">
        <x:f>(O855+(G855-I855)*(Q855-O855)/(J855-I855))+(H855-K855)/(L855-K855)*((P855+(G855-I855)*(R855-P855)/(J855-I855))-(O855+(G855-I855)*(Q855-O855)/(J855-I855)))</x:f>
        <x:v>1000</x:v>
      </x:c>
      <x:c r="V855" s="32" t="n">
        <x:f>IF(AND(ISNUMBER(S855),ISNUMBER(U855)),ABS(S855-U855),IF(S855=U855,0,1))</x:f>
        <x:v>0</x:v>
      </x:c>
      <x:c r="W855" s="30" t="str">
        <x:v>PASS</x:v>
      </x:c>
      <x:c r="X855" s="28" t="str">
        <x:f>IF(V855&lt;=1E-9,"PASS","FAIL")</x:f>
        <x:v>PASS</x:v>
      </x:c>
      <x:c r="Y855" t="str">
        <x:v>Chú thích 2</x:v>
      </x:c>
      <x:c r="Z855" t="str"/>
    </x:row>
    <x:row r="856">
      <x:c r="A856" t="str">
        <x:v>G0853</x:v>
      </x:c>
      <x:c r="B856" t="str">
        <x:v>Bảng 8</x:v>
      </x:c>
      <x:c r="C856" t="str">
        <x:v>cell midpoint</x:v>
      </x:c>
      <x:c r="D856" t="str">
        <x:v>MID-2D</x:v>
      </x:c>
      <x:c r="E856" t="str">
        <x:v>{"z":6,"IL":0.15000000000000002}</x:v>
      </x:c>
      <x:c r="F856" t="str">
        <x:v>BILINEAR-2D</x:v>
      </x:c>
      <x:c r="G856" t="n">
        <x:v>6</x:v>
      </x:c>
      <x:c r="H856" t="n">
        <x:v>0.15000000000000002</x:v>
      </x:c>
      <x:c r="I856" t="n">
        <x:v>5</x:v>
      </x:c>
      <x:c r="J856" t="n">
        <x:v>7</x:v>
      </x:c>
      <x:c r="K856" t="n">
        <x:v>0.1</x:v>
      </x:c>
      <x:c r="L856" t="n">
        <x:v>0.2</x:v>
      </x:c>
      <x:c r="M856"/>
      <x:c r="N856"/>
      <x:c r="O856" t="n">
        <x:v>850</x:v>
      </x:c>
      <x:c r="P856" t="n">
        <x:v>750</x:v>
      </x:c>
      <x:c r="Q856" t="n">
        <x:v>1000</x:v>
      </x:c>
      <x:c r="R856" t="n">
        <x:v>850</x:v>
      </x:c>
      <x:c r="S856" t="n">
        <x:v>862.5</x:v>
      </x:c>
      <x:c r="T856" t="n">
        <x:v>862.5</x:v>
      </x:c>
      <x:c r="U856" s="28" t="n">
        <x:f>(O856+(G856-I856)*(Q856-O856)/(J856-I856))+(H856-K856)/(L856-K856)*((P856+(G856-I856)*(R856-P856)/(J856-I856))-(O856+(G856-I856)*(Q856-O856)/(J856-I856)))</x:f>
        <x:v>862.5</x:v>
      </x:c>
      <x:c r="V856" s="32" t="n">
        <x:f>IF(AND(ISNUMBER(S856),ISNUMBER(U856)),ABS(S856-U856),IF(S856=U856,0,1))</x:f>
        <x:v>0</x:v>
      </x:c>
      <x:c r="W856" s="30" t="str">
        <x:v>PASS</x:v>
      </x:c>
      <x:c r="X856" s="28" t="str">
        <x:f>IF(V856&lt;=1E-9,"PASS","FAIL")</x:f>
        <x:v>PASS</x:v>
      </x:c>
      <x:c r="Y856" t="str">
        <x:v>Chú thích 2</x:v>
      </x:c>
      <x:c r="Z856" t="str"/>
    </x:row>
    <x:row r="857">
      <x:c r="A857" t="str">
        <x:v>G0854</x:v>
      </x:c>
      <x:c r="B857" t="str">
        <x:v>Bảng 8</x:v>
      </x:c>
      <x:c r="C857" t="str">
        <x:v>cell midpoint</x:v>
      </x:c>
      <x:c r="D857" t="str">
        <x:v>MID-2D</x:v>
      </x:c>
      <x:c r="E857" t="str">
        <x:v>{"z":6,"IL":0.25}</x:v>
      </x:c>
      <x:c r="F857" t="str">
        <x:v>BILINEAR-2D</x:v>
      </x:c>
      <x:c r="G857" t="n">
        <x:v>6</x:v>
      </x:c>
      <x:c r="H857" t="n">
        <x:v>0.25</x:v>
      </x:c>
      <x:c r="I857" t="n">
        <x:v>5</x:v>
      </x:c>
      <x:c r="J857" t="n">
        <x:v>7</x:v>
      </x:c>
      <x:c r="K857" t="n">
        <x:v>0.2</x:v>
      </x:c>
      <x:c r="L857" t="n">
        <x:v>0.3</x:v>
      </x:c>
      <x:c r="M857"/>
      <x:c r="N857"/>
      <x:c r="O857" t="n">
        <x:v>750</x:v>
      </x:c>
      <x:c r="P857" t="n">
        <x:v>650</x:v>
      </x:c>
      <x:c r="Q857" t="n">
        <x:v>850</x:v>
      </x:c>
      <x:c r="R857" t="n">
        <x:v>750</x:v>
      </x:c>
      <x:c r="S857" t="n">
        <x:v>750</x:v>
      </x:c>
      <x:c r="T857" t="n">
        <x:v>750</x:v>
      </x:c>
      <x:c r="U857" s="28" t="n">
        <x:f>(O857+(G857-I857)*(Q857-O857)/(J857-I857))+(H857-K857)/(L857-K857)*((P857+(G857-I857)*(R857-P857)/(J857-I857))-(O857+(G857-I857)*(Q857-O857)/(J857-I857)))</x:f>
        <x:v>750</x:v>
      </x:c>
      <x:c r="V857" s="32" t="n">
        <x:f>IF(AND(ISNUMBER(S857),ISNUMBER(U857)),ABS(S857-U857),IF(S857=U857,0,1))</x:f>
        <x:v>0</x:v>
      </x:c>
      <x:c r="W857" s="30" t="str">
        <x:v>PASS</x:v>
      </x:c>
      <x:c r="X857" s="28" t="str">
        <x:f>IF(V857&lt;=1E-9,"PASS","FAIL")</x:f>
        <x:v>PASS</x:v>
      </x:c>
      <x:c r="Y857" t="str">
        <x:v>Chú thích 2</x:v>
      </x:c>
      <x:c r="Z857" t="str"/>
    </x:row>
    <x:row r="858">
      <x:c r="A858" t="str">
        <x:v>G0855</x:v>
      </x:c>
      <x:c r="B858" t="str">
        <x:v>Bảng 8</x:v>
      </x:c>
      <x:c r="C858" t="str">
        <x:v>cell midpoint</x:v>
      </x:c>
      <x:c r="D858" t="str">
        <x:v>MID-2D</x:v>
      </x:c>
      <x:c r="E858" t="str">
        <x:v>{"z":6,"IL":0.35}</x:v>
      </x:c>
      <x:c r="F858" t="str">
        <x:v>BILINEAR-2D</x:v>
      </x:c>
      <x:c r="G858" t="n">
        <x:v>6</x:v>
      </x:c>
      <x:c r="H858" t="n">
        <x:v>0.35</x:v>
      </x:c>
      <x:c r="I858" t="n">
        <x:v>5</x:v>
      </x:c>
      <x:c r="J858" t="n">
        <x:v>7</x:v>
      </x:c>
      <x:c r="K858" t="n">
        <x:v>0.3</x:v>
      </x:c>
      <x:c r="L858" t="n">
        <x:v>0.4</x:v>
      </x:c>
      <x:c r="M858"/>
      <x:c r="N858"/>
      <x:c r="O858" t="n">
        <x:v>650</x:v>
      </x:c>
      <x:c r="P858" t="n">
        <x:v>500</x:v>
      </x:c>
      <x:c r="Q858" t="n">
        <x:v>750</x:v>
      </x:c>
      <x:c r="R858" t="n">
        <x:v>600</x:v>
      </x:c>
      <x:c r="S858" t="n">
        <x:v>625</x:v>
      </x:c>
      <x:c r="T858" t="n">
        <x:v>625</x:v>
      </x:c>
      <x:c r="U858" s="28" t="n">
        <x:f>(O858+(G858-I858)*(Q858-O858)/(J858-I858))+(H858-K858)/(L858-K858)*((P858+(G858-I858)*(R858-P858)/(J858-I858))-(O858+(G858-I858)*(Q858-O858)/(J858-I858)))</x:f>
        <x:v>625</x:v>
      </x:c>
      <x:c r="V858" s="32" t="n">
        <x:f>IF(AND(ISNUMBER(S858),ISNUMBER(U858)),ABS(S858-U858),IF(S858=U858,0,1))</x:f>
        <x:v>0</x:v>
      </x:c>
      <x:c r="W858" s="30" t="str">
        <x:v>PASS</x:v>
      </x:c>
      <x:c r="X858" s="28" t="str">
        <x:f>IF(V858&lt;=1E-9,"PASS","FAIL")</x:f>
        <x:v>PASS</x:v>
      </x:c>
      <x:c r="Y858" t="str">
        <x:v>Chú thích 2</x:v>
      </x:c>
      <x:c r="Z858" t="str"/>
    </x:row>
    <x:row r="859">
      <x:c r="A859" t="str">
        <x:v>G0856</x:v>
      </x:c>
      <x:c r="B859" t="str">
        <x:v>Bảng 8</x:v>
      </x:c>
      <x:c r="C859" t="str">
        <x:v>cell midpoint</x:v>
      </x:c>
      <x:c r="D859" t="str">
        <x:v>MID-2D</x:v>
      </x:c>
      <x:c r="E859" t="str">
        <x:v>{"z":6,"IL":0.45}</x:v>
      </x:c>
      <x:c r="F859" t="str">
        <x:v>BILINEAR-2D</x:v>
      </x:c>
      <x:c r="G859" t="n">
        <x:v>6</x:v>
      </x:c>
      <x:c r="H859" t="n">
        <x:v>0.45</x:v>
      </x:c>
      <x:c r="I859" t="n">
        <x:v>5</x:v>
      </x:c>
      <x:c r="J859" t="n">
        <x:v>7</x:v>
      </x:c>
      <x:c r="K859" t="n">
        <x:v>0.4</x:v>
      </x:c>
      <x:c r="L859" t="n">
        <x:v>0.5</x:v>
      </x:c>
      <x:c r="M859"/>
      <x:c r="N859"/>
      <x:c r="O859" t="n">
        <x:v>500</x:v>
      </x:c>
      <x:c r="P859" t="n">
        <x:v>400</x:v>
      </x:c>
      <x:c r="Q859" t="n">
        <x:v>600</x:v>
      </x:c>
      <x:c r="R859" t="n">
        <x:v>500</x:v>
      </x:c>
      <x:c r="S859" t="n">
        <x:v>500</x:v>
      </x:c>
      <x:c r="T859" t="n">
        <x:v>500</x:v>
      </x:c>
      <x:c r="U859" s="28" t="n">
        <x:f>(O859+(G859-I859)*(Q859-O859)/(J859-I859))+(H859-K859)/(L859-K859)*((P859+(G859-I859)*(R859-P859)/(J859-I859))-(O859+(G859-I859)*(Q859-O859)/(J859-I859)))</x:f>
        <x:v>500</x:v>
      </x:c>
      <x:c r="V859" s="32" t="n">
        <x:f>IF(AND(ISNUMBER(S859),ISNUMBER(U859)),ABS(S859-U859),IF(S859=U859,0,1))</x:f>
        <x:v>0</x:v>
      </x:c>
      <x:c r="W859" s="30" t="str">
        <x:v>PASS</x:v>
      </x:c>
      <x:c r="X859" s="28" t="str">
        <x:f>IF(V859&lt;=1E-9,"PASS","FAIL")</x:f>
        <x:v>PASS</x:v>
      </x:c>
      <x:c r="Y859" t="str">
        <x:v>Chú thích 2</x:v>
      </x:c>
      <x:c r="Z859" t="str"/>
    </x:row>
    <x:row r="860">
      <x:c r="A860" t="str">
        <x:v>G0857</x:v>
      </x:c>
      <x:c r="B860" t="str">
        <x:v>Bảng 8</x:v>
      </x:c>
      <x:c r="C860" t="str">
        <x:v>cell midpoint</x:v>
      </x:c>
      <x:c r="D860" t="str">
        <x:v>MID-2D</x:v>
      </x:c>
      <x:c r="E860" t="str">
        <x:v>{"z":6,"IL":0.55}</x:v>
      </x:c>
      <x:c r="F860" t="str">
        <x:v>BILINEAR-2D</x:v>
      </x:c>
      <x:c r="G860" t="n">
        <x:v>6</x:v>
      </x:c>
      <x:c r="H860" t="n">
        <x:v>0.55</x:v>
      </x:c>
      <x:c r="I860" t="n">
        <x:v>5</x:v>
      </x:c>
      <x:c r="J860" t="n">
        <x:v>7</x:v>
      </x:c>
      <x:c r="K860" t="n">
        <x:v>0.5</x:v>
      </x:c>
      <x:c r="L860" t="n">
        <x:v>0.6</x:v>
      </x:c>
      <x:c r="M860"/>
      <x:c r="N860"/>
      <x:c r="O860" t="n">
        <x:v>400</x:v>
      </x:c>
      <x:c r="P860" t="n">
        <x:v>350</x:v>
      </x:c>
      <x:c r="Q860" t="n">
        <x:v>500</x:v>
      </x:c>
      <x:c r="R860" t="n">
        <x:v>450</x:v>
      </x:c>
      <x:c r="S860" t="n">
        <x:v>425</x:v>
      </x:c>
      <x:c r="T860" t="n">
        <x:v>425</x:v>
      </x:c>
      <x:c r="U860" s="28" t="n">
        <x:f>(O860+(G860-I860)*(Q860-O860)/(J860-I860))+(H860-K860)/(L860-K860)*((P860+(G860-I860)*(R860-P860)/(J860-I860))-(O860+(G860-I860)*(Q860-O860)/(J860-I860)))</x:f>
        <x:v>425</x:v>
      </x:c>
      <x:c r="V860" s="32" t="n">
        <x:f>IF(AND(ISNUMBER(S860),ISNUMBER(U860)),ABS(S860-U860),IF(S860=U860,0,1))</x:f>
        <x:v>0</x:v>
      </x:c>
      <x:c r="W860" s="30" t="str">
        <x:v>PASS</x:v>
      </x:c>
      <x:c r="X860" s="28" t="str">
        <x:f>IF(V860&lt;=1E-9,"PASS","FAIL")</x:f>
        <x:v>PASS</x:v>
      </x:c>
      <x:c r="Y860" t="str">
        <x:v>Chú thích 2</x:v>
      </x:c>
      <x:c r="Z860" t="str"/>
    </x:row>
    <x:row r="861">
      <x:c r="A861" t="str">
        <x:v>G0858</x:v>
      </x:c>
      <x:c r="B861" t="str">
        <x:v>Bảng 8</x:v>
      </x:c>
      <x:c r="C861" t="str">
        <x:v>cell midpoint</x:v>
      </x:c>
      <x:c r="D861" t="str">
        <x:v>MID-2D</x:v>
      </x:c>
      <x:c r="E861" t="str">
        <x:v>{"z":8.5,"IL":0.05}</x:v>
      </x:c>
      <x:c r="F861" t="str">
        <x:v>BILINEAR-2D</x:v>
      </x:c>
      <x:c r="G861" t="n">
        <x:v>8.5</x:v>
      </x:c>
      <x:c r="H861" t="n">
        <x:v>0.05</x:v>
      </x:c>
      <x:c r="I861" t="n">
        <x:v>7</x:v>
      </x:c>
      <x:c r="J861" t="n">
        <x:v>10</x:v>
      </x:c>
      <x:c r="K861" t="n">
        <x:v>0</x:v>
      </x:c>
      <x:c r="L861" t="n">
        <x:v>0.1</x:v>
      </x:c>
      <x:c r="M861"/>
      <x:c r="N861"/>
      <x:c r="O861" t="n">
        <x:v>1150</x:v>
      </x:c>
      <x:c r="P861" t="n">
        <x:v>1000</x:v>
      </x:c>
      <x:c r="Q861" t="n">
        <x:v>1350</x:v>
      </x:c>
      <x:c r="R861" t="n">
        <x:v>1200</x:v>
      </x:c>
      <x:c r="S861" t="n">
        <x:v>1175</x:v>
      </x:c>
      <x:c r="T861" t="n">
        <x:v>1175</x:v>
      </x:c>
      <x:c r="U861" s="28" t="n">
        <x:f>(O861+(G861-I861)*(Q861-O861)/(J861-I861))+(H861-K861)/(L861-K861)*((P861+(G861-I861)*(R861-P861)/(J861-I861))-(O861+(G861-I861)*(Q861-O861)/(J861-I861)))</x:f>
        <x:v>1175</x:v>
      </x:c>
      <x:c r="V861" s="32" t="n">
        <x:f>IF(AND(ISNUMBER(S861),ISNUMBER(U861)),ABS(S861-U861),IF(S861=U861,0,1))</x:f>
        <x:v>0</x:v>
      </x:c>
      <x:c r="W861" s="30" t="str">
        <x:v>PASS</x:v>
      </x:c>
      <x:c r="X861" s="28" t="str">
        <x:f>IF(V861&lt;=1E-9,"PASS","FAIL")</x:f>
        <x:v>PASS</x:v>
      </x:c>
      <x:c r="Y861" t="str">
        <x:v>Chú thích 2</x:v>
      </x:c>
      <x:c r="Z861" t="str"/>
    </x:row>
    <x:row r="862">
      <x:c r="A862" t="str">
        <x:v>G0859</x:v>
      </x:c>
      <x:c r="B862" t="str">
        <x:v>Bảng 8</x:v>
      </x:c>
      <x:c r="C862" t="str">
        <x:v>cell midpoint</x:v>
      </x:c>
      <x:c r="D862" t="str">
        <x:v>MID-2D</x:v>
      </x:c>
      <x:c r="E862" t="str">
        <x:v>{"z":8.5,"IL":0.15000000000000002}</x:v>
      </x:c>
      <x:c r="F862" t="str">
        <x:v>BILINEAR-2D</x:v>
      </x:c>
      <x:c r="G862" t="n">
        <x:v>8.5</x:v>
      </x:c>
      <x:c r="H862" t="n">
        <x:v>0.15000000000000002</x:v>
      </x:c>
      <x:c r="I862" t="n">
        <x:v>7</x:v>
      </x:c>
      <x:c r="J862" t="n">
        <x:v>10</x:v>
      </x:c>
      <x:c r="K862" t="n">
        <x:v>0.1</x:v>
      </x:c>
      <x:c r="L862" t="n">
        <x:v>0.2</x:v>
      </x:c>
      <x:c r="M862"/>
      <x:c r="N862"/>
      <x:c r="O862" t="n">
        <x:v>1000</x:v>
      </x:c>
      <x:c r="P862" t="n">
        <x:v>850</x:v>
      </x:c>
      <x:c r="Q862" t="n">
        <x:v>1200</x:v>
      </x:c>
      <x:c r="R862" t="n">
        <x:v>1050</x:v>
      </x:c>
      <x:c r="S862" t="n">
        <x:v>1025</x:v>
      </x:c>
      <x:c r="T862" t="n">
        <x:v>1025</x:v>
      </x:c>
      <x:c r="U862" s="28" t="n">
        <x:f>(O862+(G862-I862)*(Q862-O862)/(J862-I862))+(H862-K862)/(L862-K862)*((P862+(G862-I862)*(R862-P862)/(J862-I862))-(O862+(G862-I862)*(Q862-O862)/(J862-I862)))</x:f>
        <x:v>1025</x:v>
      </x:c>
      <x:c r="V862" s="32" t="n">
        <x:f>IF(AND(ISNUMBER(S862),ISNUMBER(U862)),ABS(S862-U862),IF(S862=U862,0,1))</x:f>
        <x:v>0</x:v>
      </x:c>
      <x:c r="W862" s="30" t="str">
        <x:v>PASS</x:v>
      </x:c>
      <x:c r="X862" s="28" t="str">
        <x:f>IF(V862&lt;=1E-9,"PASS","FAIL")</x:f>
        <x:v>PASS</x:v>
      </x:c>
      <x:c r="Y862" t="str">
        <x:v>Chú thích 2</x:v>
      </x:c>
      <x:c r="Z862" t="str"/>
    </x:row>
    <x:row r="863">
      <x:c r="A863" t="str">
        <x:v>G0860</x:v>
      </x:c>
      <x:c r="B863" t="str">
        <x:v>Bảng 8</x:v>
      </x:c>
      <x:c r="C863" t="str">
        <x:v>cell midpoint</x:v>
      </x:c>
      <x:c r="D863" t="str">
        <x:v>MID-2D</x:v>
      </x:c>
      <x:c r="E863" t="str">
        <x:v>{"z":8.5,"IL":0.25}</x:v>
      </x:c>
      <x:c r="F863" t="str">
        <x:v>BILINEAR-2D</x:v>
      </x:c>
      <x:c r="G863" t="n">
        <x:v>8.5</x:v>
      </x:c>
      <x:c r="H863" t="n">
        <x:v>0.25</x:v>
      </x:c>
      <x:c r="I863" t="n">
        <x:v>7</x:v>
      </x:c>
      <x:c r="J863" t="n">
        <x:v>10</x:v>
      </x:c>
      <x:c r="K863" t="n">
        <x:v>0.2</x:v>
      </x:c>
      <x:c r="L863" t="n">
        <x:v>0.3</x:v>
      </x:c>
      <x:c r="M863"/>
      <x:c r="N863"/>
      <x:c r="O863" t="n">
        <x:v>850</x:v>
      </x:c>
      <x:c r="P863" t="n">
        <x:v>750</x:v>
      </x:c>
      <x:c r="Q863" t="n">
        <x:v>1050</x:v>
      </x:c>
      <x:c r="R863" t="n">
        <x:v>950</x:v>
      </x:c>
      <x:c r="S863" t="n">
        <x:v>900</x:v>
      </x:c>
      <x:c r="T863" t="n">
        <x:v>900</x:v>
      </x:c>
      <x:c r="U863" s="28" t="n">
        <x:f>(O863+(G863-I863)*(Q863-O863)/(J863-I863))+(H863-K863)/(L863-K863)*((P863+(G863-I863)*(R863-P863)/(J863-I863))-(O863+(G863-I863)*(Q863-O863)/(J863-I863)))</x:f>
        <x:v>900</x:v>
      </x:c>
      <x:c r="V863" s="32" t="n">
        <x:f>IF(AND(ISNUMBER(S863),ISNUMBER(U863)),ABS(S863-U863),IF(S863=U863,0,1))</x:f>
        <x:v>0</x:v>
      </x:c>
      <x:c r="W863" s="30" t="str">
        <x:v>PASS</x:v>
      </x:c>
      <x:c r="X863" s="28" t="str">
        <x:f>IF(V863&lt;=1E-9,"PASS","FAIL")</x:f>
        <x:v>PASS</x:v>
      </x:c>
      <x:c r="Y863" t="str">
        <x:v>Chú thích 2</x:v>
      </x:c>
      <x:c r="Z863" t="str"/>
    </x:row>
    <x:row r="864">
      <x:c r="A864" t="str">
        <x:v>G0861</x:v>
      </x:c>
      <x:c r="B864" t="str">
        <x:v>Bảng 8</x:v>
      </x:c>
      <x:c r="C864" t="str">
        <x:v>cell midpoint</x:v>
      </x:c>
      <x:c r="D864" t="str">
        <x:v>MID-2D</x:v>
      </x:c>
      <x:c r="E864" t="str">
        <x:v>{"z":8.5,"IL":0.35}</x:v>
      </x:c>
      <x:c r="F864" t="str">
        <x:v>BILINEAR-2D</x:v>
      </x:c>
      <x:c r="G864" t="n">
        <x:v>8.5</x:v>
      </x:c>
      <x:c r="H864" t="n">
        <x:v>0.35</x:v>
      </x:c>
      <x:c r="I864" t="n">
        <x:v>7</x:v>
      </x:c>
      <x:c r="J864" t="n">
        <x:v>10</x:v>
      </x:c>
      <x:c r="K864" t="n">
        <x:v>0.3</x:v>
      </x:c>
      <x:c r="L864" t="n">
        <x:v>0.4</x:v>
      </x:c>
      <x:c r="M864"/>
      <x:c r="N864"/>
      <x:c r="O864" t="n">
        <x:v>750</x:v>
      </x:c>
      <x:c r="P864" t="n">
        <x:v>600</x:v>
      </x:c>
      <x:c r="Q864" t="n">
        <x:v>950</x:v>
      </x:c>
      <x:c r="R864" t="n">
        <x:v>800</x:v>
      </x:c>
      <x:c r="S864" t="n">
        <x:v>775</x:v>
      </x:c>
      <x:c r="T864" t="n">
        <x:v>775</x:v>
      </x:c>
      <x:c r="U864" s="28" t="n">
        <x:f>(O864+(G864-I864)*(Q864-O864)/(J864-I864))+(H864-K864)/(L864-K864)*((P864+(G864-I864)*(R864-P864)/(J864-I864))-(O864+(G864-I864)*(Q864-O864)/(J864-I864)))</x:f>
        <x:v>775</x:v>
      </x:c>
      <x:c r="V864" s="32" t="n">
        <x:f>IF(AND(ISNUMBER(S864),ISNUMBER(U864)),ABS(S864-U864),IF(S864=U864,0,1))</x:f>
        <x:v>0</x:v>
      </x:c>
      <x:c r="W864" s="30" t="str">
        <x:v>PASS</x:v>
      </x:c>
      <x:c r="X864" s="28" t="str">
        <x:f>IF(V864&lt;=1E-9,"PASS","FAIL")</x:f>
        <x:v>PASS</x:v>
      </x:c>
      <x:c r="Y864" t="str">
        <x:v>Chú thích 2</x:v>
      </x:c>
      <x:c r="Z864" t="str"/>
    </x:row>
    <x:row r="865">
      <x:c r="A865" t="str">
        <x:v>G0862</x:v>
      </x:c>
      <x:c r="B865" t="str">
        <x:v>Bảng 8</x:v>
      </x:c>
      <x:c r="C865" t="str">
        <x:v>cell midpoint</x:v>
      </x:c>
      <x:c r="D865" t="str">
        <x:v>MID-2D</x:v>
      </x:c>
      <x:c r="E865" t="str">
        <x:v>{"z":8.5,"IL":0.45}</x:v>
      </x:c>
      <x:c r="F865" t="str">
        <x:v>BILINEAR-2D</x:v>
      </x:c>
      <x:c r="G865" t="n">
        <x:v>8.5</x:v>
      </x:c>
      <x:c r="H865" t="n">
        <x:v>0.45</x:v>
      </x:c>
      <x:c r="I865" t="n">
        <x:v>7</x:v>
      </x:c>
      <x:c r="J865" t="n">
        <x:v>10</x:v>
      </x:c>
      <x:c r="K865" t="n">
        <x:v>0.4</x:v>
      </x:c>
      <x:c r="L865" t="n">
        <x:v>0.5</x:v>
      </x:c>
      <x:c r="M865"/>
      <x:c r="N865"/>
      <x:c r="O865" t="n">
        <x:v>600</x:v>
      </x:c>
      <x:c r="P865" t="n">
        <x:v>500</x:v>
      </x:c>
      <x:c r="Q865" t="n">
        <x:v>800</x:v>
      </x:c>
      <x:c r="R865" t="n">
        <x:v>700</x:v>
      </x:c>
      <x:c r="S865" t="n">
        <x:v>650</x:v>
      </x:c>
      <x:c r="T865" t="n">
        <x:v>650</x:v>
      </x:c>
      <x:c r="U865" s="28" t="n">
        <x:f>(O865+(G865-I865)*(Q865-O865)/(J865-I865))+(H865-K865)/(L865-K865)*((P865+(G865-I865)*(R865-P865)/(J865-I865))-(O865+(G865-I865)*(Q865-O865)/(J865-I865)))</x:f>
        <x:v>650</x:v>
      </x:c>
      <x:c r="V865" s="32" t="n">
        <x:f>IF(AND(ISNUMBER(S865),ISNUMBER(U865)),ABS(S865-U865),IF(S865=U865,0,1))</x:f>
        <x:v>0</x:v>
      </x:c>
      <x:c r="W865" s="30" t="str">
        <x:v>PASS</x:v>
      </x:c>
      <x:c r="X865" s="28" t="str">
        <x:f>IF(V865&lt;=1E-9,"PASS","FAIL")</x:f>
        <x:v>PASS</x:v>
      </x:c>
      <x:c r="Y865" t="str">
        <x:v>Chú thích 2</x:v>
      </x:c>
      <x:c r="Z865" t="str"/>
    </x:row>
    <x:row r="866">
      <x:c r="A866" t="str">
        <x:v>G0863</x:v>
      </x:c>
      <x:c r="B866" t="str">
        <x:v>Bảng 8</x:v>
      </x:c>
      <x:c r="C866" t="str">
        <x:v>cell midpoint</x:v>
      </x:c>
      <x:c r="D866" t="str">
        <x:v>MID-2D</x:v>
      </x:c>
      <x:c r="E866" t="str">
        <x:v>{"z":8.5,"IL":0.55}</x:v>
      </x:c>
      <x:c r="F866" t="str">
        <x:v>BILINEAR-2D</x:v>
      </x:c>
      <x:c r="G866" t="n">
        <x:v>8.5</x:v>
      </x:c>
      <x:c r="H866" t="n">
        <x:v>0.55</x:v>
      </x:c>
      <x:c r="I866" t="n">
        <x:v>7</x:v>
      </x:c>
      <x:c r="J866" t="n">
        <x:v>10</x:v>
      </x:c>
      <x:c r="K866" t="n">
        <x:v>0.5</x:v>
      </x:c>
      <x:c r="L866" t="n">
        <x:v>0.6</x:v>
      </x:c>
      <x:c r="M866"/>
      <x:c r="N866"/>
      <x:c r="O866" t="n">
        <x:v>500</x:v>
      </x:c>
      <x:c r="P866" t="n">
        <x:v>450</x:v>
      </x:c>
      <x:c r="Q866" t="n">
        <x:v>700</x:v>
      </x:c>
      <x:c r="R866" t="n">
        <x:v>600</x:v>
      </x:c>
      <x:c r="S866" t="n">
        <x:v>562.5</x:v>
      </x:c>
      <x:c r="T866" t="n">
        <x:v>562.5</x:v>
      </x:c>
      <x:c r="U866" s="28" t="n">
        <x:f>(O866+(G866-I866)*(Q866-O866)/(J866-I866))+(H866-K866)/(L866-K866)*((P866+(G866-I866)*(R866-P866)/(J866-I866))-(O866+(G866-I866)*(Q866-O866)/(J866-I866)))</x:f>
        <x:v>562.5</x:v>
      </x:c>
      <x:c r="V866" s="32" t="n">
        <x:f>IF(AND(ISNUMBER(S866),ISNUMBER(U866)),ABS(S866-U866),IF(S866=U866,0,1))</x:f>
        <x:v>0</x:v>
      </x:c>
      <x:c r="W866" s="30" t="str">
        <x:v>PASS</x:v>
      </x:c>
      <x:c r="X866" s="28" t="str">
        <x:f>IF(V866&lt;=1E-9,"PASS","FAIL")</x:f>
        <x:v>PASS</x:v>
      </x:c>
      <x:c r="Y866" t="str">
        <x:v>Chú thích 2</x:v>
      </x:c>
      <x:c r="Z866" t="str"/>
    </x:row>
    <x:row r="867">
      <x:c r="A867" t="str">
        <x:v>G0864</x:v>
      </x:c>
      <x:c r="B867" t="str">
        <x:v>Bảng 8</x:v>
      </x:c>
      <x:c r="C867" t="str">
        <x:v>cell midpoint</x:v>
      </x:c>
      <x:c r="D867" t="str">
        <x:v>MID-2D</x:v>
      </x:c>
      <x:c r="E867" t="str">
        <x:v>{"z":11,"IL":0.05}</x:v>
      </x:c>
      <x:c r="F867" t="str">
        <x:v>BILINEAR-2D</x:v>
      </x:c>
      <x:c r="G867" t="n">
        <x:v>11</x:v>
      </x:c>
      <x:c r="H867" t="n">
        <x:v>0.05</x:v>
      </x:c>
      <x:c r="I867" t="n">
        <x:v>10</x:v>
      </x:c>
      <x:c r="J867" t="n">
        <x:v>12</x:v>
      </x:c>
      <x:c r="K867" t="n">
        <x:v>0</x:v>
      </x:c>
      <x:c r="L867" t="n">
        <x:v>0.1</x:v>
      </x:c>
      <x:c r="M867"/>
      <x:c r="N867"/>
      <x:c r="O867" t="n">
        <x:v>1350</x:v>
      </x:c>
      <x:c r="P867" t="n">
        <x:v>1200</x:v>
      </x:c>
      <x:c r="Q867" t="n">
        <x:v>1550</x:v>
      </x:c>
      <x:c r="R867" t="n">
        <x:v>1400</x:v>
      </x:c>
      <x:c r="S867" t="n">
        <x:v>1375</x:v>
      </x:c>
      <x:c r="T867" t="n">
        <x:v>1375</x:v>
      </x:c>
      <x:c r="U867" s="28" t="n">
        <x:f>(O867+(G867-I867)*(Q867-O867)/(J867-I867))+(H867-K867)/(L867-K867)*((P867+(G867-I867)*(R867-P867)/(J867-I867))-(O867+(G867-I867)*(Q867-O867)/(J867-I867)))</x:f>
        <x:v>1375</x:v>
      </x:c>
      <x:c r="V867" s="32" t="n">
        <x:f>IF(AND(ISNUMBER(S867),ISNUMBER(U867)),ABS(S867-U867),IF(S867=U867,0,1))</x:f>
        <x:v>0</x:v>
      </x:c>
      <x:c r="W867" s="30" t="str">
        <x:v>PASS</x:v>
      </x:c>
      <x:c r="X867" s="28" t="str">
        <x:f>IF(V867&lt;=1E-9,"PASS","FAIL")</x:f>
        <x:v>PASS</x:v>
      </x:c>
      <x:c r="Y867" t="str">
        <x:v>Chú thích 2</x:v>
      </x:c>
      <x:c r="Z867" t="str"/>
    </x:row>
    <x:row r="868">
      <x:c r="A868" t="str">
        <x:v>G0865</x:v>
      </x:c>
      <x:c r="B868" t="str">
        <x:v>Bảng 8</x:v>
      </x:c>
      <x:c r="C868" t="str">
        <x:v>cell midpoint</x:v>
      </x:c>
      <x:c r="D868" t="str">
        <x:v>MID-2D</x:v>
      </x:c>
      <x:c r="E868" t="str">
        <x:v>{"z":11,"IL":0.15000000000000002}</x:v>
      </x:c>
      <x:c r="F868" t="str">
        <x:v>BILINEAR-2D</x:v>
      </x:c>
      <x:c r="G868" t="n">
        <x:v>11</x:v>
      </x:c>
      <x:c r="H868" t="n">
        <x:v>0.15000000000000002</x:v>
      </x:c>
      <x:c r="I868" t="n">
        <x:v>10</x:v>
      </x:c>
      <x:c r="J868" t="n">
        <x:v>12</x:v>
      </x:c>
      <x:c r="K868" t="n">
        <x:v>0.1</x:v>
      </x:c>
      <x:c r="L868" t="n">
        <x:v>0.2</x:v>
      </x:c>
      <x:c r="M868"/>
      <x:c r="N868"/>
      <x:c r="O868" t="n">
        <x:v>1200</x:v>
      </x:c>
      <x:c r="P868" t="n">
        <x:v>1050</x:v>
      </x:c>
      <x:c r="Q868" t="n">
        <x:v>1400</x:v>
      </x:c>
      <x:c r="R868" t="n">
        <x:v>1250</x:v>
      </x:c>
      <x:c r="S868" t="n">
        <x:v>1225</x:v>
      </x:c>
      <x:c r="T868" t="n">
        <x:v>1225</x:v>
      </x:c>
      <x:c r="U868" s="28" t="n">
        <x:f>(O868+(G868-I868)*(Q868-O868)/(J868-I868))+(H868-K868)/(L868-K868)*((P868+(G868-I868)*(R868-P868)/(J868-I868))-(O868+(G868-I868)*(Q868-O868)/(J868-I868)))</x:f>
        <x:v>1225</x:v>
      </x:c>
      <x:c r="V868" s="32" t="n">
        <x:f>IF(AND(ISNUMBER(S868),ISNUMBER(U868)),ABS(S868-U868),IF(S868=U868,0,1))</x:f>
        <x:v>0</x:v>
      </x:c>
      <x:c r="W868" s="30" t="str">
        <x:v>PASS</x:v>
      </x:c>
      <x:c r="X868" s="28" t="str">
        <x:f>IF(V868&lt;=1E-9,"PASS","FAIL")</x:f>
        <x:v>PASS</x:v>
      </x:c>
      <x:c r="Y868" t="str">
        <x:v>Chú thích 2</x:v>
      </x:c>
      <x:c r="Z868" t="str"/>
    </x:row>
    <x:row r="869">
      <x:c r="A869" t="str">
        <x:v>G0866</x:v>
      </x:c>
      <x:c r="B869" t="str">
        <x:v>Bảng 8</x:v>
      </x:c>
      <x:c r="C869" t="str">
        <x:v>cell midpoint</x:v>
      </x:c>
      <x:c r="D869" t="str">
        <x:v>MID-2D</x:v>
      </x:c>
      <x:c r="E869" t="str">
        <x:v>{"z":11,"IL":0.25}</x:v>
      </x:c>
      <x:c r="F869" t="str">
        <x:v>BILINEAR-2D</x:v>
      </x:c>
      <x:c r="G869" t="n">
        <x:v>11</x:v>
      </x:c>
      <x:c r="H869" t="n">
        <x:v>0.25</x:v>
      </x:c>
      <x:c r="I869" t="n">
        <x:v>10</x:v>
      </x:c>
      <x:c r="J869" t="n">
        <x:v>12</x:v>
      </x:c>
      <x:c r="K869" t="n">
        <x:v>0.2</x:v>
      </x:c>
      <x:c r="L869" t="n">
        <x:v>0.3</x:v>
      </x:c>
      <x:c r="M869"/>
      <x:c r="N869"/>
      <x:c r="O869" t="n">
        <x:v>1050</x:v>
      </x:c>
      <x:c r="P869" t="n">
        <x:v>950</x:v>
      </x:c>
      <x:c r="Q869" t="n">
        <x:v>1250</x:v>
      </x:c>
      <x:c r="R869" t="n">
        <x:v>1100</x:v>
      </x:c>
      <x:c r="S869" t="n">
        <x:v>1087.5</x:v>
      </x:c>
      <x:c r="T869" t="n">
        <x:v>1087.5</x:v>
      </x:c>
      <x:c r="U869" s="28" t="n">
        <x:f>(O869+(G869-I869)*(Q869-O869)/(J869-I869))+(H869-K869)/(L869-K869)*((P869+(G869-I869)*(R869-P869)/(J869-I869))-(O869+(G869-I869)*(Q869-O869)/(J869-I869)))</x:f>
        <x:v>1087.5</x:v>
      </x:c>
      <x:c r="V869" s="32" t="n">
        <x:f>IF(AND(ISNUMBER(S869),ISNUMBER(U869)),ABS(S869-U869),IF(S869=U869,0,1))</x:f>
        <x:v>0</x:v>
      </x:c>
      <x:c r="W869" s="30" t="str">
        <x:v>PASS</x:v>
      </x:c>
      <x:c r="X869" s="28" t="str">
        <x:f>IF(V869&lt;=1E-9,"PASS","FAIL")</x:f>
        <x:v>PASS</x:v>
      </x:c>
      <x:c r="Y869" t="str">
        <x:v>Chú thích 2</x:v>
      </x:c>
      <x:c r="Z869" t="str"/>
    </x:row>
    <x:row r="870">
      <x:c r="A870" t="str">
        <x:v>G0867</x:v>
      </x:c>
      <x:c r="B870" t="str">
        <x:v>Bảng 8</x:v>
      </x:c>
      <x:c r="C870" t="str">
        <x:v>cell midpoint</x:v>
      </x:c>
      <x:c r="D870" t="str">
        <x:v>MID-2D</x:v>
      </x:c>
      <x:c r="E870" t="str">
        <x:v>{"z":11,"IL":0.35}</x:v>
      </x:c>
      <x:c r="F870" t="str">
        <x:v>BILINEAR-2D</x:v>
      </x:c>
      <x:c r="G870" t="n">
        <x:v>11</x:v>
      </x:c>
      <x:c r="H870" t="n">
        <x:v>0.35</x:v>
      </x:c>
      <x:c r="I870" t="n">
        <x:v>10</x:v>
      </x:c>
      <x:c r="J870" t="n">
        <x:v>12</x:v>
      </x:c>
      <x:c r="K870" t="n">
        <x:v>0.3</x:v>
      </x:c>
      <x:c r="L870" t="n">
        <x:v>0.4</x:v>
      </x:c>
      <x:c r="M870"/>
      <x:c r="N870"/>
      <x:c r="O870" t="n">
        <x:v>950</x:v>
      </x:c>
      <x:c r="P870" t="n">
        <x:v>800</x:v>
      </x:c>
      <x:c r="Q870" t="n">
        <x:v>1100</x:v>
      </x:c>
      <x:c r="R870" t="n">
        <x:v>950</x:v>
      </x:c>
      <x:c r="S870" t="n">
        <x:v>950</x:v>
      </x:c>
      <x:c r="T870" t="n">
        <x:v>950</x:v>
      </x:c>
      <x:c r="U870" s="28" t="n">
        <x:f>(O870+(G870-I870)*(Q870-O870)/(J870-I870))+(H870-K870)/(L870-K870)*((P870+(G870-I870)*(R870-P870)/(J870-I870))-(O870+(G870-I870)*(Q870-O870)/(J870-I870)))</x:f>
        <x:v>950</x:v>
      </x:c>
      <x:c r="V870" s="32" t="n">
        <x:f>IF(AND(ISNUMBER(S870),ISNUMBER(U870)),ABS(S870-U870),IF(S870=U870,0,1))</x:f>
        <x:v>0</x:v>
      </x:c>
      <x:c r="W870" s="30" t="str">
        <x:v>PASS</x:v>
      </x:c>
      <x:c r="X870" s="28" t="str">
        <x:f>IF(V870&lt;=1E-9,"PASS","FAIL")</x:f>
        <x:v>PASS</x:v>
      </x:c>
      <x:c r="Y870" t="str">
        <x:v>Chú thích 2</x:v>
      </x:c>
      <x:c r="Z870" t="str"/>
    </x:row>
    <x:row r="871">
      <x:c r="A871" t="str">
        <x:v>G0868</x:v>
      </x:c>
      <x:c r="B871" t="str">
        <x:v>Bảng 8</x:v>
      </x:c>
      <x:c r="C871" t="str">
        <x:v>cell midpoint</x:v>
      </x:c>
      <x:c r="D871" t="str">
        <x:v>MID-2D</x:v>
      </x:c>
      <x:c r="E871" t="str">
        <x:v>{"z":11,"IL":0.45}</x:v>
      </x:c>
      <x:c r="F871" t="str">
        <x:v>BILINEAR-2D</x:v>
      </x:c>
      <x:c r="G871" t="n">
        <x:v>11</x:v>
      </x:c>
      <x:c r="H871" t="n">
        <x:v>0.45</x:v>
      </x:c>
      <x:c r="I871" t="n">
        <x:v>10</x:v>
      </x:c>
      <x:c r="J871" t="n">
        <x:v>12</x:v>
      </x:c>
      <x:c r="K871" t="n">
        <x:v>0.4</x:v>
      </x:c>
      <x:c r="L871" t="n">
        <x:v>0.5</x:v>
      </x:c>
      <x:c r="M871"/>
      <x:c r="N871"/>
      <x:c r="O871" t="n">
        <x:v>800</x:v>
      </x:c>
      <x:c r="P871" t="n">
        <x:v>700</x:v>
      </x:c>
      <x:c r="Q871" t="n">
        <x:v>950</x:v>
      </x:c>
      <x:c r="R871" t="n">
        <x:v>800</x:v>
      </x:c>
      <x:c r="S871" t="n">
        <x:v>812.5</x:v>
      </x:c>
      <x:c r="T871" t="n">
        <x:v>812.5</x:v>
      </x:c>
      <x:c r="U871" s="28" t="n">
        <x:f>(O871+(G871-I871)*(Q871-O871)/(J871-I871))+(H871-K871)/(L871-K871)*((P871+(G871-I871)*(R871-P871)/(J871-I871))-(O871+(G871-I871)*(Q871-O871)/(J871-I871)))</x:f>
        <x:v>812.5</x:v>
      </x:c>
      <x:c r="V871" s="32" t="n">
        <x:f>IF(AND(ISNUMBER(S871),ISNUMBER(U871)),ABS(S871-U871),IF(S871=U871,0,1))</x:f>
        <x:v>0</x:v>
      </x:c>
      <x:c r="W871" s="30" t="str">
        <x:v>PASS</x:v>
      </x:c>
      <x:c r="X871" s="28" t="str">
        <x:f>IF(V871&lt;=1E-9,"PASS","FAIL")</x:f>
        <x:v>PASS</x:v>
      </x:c>
      <x:c r="Y871" t="str">
        <x:v>Chú thích 2</x:v>
      </x:c>
      <x:c r="Z871" t="str"/>
    </x:row>
    <x:row r="872">
      <x:c r="A872" t="str">
        <x:v>G0869</x:v>
      </x:c>
      <x:c r="B872" t="str">
        <x:v>Bảng 8</x:v>
      </x:c>
      <x:c r="C872" t="str">
        <x:v>cell midpoint</x:v>
      </x:c>
      <x:c r="D872" t="str">
        <x:v>MID-2D</x:v>
      </x:c>
      <x:c r="E872" t="str">
        <x:v>{"z":11,"IL":0.55}</x:v>
      </x:c>
      <x:c r="F872" t="str">
        <x:v>BILINEAR-2D</x:v>
      </x:c>
      <x:c r="G872" t="n">
        <x:v>11</x:v>
      </x:c>
      <x:c r="H872" t="n">
        <x:v>0.55</x:v>
      </x:c>
      <x:c r="I872" t="n">
        <x:v>10</x:v>
      </x:c>
      <x:c r="J872" t="n">
        <x:v>12</x:v>
      </x:c>
      <x:c r="K872" t="n">
        <x:v>0.5</x:v>
      </x:c>
      <x:c r="L872" t="n">
        <x:v>0.6</x:v>
      </x:c>
      <x:c r="M872"/>
      <x:c r="N872"/>
      <x:c r="O872" t="n">
        <x:v>700</x:v>
      </x:c>
      <x:c r="P872" t="n">
        <x:v>600</x:v>
      </x:c>
      <x:c r="Q872" t="n">
        <x:v>800</x:v>
      </x:c>
      <x:c r="R872" t="n">
        <x:v>700</x:v>
      </x:c>
      <x:c r="S872" t="n">
        <x:v>700</x:v>
      </x:c>
      <x:c r="T872" t="n">
        <x:v>700</x:v>
      </x:c>
      <x:c r="U872" s="28" t="n">
        <x:f>(O872+(G872-I872)*(Q872-O872)/(J872-I872))+(H872-K872)/(L872-K872)*((P872+(G872-I872)*(R872-P872)/(J872-I872))-(O872+(G872-I872)*(Q872-O872)/(J872-I872)))</x:f>
        <x:v>700</x:v>
      </x:c>
      <x:c r="V872" s="32" t="n">
        <x:f>IF(AND(ISNUMBER(S872),ISNUMBER(U872)),ABS(S872-U872),IF(S872=U872,0,1))</x:f>
        <x:v>0</x:v>
      </x:c>
      <x:c r="W872" s="30" t="str">
        <x:v>PASS</x:v>
      </x:c>
      <x:c r="X872" s="28" t="str">
        <x:f>IF(V872&lt;=1E-9,"PASS","FAIL")</x:f>
        <x:v>PASS</x:v>
      </x:c>
      <x:c r="Y872" t="str">
        <x:v>Chú thích 2</x:v>
      </x:c>
      <x:c r="Z872" t="str"/>
    </x:row>
    <x:row r="873">
      <x:c r="A873" t="str">
        <x:v>G0870</x:v>
      </x:c>
      <x:c r="B873" t="str">
        <x:v>Bảng 8</x:v>
      </x:c>
      <x:c r="C873" t="str">
        <x:v>cell midpoint</x:v>
      </x:c>
      <x:c r="D873" t="str">
        <x:v>MID-2D</x:v>
      </x:c>
      <x:c r="E873" t="str">
        <x:v>{"z":13.5,"IL":0.05}</x:v>
      </x:c>
      <x:c r="F873" t="str">
        <x:v>BILINEAR-2D</x:v>
      </x:c>
      <x:c r="G873" t="n">
        <x:v>13.5</x:v>
      </x:c>
      <x:c r="H873" t="n">
        <x:v>0.05</x:v>
      </x:c>
      <x:c r="I873" t="n">
        <x:v>12</x:v>
      </x:c>
      <x:c r="J873" t="n">
        <x:v>15</x:v>
      </x:c>
      <x:c r="K873" t="n">
        <x:v>0</x:v>
      </x:c>
      <x:c r="L873" t="n">
        <x:v>0.1</x:v>
      </x:c>
      <x:c r="M873"/>
      <x:c r="N873"/>
      <x:c r="O873" t="n">
        <x:v>1550</x:v>
      </x:c>
      <x:c r="P873" t="n">
        <x:v>1400</x:v>
      </x:c>
      <x:c r="Q873" t="n">
        <x:v>1800</x:v>
      </x:c>
      <x:c r="R873" t="n">
        <x:v>1650</x:v>
      </x:c>
      <x:c r="S873" t="n">
        <x:v>1600</x:v>
      </x:c>
      <x:c r="T873" t="n">
        <x:v>1600</x:v>
      </x:c>
      <x:c r="U873" s="28" t="n">
        <x:f>(O873+(G873-I873)*(Q873-O873)/(J873-I873))+(H873-K873)/(L873-K873)*((P873+(G873-I873)*(R873-P873)/(J873-I873))-(O873+(G873-I873)*(Q873-O873)/(J873-I873)))</x:f>
        <x:v>1600</x:v>
      </x:c>
      <x:c r="V873" s="32" t="n">
        <x:f>IF(AND(ISNUMBER(S873),ISNUMBER(U873)),ABS(S873-U873),IF(S873=U873,0,1))</x:f>
        <x:v>0</x:v>
      </x:c>
      <x:c r="W873" s="30" t="str">
        <x:v>PASS</x:v>
      </x:c>
      <x:c r="X873" s="28" t="str">
        <x:f>IF(V873&lt;=1E-9,"PASS","FAIL")</x:f>
        <x:v>PASS</x:v>
      </x:c>
      <x:c r="Y873" t="str">
        <x:v>Chú thích 2</x:v>
      </x:c>
      <x:c r="Z873" t="str"/>
    </x:row>
    <x:row r="874">
      <x:c r="A874" t="str">
        <x:v>G0871</x:v>
      </x:c>
      <x:c r="B874" t="str">
        <x:v>Bảng 8</x:v>
      </x:c>
      <x:c r="C874" t="str">
        <x:v>cell midpoint</x:v>
      </x:c>
      <x:c r="D874" t="str">
        <x:v>MID-2D</x:v>
      </x:c>
      <x:c r="E874" t="str">
        <x:v>{"z":13.5,"IL":0.15000000000000002}</x:v>
      </x:c>
      <x:c r="F874" t="str">
        <x:v>BILINEAR-2D</x:v>
      </x:c>
      <x:c r="G874" t="n">
        <x:v>13.5</x:v>
      </x:c>
      <x:c r="H874" t="n">
        <x:v>0.15000000000000002</x:v>
      </x:c>
      <x:c r="I874" t="n">
        <x:v>12</x:v>
      </x:c>
      <x:c r="J874" t="n">
        <x:v>15</x:v>
      </x:c>
      <x:c r="K874" t="n">
        <x:v>0.1</x:v>
      </x:c>
      <x:c r="L874" t="n">
        <x:v>0.2</x:v>
      </x:c>
      <x:c r="M874"/>
      <x:c r="N874"/>
      <x:c r="O874" t="n">
        <x:v>1400</x:v>
      </x:c>
      <x:c r="P874" t="n">
        <x:v>1250</x:v>
      </x:c>
      <x:c r="Q874" t="n">
        <x:v>1650</x:v>
      </x:c>
      <x:c r="R874" t="n">
        <x:v>1500</x:v>
      </x:c>
      <x:c r="S874" t="n">
        <x:v>1450</x:v>
      </x:c>
      <x:c r="T874" t="n">
        <x:v>1450</x:v>
      </x:c>
      <x:c r="U874" s="28" t="n">
        <x:f>(O874+(G874-I874)*(Q874-O874)/(J874-I874))+(H874-K874)/(L874-K874)*((P874+(G874-I874)*(R874-P874)/(J874-I874))-(O874+(G874-I874)*(Q874-O874)/(J874-I874)))</x:f>
        <x:v>1450</x:v>
      </x:c>
      <x:c r="V874" s="32" t="n">
        <x:f>IF(AND(ISNUMBER(S874),ISNUMBER(U874)),ABS(S874-U874),IF(S874=U874,0,1))</x:f>
        <x:v>0</x:v>
      </x:c>
      <x:c r="W874" s="30" t="str">
        <x:v>PASS</x:v>
      </x:c>
      <x:c r="X874" s="28" t="str">
        <x:f>IF(V874&lt;=1E-9,"PASS","FAIL")</x:f>
        <x:v>PASS</x:v>
      </x:c>
      <x:c r="Y874" t="str">
        <x:v>Chú thích 2</x:v>
      </x:c>
      <x:c r="Z874" t="str"/>
    </x:row>
    <x:row r="875">
      <x:c r="A875" t="str">
        <x:v>G0872</x:v>
      </x:c>
      <x:c r="B875" t="str">
        <x:v>Bảng 8</x:v>
      </x:c>
      <x:c r="C875" t="str">
        <x:v>cell midpoint</x:v>
      </x:c>
      <x:c r="D875" t="str">
        <x:v>MID-2D</x:v>
      </x:c>
      <x:c r="E875" t="str">
        <x:v>{"z":13.5,"IL":0.25}</x:v>
      </x:c>
      <x:c r="F875" t="str">
        <x:v>BILINEAR-2D</x:v>
      </x:c>
      <x:c r="G875" t="n">
        <x:v>13.5</x:v>
      </x:c>
      <x:c r="H875" t="n">
        <x:v>0.25</x:v>
      </x:c>
      <x:c r="I875" t="n">
        <x:v>12</x:v>
      </x:c>
      <x:c r="J875" t="n">
        <x:v>15</x:v>
      </x:c>
      <x:c r="K875" t="n">
        <x:v>0.2</x:v>
      </x:c>
      <x:c r="L875" t="n">
        <x:v>0.3</x:v>
      </x:c>
      <x:c r="M875"/>
      <x:c r="N875"/>
      <x:c r="O875" t="n">
        <x:v>1250</x:v>
      </x:c>
      <x:c r="P875" t="n">
        <x:v>1100</x:v>
      </x:c>
      <x:c r="Q875" t="n">
        <x:v>1500</x:v>
      </x:c>
      <x:c r="R875" t="n">
        <x:v>1300</x:v>
      </x:c>
      <x:c r="S875" t="n">
        <x:v>1287.5</x:v>
      </x:c>
      <x:c r="T875" t="n">
        <x:v>1287.5</x:v>
      </x:c>
      <x:c r="U875" s="28" t="n">
        <x:f>(O875+(G875-I875)*(Q875-O875)/(J875-I875))+(H875-K875)/(L875-K875)*((P875+(G875-I875)*(R875-P875)/(J875-I875))-(O875+(G875-I875)*(Q875-O875)/(J875-I875)))</x:f>
        <x:v>1287.5</x:v>
      </x:c>
      <x:c r="V875" s="32" t="n">
        <x:f>IF(AND(ISNUMBER(S875),ISNUMBER(U875)),ABS(S875-U875),IF(S875=U875,0,1))</x:f>
        <x:v>0</x:v>
      </x:c>
      <x:c r="W875" s="30" t="str">
        <x:v>PASS</x:v>
      </x:c>
      <x:c r="X875" s="28" t="str">
        <x:f>IF(V875&lt;=1E-9,"PASS","FAIL")</x:f>
        <x:v>PASS</x:v>
      </x:c>
      <x:c r="Y875" t="str">
        <x:v>Chú thích 2</x:v>
      </x:c>
      <x:c r="Z875" t="str"/>
    </x:row>
    <x:row r="876">
      <x:c r="A876" t="str">
        <x:v>G0873</x:v>
      </x:c>
      <x:c r="B876" t="str">
        <x:v>Bảng 8</x:v>
      </x:c>
      <x:c r="C876" t="str">
        <x:v>cell midpoint</x:v>
      </x:c>
      <x:c r="D876" t="str">
        <x:v>MID-2D</x:v>
      </x:c>
      <x:c r="E876" t="str">
        <x:v>{"z":13.5,"IL":0.35}</x:v>
      </x:c>
      <x:c r="F876" t="str">
        <x:v>BILINEAR-2D</x:v>
      </x:c>
      <x:c r="G876" t="n">
        <x:v>13.5</x:v>
      </x:c>
      <x:c r="H876" t="n">
        <x:v>0.35</x:v>
      </x:c>
      <x:c r="I876" t="n">
        <x:v>12</x:v>
      </x:c>
      <x:c r="J876" t="n">
        <x:v>15</x:v>
      </x:c>
      <x:c r="K876" t="n">
        <x:v>0.3</x:v>
      </x:c>
      <x:c r="L876" t="n">
        <x:v>0.4</x:v>
      </x:c>
      <x:c r="M876"/>
      <x:c r="N876"/>
      <x:c r="O876" t="n">
        <x:v>1100</x:v>
      </x:c>
      <x:c r="P876" t="n">
        <x:v>950</x:v>
      </x:c>
      <x:c r="Q876" t="n">
        <x:v>1300</x:v>
      </x:c>
      <x:c r="R876" t="n">
        <x:v>1100</x:v>
      </x:c>
      <x:c r="S876" t="n">
        <x:v>1112.5</x:v>
      </x:c>
      <x:c r="T876" t="n">
        <x:v>1112.5</x:v>
      </x:c>
      <x:c r="U876" s="28" t="n">
        <x:f>(O876+(G876-I876)*(Q876-O876)/(J876-I876))+(H876-K876)/(L876-K876)*((P876+(G876-I876)*(R876-P876)/(J876-I876))-(O876+(G876-I876)*(Q876-O876)/(J876-I876)))</x:f>
        <x:v>1112.5</x:v>
      </x:c>
      <x:c r="V876" s="32" t="n">
        <x:f>IF(AND(ISNUMBER(S876),ISNUMBER(U876)),ABS(S876-U876),IF(S876=U876,0,1))</x:f>
        <x:v>0</x:v>
      </x:c>
      <x:c r="W876" s="30" t="str">
        <x:v>PASS</x:v>
      </x:c>
      <x:c r="X876" s="28" t="str">
        <x:f>IF(V876&lt;=1E-9,"PASS","FAIL")</x:f>
        <x:v>PASS</x:v>
      </x:c>
      <x:c r="Y876" t="str">
        <x:v>Chú thích 2</x:v>
      </x:c>
      <x:c r="Z876" t="str"/>
    </x:row>
    <x:row r="877">
      <x:c r="A877" t="str">
        <x:v>G0874</x:v>
      </x:c>
      <x:c r="B877" t="str">
        <x:v>Bảng 8</x:v>
      </x:c>
      <x:c r="C877" t="str">
        <x:v>cell midpoint</x:v>
      </x:c>
      <x:c r="D877" t="str">
        <x:v>MID-2D</x:v>
      </x:c>
      <x:c r="E877" t="str">
        <x:v>{"z":13.5,"IL":0.45}</x:v>
      </x:c>
      <x:c r="F877" t="str">
        <x:v>BILINEAR-2D</x:v>
      </x:c>
      <x:c r="G877" t="n">
        <x:v>13.5</x:v>
      </x:c>
      <x:c r="H877" t="n">
        <x:v>0.45</x:v>
      </x:c>
      <x:c r="I877" t="n">
        <x:v>12</x:v>
      </x:c>
      <x:c r="J877" t="n">
        <x:v>15</x:v>
      </x:c>
      <x:c r="K877" t="n">
        <x:v>0.4</x:v>
      </x:c>
      <x:c r="L877" t="n">
        <x:v>0.5</x:v>
      </x:c>
      <x:c r="M877"/>
      <x:c r="N877"/>
      <x:c r="O877" t="n">
        <x:v>950</x:v>
      </x:c>
      <x:c r="P877" t="n">
        <x:v>800</x:v>
      </x:c>
      <x:c r="Q877" t="n">
        <x:v>1100</x:v>
      </x:c>
      <x:c r="R877" t="n">
        <x:v>1000</x:v>
      </x:c>
      <x:c r="S877" t="n">
        <x:v>962.5</x:v>
      </x:c>
      <x:c r="T877" t="n">
        <x:v>962.5</x:v>
      </x:c>
      <x:c r="U877" s="28" t="n">
        <x:f>(O877+(G877-I877)*(Q877-O877)/(J877-I877))+(H877-K877)/(L877-K877)*((P877+(G877-I877)*(R877-P877)/(J877-I877))-(O877+(G877-I877)*(Q877-O877)/(J877-I877)))</x:f>
        <x:v>962.5</x:v>
      </x:c>
      <x:c r="V877" s="32" t="n">
        <x:f>IF(AND(ISNUMBER(S877),ISNUMBER(U877)),ABS(S877-U877),IF(S877=U877,0,1))</x:f>
        <x:v>0</x:v>
      </x:c>
      <x:c r="W877" s="30" t="str">
        <x:v>PASS</x:v>
      </x:c>
      <x:c r="X877" s="28" t="str">
        <x:f>IF(V877&lt;=1E-9,"PASS","FAIL")</x:f>
        <x:v>PASS</x:v>
      </x:c>
      <x:c r="Y877" t="str">
        <x:v>Chú thích 2</x:v>
      </x:c>
      <x:c r="Z877" t="str"/>
    </x:row>
    <x:row r="878">
      <x:c r="A878" t="str">
        <x:v>G0875</x:v>
      </x:c>
      <x:c r="B878" t="str">
        <x:v>Bảng 8</x:v>
      </x:c>
      <x:c r="C878" t="str">
        <x:v>cell midpoint</x:v>
      </x:c>
      <x:c r="D878" t="str">
        <x:v>MID-2D</x:v>
      </x:c>
      <x:c r="E878" t="str">
        <x:v>{"z":13.5,"IL":0.55}</x:v>
      </x:c>
      <x:c r="F878" t="str">
        <x:v>BILINEAR-2D</x:v>
      </x:c>
      <x:c r="G878" t="n">
        <x:v>13.5</x:v>
      </x:c>
      <x:c r="H878" t="n">
        <x:v>0.55</x:v>
      </x:c>
      <x:c r="I878" t="n">
        <x:v>12</x:v>
      </x:c>
      <x:c r="J878" t="n">
        <x:v>15</x:v>
      </x:c>
      <x:c r="K878" t="n">
        <x:v>0.5</x:v>
      </x:c>
      <x:c r="L878" t="n">
        <x:v>0.6</x:v>
      </x:c>
      <x:c r="M878"/>
      <x:c r="N878"/>
      <x:c r="O878" t="n">
        <x:v>800</x:v>
      </x:c>
      <x:c r="P878" t="n">
        <x:v>700</x:v>
      </x:c>
      <x:c r="Q878" t="n">
        <x:v>1000</x:v>
      </x:c>
      <x:c r="R878" t="n">
        <x:v>800</x:v>
      </x:c>
      <x:c r="S878" t="n">
        <x:v>824.9999999999999</x:v>
      </x:c>
      <x:c r="T878" t="n">
        <x:v>824.9999999999999</x:v>
      </x:c>
      <x:c r="U878" s="28" t="n">
        <x:f>(O878+(G878-I878)*(Q878-O878)/(J878-I878))+(H878-K878)/(L878-K878)*((P878+(G878-I878)*(R878-P878)/(J878-I878))-(O878+(G878-I878)*(Q878-O878)/(J878-I878)))</x:f>
        <x:v>824.9999999999999</x:v>
      </x:c>
      <x:c r="V878" s="32" t="n">
        <x:f>IF(AND(ISNUMBER(S878),ISNUMBER(U878)),ABS(S878-U878),IF(S878=U878,0,1))</x:f>
        <x:v>0</x:v>
      </x:c>
      <x:c r="W878" s="30" t="str">
        <x:v>PASS</x:v>
      </x:c>
      <x:c r="X878" s="28" t="str">
        <x:f>IF(V878&lt;=1E-9,"PASS","FAIL")</x:f>
        <x:v>PASS</x:v>
      </x:c>
      <x:c r="Y878" t="str">
        <x:v>Chú thích 2</x:v>
      </x:c>
      <x:c r="Z878" t="str"/>
    </x:row>
    <x:row r="879">
      <x:c r="A879" t="str">
        <x:v>G0876</x:v>
      </x:c>
      <x:c r="B879" t="str">
        <x:v>Bảng 8</x:v>
      </x:c>
      <x:c r="C879" t="str">
        <x:v>cell midpoint</x:v>
      </x:c>
      <x:c r="D879" t="str">
        <x:v>MID-2D</x:v>
      </x:c>
      <x:c r="E879" t="str">
        <x:v>{"z":16.5,"IL":0.05}</x:v>
      </x:c>
      <x:c r="F879" t="str">
        <x:v>BILINEAR-2D</x:v>
      </x:c>
      <x:c r="G879" t="n">
        <x:v>16.5</x:v>
      </x:c>
      <x:c r="H879" t="n">
        <x:v>0.05</x:v>
      </x:c>
      <x:c r="I879" t="n">
        <x:v>15</x:v>
      </x:c>
      <x:c r="J879" t="n">
        <x:v>18</x:v>
      </x:c>
      <x:c r="K879" t="n">
        <x:v>0</x:v>
      </x:c>
      <x:c r="L879" t="n">
        <x:v>0.1</x:v>
      </x:c>
      <x:c r="M879"/>
      <x:c r="N879"/>
      <x:c r="O879" t="n">
        <x:v>1800</x:v>
      </x:c>
      <x:c r="P879" t="n">
        <x:v>1650</x:v>
      </x:c>
      <x:c r="Q879" t="n">
        <x:v>2100</x:v>
      </x:c>
      <x:c r="R879" t="n">
        <x:v>1900</x:v>
      </x:c>
      <x:c r="S879" t="n">
        <x:v>1862.5</x:v>
      </x:c>
      <x:c r="T879" t="n">
        <x:v>1862.5</x:v>
      </x:c>
      <x:c r="U879" s="28" t="n">
        <x:f>(O879+(G879-I879)*(Q879-O879)/(J879-I879))+(H879-K879)/(L879-K879)*((P879+(G879-I879)*(R879-P879)/(J879-I879))-(O879+(G879-I879)*(Q879-O879)/(J879-I879)))</x:f>
        <x:v>1862.5</x:v>
      </x:c>
      <x:c r="V879" s="32" t="n">
        <x:f>IF(AND(ISNUMBER(S879),ISNUMBER(U879)),ABS(S879-U879),IF(S879=U879,0,1))</x:f>
        <x:v>0</x:v>
      </x:c>
      <x:c r="W879" s="30" t="str">
        <x:v>PASS</x:v>
      </x:c>
      <x:c r="X879" s="28" t="str">
        <x:f>IF(V879&lt;=1E-9,"PASS","FAIL")</x:f>
        <x:v>PASS</x:v>
      </x:c>
      <x:c r="Y879" t="str">
        <x:v>Chú thích 2</x:v>
      </x:c>
      <x:c r="Z879" t="str"/>
    </x:row>
    <x:row r="880">
      <x:c r="A880" t="str">
        <x:v>G0877</x:v>
      </x:c>
      <x:c r="B880" t="str">
        <x:v>Bảng 8</x:v>
      </x:c>
      <x:c r="C880" t="str">
        <x:v>cell midpoint</x:v>
      </x:c>
      <x:c r="D880" t="str">
        <x:v>MID-2D</x:v>
      </x:c>
      <x:c r="E880" t="str">
        <x:v>{"z":16.5,"IL":0.15000000000000002}</x:v>
      </x:c>
      <x:c r="F880" t="str">
        <x:v>BILINEAR-2D</x:v>
      </x:c>
      <x:c r="G880" t="n">
        <x:v>16.5</x:v>
      </x:c>
      <x:c r="H880" t="n">
        <x:v>0.15000000000000002</x:v>
      </x:c>
      <x:c r="I880" t="n">
        <x:v>15</x:v>
      </x:c>
      <x:c r="J880" t="n">
        <x:v>18</x:v>
      </x:c>
      <x:c r="K880" t="n">
        <x:v>0.1</x:v>
      </x:c>
      <x:c r="L880" t="n">
        <x:v>0.2</x:v>
      </x:c>
      <x:c r="M880"/>
      <x:c r="N880"/>
      <x:c r="O880" t="n">
        <x:v>1650</x:v>
      </x:c>
      <x:c r="P880" t="n">
        <x:v>1500</x:v>
      </x:c>
      <x:c r="Q880" t="n">
        <x:v>1900</x:v>
      </x:c>
      <x:c r="R880" t="n">
        <x:v>1700</x:v>
      </x:c>
      <x:c r="S880" t="n">
        <x:v>1687.5</x:v>
      </x:c>
      <x:c r="T880" t="n">
        <x:v>1687.5</x:v>
      </x:c>
      <x:c r="U880" s="28" t="n">
        <x:f>(O880+(G880-I880)*(Q880-O880)/(J880-I880))+(H880-K880)/(L880-K880)*((P880+(G880-I880)*(R880-P880)/(J880-I880))-(O880+(G880-I880)*(Q880-O880)/(J880-I880)))</x:f>
        <x:v>1687.5</x:v>
      </x:c>
      <x:c r="V880" s="32" t="n">
        <x:f>IF(AND(ISNUMBER(S880),ISNUMBER(U880)),ABS(S880-U880),IF(S880=U880,0,1))</x:f>
        <x:v>0</x:v>
      </x:c>
      <x:c r="W880" s="30" t="str">
        <x:v>PASS</x:v>
      </x:c>
      <x:c r="X880" s="28" t="str">
        <x:f>IF(V880&lt;=1E-9,"PASS","FAIL")</x:f>
        <x:v>PASS</x:v>
      </x:c>
      <x:c r="Y880" t="str">
        <x:v>Chú thích 2</x:v>
      </x:c>
      <x:c r="Z880" t="str"/>
    </x:row>
    <x:row r="881">
      <x:c r="A881" t="str">
        <x:v>G0878</x:v>
      </x:c>
      <x:c r="B881" t="str">
        <x:v>Bảng 8</x:v>
      </x:c>
      <x:c r="C881" t="str">
        <x:v>cell midpoint</x:v>
      </x:c>
      <x:c r="D881" t="str">
        <x:v>MID-2D</x:v>
      </x:c>
      <x:c r="E881" t="str">
        <x:v>{"z":16.5,"IL":0.25}</x:v>
      </x:c>
      <x:c r="F881" t="str">
        <x:v>BILINEAR-2D</x:v>
      </x:c>
      <x:c r="G881" t="n">
        <x:v>16.5</x:v>
      </x:c>
      <x:c r="H881" t="n">
        <x:v>0.25</x:v>
      </x:c>
      <x:c r="I881" t="n">
        <x:v>15</x:v>
      </x:c>
      <x:c r="J881" t="n">
        <x:v>18</x:v>
      </x:c>
      <x:c r="K881" t="n">
        <x:v>0.2</x:v>
      </x:c>
      <x:c r="L881" t="n">
        <x:v>0.3</x:v>
      </x:c>
      <x:c r="M881"/>
      <x:c r="N881"/>
      <x:c r="O881" t="n">
        <x:v>1500</x:v>
      </x:c>
      <x:c r="P881" t="n">
        <x:v>1300</x:v>
      </x:c>
      <x:c r="Q881" t="n">
        <x:v>1700</x:v>
      </x:c>
      <x:c r="R881" t="n">
        <x:v>1500</x:v>
      </x:c>
      <x:c r="S881" t="n">
        <x:v>1500</x:v>
      </x:c>
      <x:c r="T881" t="n">
        <x:v>1500</x:v>
      </x:c>
      <x:c r="U881" s="28" t="n">
        <x:f>(O881+(G881-I881)*(Q881-O881)/(J881-I881))+(H881-K881)/(L881-K881)*((P881+(G881-I881)*(R881-P881)/(J881-I881))-(O881+(G881-I881)*(Q881-O881)/(J881-I881)))</x:f>
        <x:v>1500</x:v>
      </x:c>
      <x:c r="V881" s="32" t="n">
        <x:f>IF(AND(ISNUMBER(S881),ISNUMBER(U881)),ABS(S881-U881),IF(S881=U881,0,1))</x:f>
        <x:v>0</x:v>
      </x:c>
      <x:c r="W881" s="30" t="str">
        <x:v>PASS</x:v>
      </x:c>
      <x:c r="X881" s="28" t="str">
        <x:f>IF(V881&lt;=1E-9,"PASS","FAIL")</x:f>
        <x:v>PASS</x:v>
      </x:c>
      <x:c r="Y881" t="str">
        <x:v>Chú thích 2</x:v>
      </x:c>
      <x:c r="Z881" t="str"/>
    </x:row>
    <x:row r="882">
      <x:c r="A882" t="str">
        <x:v>G0879</x:v>
      </x:c>
      <x:c r="B882" t="str">
        <x:v>Bảng 8</x:v>
      </x:c>
      <x:c r="C882" t="str">
        <x:v>cell midpoint</x:v>
      </x:c>
      <x:c r="D882" t="str">
        <x:v>MID-2D</x:v>
      </x:c>
      <x:c r="E882" t="str">
        <x:v>{"z":16.5,"IL":0.35}</x:v>
      </x:c>
      <x:c r="F882" t="str">
        <x:v>BILINEAR-2D</x:v>
      </x:c>
      <x:c r="G882" t="n">
        <x:v>16.5</x:v>
      </x:c>
      <x:c r="H882" t="n">
        <x:v>0.35</x:v>
      </x:c>
      <x:c r="I882" t="n">
        <x:v>15</x:v>
      </x:c>
      <x:c r="J882" t="n">
        <x:v>18</x:v>
      </x:c>
      <x:c r="K882" t="n">
        <x:v>0.3</x:v>
      </x:c>
      <x:c r="L882" t="n">
        <x:v>0.4</x:v>
      </x:c>
      <x:c r="M882"/>
      <x:c r="N882"/>
      <x:c r="O882" t="n">
        <x:v>1300</x:v>
      </x:c>
      <x:c r="P882" t="n">
        <x:v>1100</x:v>
      </x:c>
      <x:c r="Q882" t="n">
        <x:v>1500</x:v>
      </x:c>
      <x:c r="R882" t="n">
        <x:v>1300</x:v>
      </x:c>
      <x:c r="S882" t="n">
        <x:v>1300</x:v>
      </x:c>
      <x:c r="T882" t="n">
        <x:v>1300</x:v>
      </x:c>
      <x:c r="U882" s="28" t="n">
        <x:f>(O882+(G882-I882)*(Q882-O882)/(J882-I882))+(H882-K882)/(L882-K882)*((P882+(G882-I882)*(R882-P882)/(J882-I882))-(O882+(G882-I882)*(Q882-O882)/(J882-I882)))</x:f>
        <x:v>1300</x:v>
      </x:c>
      <x:c r="V882" s="32" t="n">
        <x:f>IF(AND(ISNUMBER(S882),ISNUMBER(U882)),ABS(S882-U882),IF(S882=U882,0,1))</x:f>
        <x:v>0</x:v>
      </x:c>
      <x:c r="W882" s="30" t="str">
        <x:v>PASS</x:v>
      </x:c>
      <x:c r="X882" s="28" t="str">
        <x:f>IF(V882&lt;=1E-9,"PASS","FAIL")</x:f>
        <x:v>PASS</x:v>
      </x:c>
      <x:c r="Y882" t="str">
        <x:v>Chú thích 2</x:v>
      </x:c>
      <x:c r="Z882" t="str"/>
    </x:row>
    <x:row r="883">
      <x:c r="A883" t="str">
        <x:v>G0880</x:v>
      </x:c>
      <x:c r="B883" t="str">
        <x:v>Bảng 8</x:v>
      </x:c>
      <x:c r="C883" t="str">
        <x:v>cell midpoint</x:v>
      </x:c>
      <x:c r="D883" t="str">
        <x:v>MID-2D</x:v>
      </x:c>
      <x:c r="E883" t="str">
        <x:v>{"z":16.5,"IL":0.45}</x:v>
      </x:c>
      <x:c r="F883" t="str">
        <x:v>BILINEAR-2D</x:v>
      </x:c>
      <x:c r="G883" t="n">
        <x:v>16.5</x:v>
      </x:c>
      <x:c r="H883" t="n">
        <x:v>0.45</x:v>
      </x:c>
      <x:c r="I883" t="n">
        <x:v>15</x:v>
      </x:c>
      <x:c r="J883" t="n">
        <x:v>18</x:v>
      </x:c>
      <x:c r="K883" t="n">
        <x:v>0.4</x:v>
      </x:c>
      <x:c r="L883" t="n">
        <x:v>0.5</x:v>
      </x:c>
      <x:c r="M883"/>
      <x:c r="N883"/>
      <x:c r="O883" t="n">
        <x:v>1100</x:v>
      </x:c>
      <x:c r="P883" t="n">
        <x:v>1000</x:v>
      </x:c>
      <x:c r="Q883" t="n">
        <x:v>1300</x:v>
      </x:c>
      <x:c r="R883" t="n">
        <x:v>1150</x:v>
      </x:c>
      <x:c r="S883" t="n">
        <x:v>1137.5</x:v>
      </x:c>
      <x:c r="T883" t="n">
        <x:v>1137.5</x:v>
      </x:c>
      <x:c r="U883" s="28" t="n">
        <x:f>(O883+(G883-I883)*(Q883-O883)/(J883-I883))+(H883-K883)/(L883-K883)*((P883+(G883-I883)*(R883-P883)/(J883-I883))-(O883+(G883-I883)*(Q883-O883)/(J883-I883)))</x:f>
        <x:v>1137.5</x:v>
      </x:c>
      <x:c r="V883" s="32" t="n">
        <x:f>IF(AND(ISNUMBER(S883),ISNUMBER(U883)),ABS(S883-U883),IF(S883=U883,0,1))</x:f>
        <x:v>0</x:v>
      </x:c>
      <x:c r="W883" s="30" t="str">
        <x:v>PASS</x:v>
      </x:c>
      <x:c r="X883" s="28" t="str">
        <x:f>IF(V883&lt;=1E-9,"PASS","FAIL")</x:f>
        <x:v>PASS</x:v>
      </x:c>
      <x:c r="Y883" t="str">
        <x:v>Chú thích 2</x:v>
      </x:c>
      <x:c r="Z883" t="str"/>
    </x:row>
    <x:row r="884">
      <x:c r="A884" t="str">
        <x:v>G0881</x:v>
      </x:c>
      <x:c r="B884" t="str">
        <x:v>Bảng 8</x:v>
      </x:c>
      <x:c r="C884" t="str">
        <x:v>cell midpoint</x:v>
      </x:c>
      <x:c r="D884" t="str">
        <x:v>MID-2D</x:v>
      </x:c>
      <x:c r="E884" t="str">
        <x:v>{"z":16.5,"IL":0.55}</x:v>
      </x:c>
      <x:c r="F884" t="str">
        <x:v>BILINEAR-2D</x:v>
      </x:c>
      <x:c r="G884" t="n">
        <x:v>16.5</x:v>
      </x:c>
      <x:c r="H884" t="n">
        <x:v>0.55</x:v>
      </x:c>
      <x:c r="I884" t="n">
        <x:v>15</x:v>
      </x:c>
      <x:c r="J884" t="n">
        <x:v>18</x:v>
      </x:c>
      <x:c r="K884" t="n">
        <x:v>0.5</x:v>
      </x:c>
      <x:c r="L884" t="n">
        <x:v>0.6</x:v>
      </x:c>
      <x:c r="M884"/>
      <x:c r="N884"/>
      <x:c r="O884" t="n">
        <x:v>1000</x:v>
      </x:c>
      <x:c r="P884" t="n">
        <x:v>800</x:v>
      </x:c>
      <x:c r="Q884" t="n">
        <x:v>1150</x:v>
      </x:c>
      <x:c r="R884" t="n">
        <x:v>950</x:v>
      </x:c>
      <x:c r="S884" t="n">
        <x:v>974.9999999999999</x:v>
      </x:c>
      <x:c r="T884" t="n">
        <x:v>974.9999999999999</x:v>
      </x:c>
      <x:c r="U884" s="28" t="n">
        <x:f>(O884+(G884-I884)*(Q884-O884)/(J884-I884))+(H884-K884)/(L884-K884)*((P884+(G884-I884)*(R884-P884)/(J884-I884))-(O884+(G884-I884)*(Q884-O884)/(J884-I884)))</x:f>
        <x:v>974.9999999999999</x:v>
      </x:c>
      <x:c r="V884" s="32" t="n">
        <x:f>IF(AND(ISNUMBER(S884),ISNUMBER(U884)),ABS(S884-U884),IF(S884=U884,0,1))</x:f>
        <x:v>0</x:v>
      </x:c>
      <x:c r="W884" s="30" t="str">
        <x:v>PASS</x:v>
      </x:c>
      <x:c r="X884" s="28" t="str">
        <x:f>IF(V884&lt;=1E-9,"PASS","FAIL")</x:f>
        <x:v>PASS</x:v>
      </x:c>
      <x:c r="Y884" t="str">
        <x:v>Chú thích 2</x:v>
      </x:c>
      <x:c r="Z884" t="str"/>
    </x:row>
    <x:row r="885">
      <x:c r="A885" t="str">
        <x:v>G0882</x:v>
      </x:c>
      <x:c r="B885" t="str">
        <x:v>Bảng 8</x:v>
      </x:c>
      <x:c r="C885" t="str">
        <x:v>cell midpoint</x:v>
      </x:c>
      <x:c r="D885" t="str">
        <x:v>MID-2D</x:v>
      </x:c>
      <x:c r="E885" t="str">
        <x:v>{"z":19,"IL":0.05}</x:v>
      </x:c>
      <x:c r="F885" t="str">
        <x:v>BILINEAR-2D</x:v>
      </x:c>
      <x:c r="G885" t="n">
        <x:v>19</x:v>
      </x:c>
      <x:c r="H885" t="n">
        <x:v>0.05</x:v>
      </x:c>
      <x:c r="I885" t="n">
        <x:v>18</x:v>
      </x:c>
      <x:c r="J885" t="n">
        <x:v>20</x:v>
      </x:c>
      <x:c r="K885" t="n">
        <x:v>0</x:v>
      </x:c>
      <x:c r="L885" t="n">
        <x:v>0.1</x:v>
      </x:c>
      <x:c r="M885"/>
      <x:c r="N885"/>
      <x:c r="O885" t="n">
        <x:v>2100</x:v>
      </x:c>
      <x:c r="P885" t="n">
        <x:v>1900</x:v>
      </x:c>
      <x:c r="Q885" t="n">
        <x:v>2300</x:v>
      </x:c>
      <x:c r="R885" t="n">
        <x:v>2100</x:v>
      </x:c>
      <x:c r="S885" t="n">
        <x:v>2100</x:v>
      </x:c>
      <x:c r="T885" t="n">
        <x:v>2100</x:v>
      </x:c>
      <x:c r="U885" s="28" t="n">
        <x:f>(O885+(G885-I885)*(Q885-O885)/(J885-I885))+(H885-K885)/(L885-K885)*((P885+(G885-I885)*(R885-P885)/(J885-I885))-(O885+(G885-I885)*(Q885-O885)/(J885-I885)))</x:f>
        <x:v>2100</x:v>
      </x:c>
      <x:c r="V885" s="32" t="n">
        <x:f>IF(AND(ISNUMBER(S885),ISNUMBER(U885)),ABS(S885-U885),IF(S885=U885,0,1))</x:f>
        <x:v>0</x:v>
      </x:c>
      <x:c r="W885" s="30" t="str">
        <x:v>PASS</x:v>
      </x:c>
      <x:c r="X885" s="28" t="str">
        <x:f>IF(V885&lt;=1E-9,"PASS","FAIL")</x:f>
        <x:v>PASS</x:v>
      </x:c>
      <x:c r="Y885" t="str">
        <x:v>Chú thích 2</x:v>
      </x:c>
      <x:c r="Z885" t="str"/>
    </x:row>
    <x:row r="886">
      <x:c r="A886" t="str">
        <x:v>G0883</x:v>
      </x:c>
      <x:c r="B886" t="str">
        <x:v>Bảng 8</x:v>
      </x:c>
      <x:c r="C886" t="str">
        <x:v>cell midpoint</x:v>
      </x:c>
      <x:c r="D886" t="str">
        <x:v>MID-2D</x:v>
      </x:c>
      <x:c r="E886" t="str">
        <x:v>{"z":19,"IL":0.15000000000000002}</x:v>
      </x:c>
      <x:c r="F886" t="str">
        <x:v>BILINEAR-2D</x:v>
      </x:c>
      <x:c r="G886" t="n">
        <x:v>19</x:v>
      </x:c>
      <x:c r="H886" t="n">
        <x:v>0.15000000000000002</x:v>
      </x:c>
      <x:c r="I886" t="n">
        <x:v>18</x:v>
      </x:c>
      <x:c r="J886" t="n">
        <x:v>20</x:v>
      </x:c>
      <x:c r="K886" t="n">
        <x:v>0.1</x:v>
      </x:c>
      <x:c r="L886" t="n">
        <x:v>0.2</x:v>
      </x:c>
      <x:c r="M886"/>
      <x:c r="N886"/>
      <x:c r="O886" t="n">
        <x:v>1900</x:v>
      </x:c>
      <x:c r="P886" t="n">
        <x:v>1700</x:v>
      </x:c>
      <x:c r="Q886" t="n">
        <x:v>2100</x:v>
      </x:c>
      <x:c r="R886" t="n">
        <x:v>1900</x:v>
      </x:c>
      <x:c r="S886" t="n">
        <x:v>1900</x:v>
      </x:c>
      <x:c r="T886" t="n">
        <x:v>1900</x:v>
      </x:c>
      <x:c r="U886" s="28" t="n">
        <x:f>(O886+(G886-I886)*(Q886-O886)/(J886-I886))+(H886-K886)/(L886-K886)*((P886+(G886-I886)*(R886-P886)/(J886-I886))-(O886+(G886-I886)*(Q886-O886)/(J886-I886)))</x:f>
        <x:v>1900</x:v>
      </x:c>
      <x:c r="V886" s="32" t="n">
        <x:f>IF(AND(ISNUMBER(S886),ISNUMBER(U886)),ABS(S886-U886),IF(S886=U886,0,1))</x:f>
        <x:v>0</x:v>
      </x:c>
      <x:c r="W886" s="30" t="str">
        <x:v>PASS</x:v>
      </x:c>
      <x:c r="X886" s="28" t="str">
        <x:f>IF(V886&lt;=1E-9,"PASS","FAIL")</x:f>
        <x:v>PASS</x:v>
      </x:c>
      <x:c r="Y886" t="str">
        <x:v>Chú thích 2</x:v>
      </x:c>
      <x:c r="Z886" t="str"/>
    </x:row>
    <x:row r="887">
      <x:c r="A887" t="str">
        <x:v>G0884</x:v>
      </x:c>
      <x:c r="B887" t="str">
        <x:v>Bảng 8</x:v>
      </x:c>
      <x:c r="C887" t="str">
        <x:v>cell midpoint</x:v>
      </x:c>
      <x:c r="D887" t="str">
        <x:v>MID-2D</x:v>
      </x:c>
      <x:c r="E887" t="str">
        <x:v>{"z":19,"IL":0.25}</x:v>
      </x:c>
      <x:c r="F887" t="str">
        <x:v>BILINEAR-2D</x:v>
      </x:c>
      <x:c r="G887" t="n">
        <x:v>19</x:v>
      </x:c>
      <x:c r="H887" t="n">
        <x:v>0.25</x:v>
      </x:c>
      <x:c r="I887" t="n">
        <x:v>18</x:v>
      </x:c>
      <x:c r="J887" t="n">
        <x:v>20</x:v>
      </x:c>
      <x:c r="K887" t="n">
        <x:v>0.2</x:v>
      </x:c>
      <x:c r="L887" t="n">
        <x:v>0.3</x:v>
      </x:c>
      <x:c r="M887"/>
      <x:c r="N887"/>
      <x:c r="O887" t="n">
        <x:v>1700</x:v>
      </x:c>
      <x:c r="P887" t="n">
        <x:v>1500</x:v>
      </x:c>
      <x:c r="Q887" t="n">
        <x:v>1900</x:v>
      </x:c>
      <x:c r="R887" t="n">
        <x:v>1650</x:v>
      </x:c>
      <x:c r="S887" t="n">
        <x:v>1687.5</x:v>
      </x:c>
      <x:c r="T887" t="n">
        <x:v>1687.5</x:v>
      </x:c>
      <x:c r="U887" s="28" t="n">
        <x:f>(O887+(G887-I887)*(Q887-O887)/(J887-I887))+(H887-K887)/(L887-K887)*((P887+(G887-I887)*(R887-P887)/(J887-I887))-(O887+(G887-I887)*(Q887-O887)/(J887-I887)))</x:f>
        <x:v>1687.5</x:v>
      </x:c>
      <x:c r="V887" s="32" t="n">
        <x:f>IF(AND(ISNUMBER(S887),ISNUMBER(U887)),ABS(S887-U887),IF(S887=U887,0,1))</x:f>
        <x:v>0</x:v>
      </x:c>
      <x:c r="W887" s="30" t="str">
        <x:v>PASS</x:v>
      </x:c>
      <x:c r="X887" s="28" t="str">
        <x:f>IF(V887&lt;=1E-9,"PASS","FAIL")</x:f>
        <x:v>PASS</x:v>
      </x:c>
      <x:c r="Y887" t="str">
        <x:v>Chú thích 2</x:v>
      </x:c>
      <x:c r="Z887" t="str"/>
    </x:row>
    <x:row r="888">
      <x:c r="A888" t="str">
        <x:v>G0885</x:v>
      </x:c>
      <x:c r="B888" t="str">
        <x:v>Bảng 8</x:v>
      </x:c>
      <x:c r="C888" t="str">
        <x:v>cell midpoint</x:v>
      </x:c>
      <x:c r="D888" t="str">
        <x:v>MID-2D</x:v>
      </x:c>
      <x:c r="E888" t="str">
        <x:v>{"z":19,"IL":0.35}</x:v>
      </x:c>
      <x:c r="F888" t="str">
        <x:v>BILINEAR-2D</x:v>
      </x:c>
      <x:c r="G888" t="n">
        <x:v>19</x:v>
      </x:c>
      <x:c r="H888" t="n">
        <x:v>0.35</x:v>
      </x:c>
      <x:c r="I888" t="n">
        <x:v>18</x:v>
      </x:c>
      <x:c r="J888" t="n">
        <x:v>20</x:v>
      </x:c>
      <x:c r="K888" t="n">
        <x:v>0.3</x:v>
      </x:c>
      <x:c r="L888" t="n">
        <x:v>0.4</x:v>
      </x:c>
      <x:c r="M888"/>
      <x:c r="N888"/>
      <x:c r="O888" t="n">
        <x:v>1500</x:v>
      </x:c>
      <x:c r="P888" t="n">
        <x:v>1300</x:v>
      </x:c>
      <x:c r="Q888" t="n">
        <x:v>1650</x:v>
      </x:c>
      <x:c r="R888" t="n">
        <x:v>1450</x:v>
      </x:c>
      <x:c r="S888" t="n">
        <x:v>1475</x:v>
      </x:c>
      <x:c r="T888" t="n">
        <x:v>1475</x:v>
      </x:c>
      <x:c r="U888" s="28" t="n">
        <x:f>(O888+(G888-I888)*(Q888-O888)/(J888-I888))+(H888-K888)/(L888-K888)*((P888+(G888-I888)*(R888-P888)/(J888-I888))-(O888+(G888-I888)*(Q888-O888)/(J888-I888)))</x:f>
        <x:v>1475</x:v>
      </x:c>
      <x:c r="V888" s="32" t="n">
        <x:f>IF(AND(ISNUMBER(S888),ISNUMBER(U888)),ABS(S888-U888),IF(S888=U888,0,1))</x:f>
        <x:v>0</x:v>
      </x:c>
      <x:c r="W888" s="30" t="str">
        <x:v>PASS</x:v>
      </x:c>
      <x:c r="X888" s="28" t="str">
        <x:f>IF(V888&lt;=1E-9,"PASS","FAIL")</x:f>
        <x:v>PASS</x:v>
      </x:c>
      <x:c r="Y888" t="str">
        <x:v>Chú thích 2</x:v>
      </x:c>
      <x:c r="Z888" t="str"/>
    </x:row>
    <x:row r="889">
      <x:c r="A889" t="str">
        <x:v>G0886</x:v>
      </x:c>
      <x:c r="B889" t="str">
        <x:v>Bảng 8</x:v>
      </x:c>
      <x:c r="C889" t="str">
        <x:v>cell midpoint</x:v>
      </x:c>
      <x:c r="D889" t="str">
        <x:v>MID-2D</x:v>
      </x:c>
      <x:c r="E889" t="str">
        <x:v>{"z":19,"IL":0.45}</x:v>
      </x:c>
      <x:c r="F889" t="str">
        <x:v>BILINEAR-2D</x:v>
      </x:c>
      <x:c r="G889" t="n">
        <x:v>19</x:v>
      </x:c>
      <x:c r="H889" t="n">
        <x:v>0.45</x:v>
      </x:c>
      <x:c r="I889" t="n">
        <x:v>18</x:v>
      </x:c>
      <x:c r="J889" t="n">
        <x:v>20</x:v>
      </x:c>
      <x:c r="K889" t="n">
        <x:v>0.4</x:v>
      </x:c>
      <x:c r="L889" t="n">
        <x:v>0.5</x:v>
      </x:c>
      <x:c r="M889"/>
      <x:c r="N889"/>
      <x:c r="O889" t="n">
        <x:v>1300</x:v>
      </x:c>
      <x:c r="P889" t="n">
        <x:v>1150</x:v>
      </x:c>
      <x:c r="Q889" t="n">
        <x:v>1450</x:v>
      </x:c>
      <x:c r="R889" t="n">
        <x:v>1250</x:v>
      </x:c>
      <x:c r="S889" t="n">
        <x:v>1287.5</x:v>
      </x:c>
      <x:c r="T889" t="n">
        <x:v>1287.5</x:v>
      </x:c>
      <x:c r="U889" s="28" t="n">
        <x:f>(O889+(G889-I889)*(Q889-O889)/(J889-I889))+(H889-K889)/(L889-K889)*((P889+(G889-I889)*(R889-P889)/(J889-I889))-(O889+(G889-I889)*(Q889-O889)/(J889-I889)))</x:f>
        <x:v>1287.5</x:v>
      </x:c>
      <x:c r="V889" s="32" t="n">
        <x:f>IF(AND(ISNUMBER(S889),ISNUMBER(U889)),ABS(S889-U889),IF(S889=U889,0,1))</x:f>
        <x:v>0</x:v>
      </x:c>
      <x:c r="W889" s="30" t="str">
        <x:v>PASS</x:v>
      </x:c>
      <x:c r="X889" s="28" t="str">
        <x:f>IF(V889&lt;=1E-9,"PASS","FAIL")</x:f>
        <x:v>PASS</x:v>
      </x:c>
      <x:c r="Y889" t="str">
        <x:v>Chú thích 2</x:v>
      </x:c>
      <x:c r="Z889" t="str"/>
    </x:row>
    <x:row r="890">
      <x:c r="A890" t="str">
        <x:v>G0887</x:v>
      </x:c>
      <x:c r="B890" t="str">
        <x:v>Bảng 8</x:v>
      </x:c>
      <x:c r="C890" t="str">
        <x:v>cell midpoint</x:v>
      </x:c>
      <x:c r="D890" t="str">
        <x:v>MID-2D</x:v>
      </x:c>
      <x:c r="E890" t="str">
        <x:v>{"z":19,"IL":0.55}</x:v>
      </x:c>
      <x:c r="F890" t="str">
        <x:v>BILINEAR-2D</x:v>
      </x:c>
      <x:c r="G890" t="n">
        <x:v>19</x:v>
      </x:c>
      <x:c r="H890" t="n">
        <x:v>0.55</x:v>
      </x:c>
      <x:c r="I890" t="n">
        <x:v>18</x:v>
      </x:c>
      <x:c r="J890" t="n">
        <x:v>20</x:v>
      </x:c>
      <x:c r="K890" t="n">
        <x:v>0.5</x:v>
      </x:c>
      <x:c r="L890" t="n">
        <x:v>0.6</x:v>
      </x:c>
      <x:c r="M890"/>
      <x:c r="N890"/>
      <x:c r="O890" t="n">
        <x:v>1150</x:v>
      </x:c>
      <x:c r="P890" t="n">
        <x:v>950</x:v>
      </x:c>
      <x:c r="Q890" t="n">
        <x:v>1250</x:v>
      </x:c>
      <x:c r="R890" t="n">
        <x:v>1050</x:v>
      </x:c>
      <x:c r="S890" t="n">
        <x:v>1100</x:v>
      </x:c>
      <x:c r="T890" t="n">
        <x:v>1100</x:v>
      </x:c>
      <x:c r="U890" s="28" t="n">
        <x:f>(O890+(G890-I890)*(Q890-O890)/(J890-I890))+(H890-K890)/(L890-K890)*((P890+(G890-I890)*(R890-P890)/(J890-I890))-(O890+(G890-I890)*(Q890-O890)/(J890-I890)))</x:f>
        <x:v>1100</x:v>
      </x:c>
      <x:c r="V890" s="32" t="n">
        <x:f>IF(AND(ISNUMBER(S890),ISNUMBER(U890)),ABS(S890-U890),IF(S890=U890,0,1))</x:f>
        <x:v>0</x:v>
      </x:c>
      <x:c r="W890" s="30" t="str">
        <x:v>PASS</x:v>
      </x:c>
      <x:c r="X890" s="28" t="str">
        <x:f>IF(V890&lt;=1E-9,"PASS","FAIL")</x:f>
        <x:v>PASS</x:v>
      </x:c>
      <x:c r="Y890" t="str">
        <x:v>Chú thích 2</x:v>
      </x:c>
      <x:c r="Z890" t="str"/>
    </x:row>
    <x:row r="891">
      <x:c r="A891" t="str">
        <x:v>G0888</x:v>
      </x:c>
      <x:c r="B891" t="str">
        <x:v>Bảng 8</x:v>
      </x:c>
      <x:c r="C891" t="str">
        <x:v>cell midpoint</x:v>
      </x:c>
      <x:c r="D891" t="str">
        <x:v>MID-2D</x:v>
      </x:c>
      <x:c r="E891" t="str">
        <x:v>{"z":25,"IL":0.05}</x:v>
      </x:c>
      <x:c r="F891" t="str">
        <x:v>BILINEAR-2D</x:v>
      </x:c>
      <x:c r="G891" t="n">
        <x:v>25</x:v>
      </x:c>
      <x:c r="H891" t="n">
        <x:v>0.05</x:v>
      </x:c>
      <x:c r="I891" t="n">
        <x:v>20</x:v>
      </x:c>
      <x:c r="J891" t="n">
        <x:v>30</x:v>
      </x:c>
      <x:c r="K891" t="n">
        <x:v>0</x:v>
      </x:c>
      <x:c r="L891" t="n">
        <x:v>0.1</x:v>
      </x:c>
      <x:c r="M891"/>
      <x:c r="N891"/>
      <x:c r="O891" t="n">
        <x:v>2300</x:v>
      </x:c>
      <x:c r="P891" t="n">
        <x:v>2100</x:v>
      </x:c>
      <x:c r="Q891" t="n">
        <x:v>3300</x:v>
      </x:c>
      <x:c r="R891" t="n">
        <x:v>3000</x:v>
      </x:c>
      <x:c r="S891" t="n">
        <x:v>2675</x:v>
      </x:c>
      <x:c r="T891" t="n">
        <x:v>2675</x:v>
      </x:c>
      <x:c r="U891" s="28" t="n">
        <x:f>(O891+(G891-I891)*(Q891-O891)/(J891-I891))+(H891-K891)/(L891-K891)*((P891+(G891-I891)*(R891-P891)/(J891-I891))-(O891+(G891-I891)*(Q891-O891)/(J891-I891)))</x:f>
        <x:v>2675</x:v>
      </x:c>
      <x:c r="V891" s="32" t="n">
        <x:f>IF(AND(ISNUMBER(S891),ISNUMBER(U891)),ABS(S891-U891),IF(S891=U891,0,1))</x:f>
        <x:v>0</x:v>
      </x:c>
      <x:c r="W891" s="30" t="str">
        <x:v>PASS</x:v>
      </x:c>
      <x:c r="X891" s="28" t="str">
        <x:f>IF(V891&lt;=1E-9,"PASS","FAIL")</x:f>
        <x:v>PASS</x:v>
      </x:c>
      <x:c r="Y891" t="str">
        <x:v>Chú thích 2</x:v>
      </x:c>
      <x:c r="Z891" t="str"/>
    </x:row>
    <x:row r="892">
      <x:c r="A892" t="str">
        <x:v>G0889</x:v>
      </x:c>
      <x:c r="B892" t="str">
        <x:v>Bảng 8</x:v>
      </x:c>
      <x:c r="C892" t="str">
        <x:v>cell midpoint</x:v>
      </x:c>
      <x:c r="D892" t="str">
        <x:v>MID-2D</x:v>
      </x:c>
      <x:c r="E892" t="str">
        <x:v>{"z":25,"IL":0.15000000000000002}</x:v>
      </x:c>
      <x:c r="F892" t="str">
        <x:v>BILINEAR-2D</x:v>
      </x:c>
      <x:c r="G892" t="n">
        <x:v>25</x:v>
      </x:c>
      <x:c r="H892" t="n">
        <x:v>0.15000000000000002</x:v>
      </x:c>
      <x:c r="I892" t="n">
        <x:v>20</x:v>
      </x:c>
      <x:c r="J892" t="n">
        <x:v>30</x:v>
      </x:c>
      <x:c r="K892" t="n">
        <x:v>0.1</x:v>
      </x:c>
      <x:c r="L892" t="n">
        <x:v>0.2</x:v>
      </x:c>
      <x:c r="M892"/>
      <x:c r="N892"/>
      <x:c r="O892" t="n">
        <x:v>2100</x:v>
      </x:c>
      <x:c r="P892" t="n">
        <x:v>1900</x:v>
      </x:c>
      <x:c r="Q892" t="n">
        <x:v>3000</x:v>
      </x:c>
      <x:c r="R892" t="n">
        <x:v>2600</x:v>
      </x:c>
      <x:c r="S892" t="n">
        <x:v>2400</x:v>
      </x:c>
      <x:c r="T892" t="n">
        <x:v>2400</x:v>
      </x:c>
      <x:c r="U892" s="28" t="n">
        <x:f>(O892+(G892-I892)*(Q892-O892)/(J892-I892))+(H892-K892)/(L892-K892)*((P892+(G892-I892)*(R892-P892)/(J892-I892))-(O892+(G892-I892)*(Q892-O892)/(J892-I892)))</x:f>
        <x:v>2400</x:v>
      </x:c>
      <x:c r="V892" s="32" t="n">
        <x:f>IF(AND(ISNUMBER(S892),ISNUMBER(U892)),ABS(S892-U892),IF(S892=U892,0,1))</x:f>
        <x:v>0</x:v>
      </x:c>
      <x:c r="W892" s="30" t="str">
        <x:v>PASS</x:v>
      </x:c>
      <x:c r="X892" s="28" t="str">
        <x:f>IF(V892&lt;=1E-9,"PASS","FAIL")</x:f>
        <x:v>PASS</x:v>
      </x:c>
      <x:c r="Y892" t="str">
        <x:v>Chú thích 2</x:v>
      </x:c>
      <x:c r="Z892" t="str"/>
    </x:row>
    <x:row r="893">
      <x:c r="A893" t="str">
        <x:v>G0890</x:v>
      </x:c>
      <x:c r="B893" t="str">
        <x:v>Bảng 8</x:v>
      </x:c>
      <x:c r="C893" t="str">
        <x:v>cell midpoint</x:v>
      </x:c>
      <x:c r="D893" t="str">
        <x:v>MID-2D</x:v>
      </x:c>
      <x:c r="E893" t="str">
        <x:v>{"z":25,"IL":0.25}</x:v>
      </x:c>
      <x:c r="F893" t="str">
        <x:v>BILINEAR-2D</x:v>
      </x:c>
      <x:c r="G893" t="n">
        <x:v>25</x:v>
      </x:c>
      <x:c r="H893" t="n">
        <x:v>0.25</x:v>
      </x:c>
      <x:c r="I893" t="n">
        <x:v>20</x:v>
      </x:c>
      <x:c r="J893" t="n">
        <x:v>30</x:v>
      </x:c>
      <x:c r="K893" t="n">
        <x:v>0.2</x:v>
      </x:c>
      <x:c r="L893" t="n">
        <x:v>0.3</x:v>
      </x:c>
      <x:c r="M893"/>
      <x:c r="N893"/>
      <x:c r="O893" t="n">
        <x:v>1900</x:v>
      </x:c>
      <x:c r="P893" t="n">
        <x:v>1650</x:v>
      </x:c>
      <x:c r="Q893" t="n">
        <x:v>2600</x:v>
      </x:c>
      <x:c r="R893" t="n">
        <x:v>2300</x:v>
      </x:c>
      <x:c r="S893" t="n">
        <x:v>2112.5</x:v>
      </x:c>
      <x:c r="T893" t="n">
        <x:v>2112.5</x:v>
      </x:c>
      <x:c r="U893" s="28" t="n">
        <x:f>(O893+(G893-I893)*(Q893-O893)/(J893-I893))+(H893-K893)/(L893-K893)*((P893+(G893-I893)*(R893-P893)/(J893-I893))-(O893+(G893-I893)*(Q893-O893)/(J893-I893)))</x:f>
        <x:v>2112.5</x:v>
      </x:c>
      <x:c r="V893" s="32" t="n">
        <x:f>IF(AND(ISNUMBER(S893),ISNUMBER(U893)),ABS(S893-U893),IF(S893=U893,0,1))</x:f>
        <x:v>0</x:v>
      </x:c>
      <x:c r="W893" s="30" t="str">
        <x:v>PASS</x:v>
      </x:c>
      <x:c r="X893" s="28" t="str">
        <x:f>IF(V893&lt;=1E-9,"PASS","FAIL")</x:f>
        <x:v>PASS</x:v>
      </x:c>
      <x:c r="Y893" t="str">
        <x:v>Chú thích 2</x:v>
      </x:c>
      <x:c r="Z893" t="str"/>
    </x:row>
    <x:row r="894">
      <x:c r="A894" t="str">
        <x:v>G0891</x:v>
      </x:c>
      <x:c r="B894" t="str">
        <x:v>Bảng 8</x:v>
      </x:c>
      <x:c r="C894" t="str">
        <x:v>cell midpoint</x:v>
      </x:c>
      <x:c r="D894" t="str">
        <x:v>MID-2D</x:v>
      </x:c>
      <x:c r="E894" t="str">
        <x:v>{"z":25,"IL":0.35}</x:v>
      </x:c>
      <x:c r="F894" t="str">
        <x:v>BILINEAR-2D</x:v>
      </x:c>
      <x:c r="G894" t="n">
        <x:v>25</x:v>
      </x:c>
      <x:c r="H894" t="n">
        <x:v>0.35</x:v>
      </x:c>
      <x:c r="I894" t="n">
        <x:v>20</x:v>
      </x:c>
      <x:c r="J894" t="n">
        <x:v>30</x:v>
      </x:c>
      <x:c r="K894" t="n">
        <x:v>0.3</x:v>
      </x:c>
      <x:c r="L894" t="n">
        <x:v>0.4</x:v>
      </x:c>
      <x:c r="M894"/>
      <x:c r="N894"/>
      <x:c r="O894" t="n">
        <x:v>1650</x:v>
      </x:c>
      <x:c r="P894" t="n">
        <x:v>1450</x:v>
      </x:c>
      <x:c r="Q894" t="n">
        <x:v>2300</x:v>
      </x:c>
      <x:c r="R894" t="n">
        <x:v>2000</x:v>
      </x:c>
      <x:c r="S894" t="n">
        <x:v>1850</x:v>
      </x:c>
      <x:c r="T894" t="n">
        <x:v>1850</x:v>
      </x:c>
      <x:c r="U894" s="28" t="n">
        <x:f>(O894+(G894-I894)*(Q894-O894)/(J894-I894))+(H894-K894)/(L894-K894)*((P894+(G894-I894)*(R894-P894)/(J894-I894))-(O894+(G894-I894)*(Q894-O894)/(J894-I894)))</x:f>
        <x:v>1850</x:v>
      </x:c>
      <x:c r="V894" s="32" t="n">
        <x:f>IF(AND(ISNUMBER(S894),ISNUMBER(U894)),ABS(S894-U894),IF(S894=U894,0,1))</x:f>
        <x:v>0</x:v>
      </x:c>
      <x:c r="W894" s="30" t="str">
        <x:v>PASS</x:v>
      </x:c>
      <x:c r="X894" s="28" t="str">
        <x:f>IF(V894&lt;=1E-9,"PASS","FAIL")</x:f>
        <x:v>PASS</x:v>
      </x:c>
      <x:c r="Y894" t="str">
        <x:v>Chú thích 2</x:v>
      </x:c>
      <x:c r="Z894" t="str"/>
    </x:row>
    <x:row r="895">
      <x:c r="A895" t="str">
        <x:v>G0892</x:v>
      </x:c>
      <x:c r="B895" t="str">
        <x:v>Bảng 8</x:v>
      </x:c>
      <x:c r="C895" t="str">
        <x:v>cell midpoint</x:v>
      </x:c>
      <x:c r="D895" t="str">
        <x:v>MID-2D</x:v>
      </x:c>
      <x:c r="E895" t="str">
        <x:v>{"z":35,"IL":0.05}</x:v>
      </x:c>
      <x:c r="F895" t="str">
        <x:v>BILINEAR-2D</x:v>
      </x:c>
      <x:c r="G895" t="n">
        <x:v>35</x:v>
      </x:c>
      <x:c r="H895" t="n">
        <x:v>0.05</x:v>
      </x:c>
      <x:c r="I895" t="n">
        <x:v>30</x:v>
      </x:c>
      <x:c r="J895" t="n">
        <x:v>40</x:v>
      </x:c>
      <x:c r="K895" t="n">
        <x:v>0</x:v>
      </x:c>
      <x:c r="L895" t="n">
        <x:v>0.1</x:v>
      </x:c>
      <x:c r="M895"/>
      <x:c r="N895"/>
      <x:c r="O895" t="n">
        <x:v>3300</x:v>
      </x:c>
      <x:c r="P895" t="n">
        <x:v>3000</x:v>
      </x:c>
      <x:c r="Q895" t="n">
        <x:v>4500</x:v>
      </x:c>
      <x:c r="R895" t="n">
        <x:v>4000</x:v>
      </x:c>
      <x:c r="S895" t="n">
        <x:v>3700</x:v>
      </x:c>
      <x:c r="T895" t="n">
        <x:v>3700</x:v>
      </x:c>
      <x:c r="U895" s="28" t="n">
        <x:f>(O895+(G895-I895)*(Q895-O895)/(J895-I895))+(H895-K895)/(L895-K895)*((P895+(G895-I895)*(R895-P895)/(J895-I895))-(O895+(G895-I895)*(Q895-O895)/(J895-I895)))</x:f>
        <x:v>3700</x:v>
      </x:c>
      <x:c r="V895" s="32" t="n">
        <x:f>IF(AND(ISNUMBER(S895),ISNUMBER(U895)),ABS(S895-U895),IF(S895=U895,0,1))</x:f>
        <x:v>0</x:v>
      </x:c>
      <x:c r="W895" s="30" t="str">
        <x:v>PASS</x:v>
      </x:c>
      <x:c r="X895" s="28" t="str">
        <x:f>IF(V895&lt;=1E-9,"PASS","FAIL")</x:f>
        <x:v>PASS</x:v>
      </x:c>
      <x:c r="Y895" t="str">
        <x:v>Chú thích 2</x:v>
      </x:c>
      <x:c r="Z895" t="str"/>
    </x:row>
    <x:row r="896">
      <x:c r="A896" t="str">
        <x:v>G0893</x:v>
      </x:c>
      <x:c r="B896" t="str">
        <x:v>Bảng 8</x:v>
      </x:c>
      <x:c r="C896" t="str">
        <x:v>cell midpoint</x:v>
      </x:c>
      <x:c r="D896" t="str">
        <x:v>MID-2D</x:v>
      </x:c>
      <x:c r="E896" t="str">
        <x:v>{"z":35,"IL":0.15000000000000002}</x:v>
      </x:c>
      <x:c r="F896" t="str">
        <x:v>BILINEAR-2D</x:v>
      </x:c>
      <x:c r="G896" t="n">
        <x:v>35</x:v>
      </x:c>
      <x:c r="H896" t="n">
        <x:v>0.15000000000000002</x:v>
      </x:c>
      <x:c r="I896" t="n">
        <x:v>30</x:v>
      </x:c>
      <x:c r="J896" t="n">
        <x:v>40</x:v>
      </x:c>
      <x:c r="K896" t="n">
        <x:v>0.1</x:v>
      </x:c>
      <x:c r="L896" t="n">
        <x:v>0.2</x:v>
      </x:c>
      <x:c r="M896"/>
      <x:c r="N896"/>
      <x:c r="O896" t="n">
        <x:v>3000</x:v>
      </x:c>
      <x:c r="P896" t="n">
        <x:v>2600</x:v>
      </x:c>
      <x:c r="Q896" t="n">
        <x:v>4000</x:v>
      </x:c>
      <x:c r="R896" t="n">
        <x:v>3500</x:v>
      </x:c>
      <x:c r="S896" t="n">
        <x:v>3275</x:v>
      </x:c>
      <x:c r="T896" t="n">
        <x:v>3275</x:v>
      </x:c>
      <x:c r="U896" s="28" t="n">
        <x:f>(O896+(G896-I896)*(Q896-O896)/(J896-I896))+(H896-K896)/(L896-K896)*((P896+(G896-I896)*(R896-P896)/(J896-I896))-(O896+(G896-I896)*(Q896-O896)/(J896-I896)))</x:f>
        <x:v>3275</x:v>
      </x:c>
      <x:c r="V896" s="32" t="n">
        <x:f>IF(AND(ISNUMBER(S896),ISNUMBER(U896)),ABS(S896-U896),IF(S896=U896,0,1))</x:f>
        <x:v>0</x:v>
      </x:c>
      <x:c r="W896" s="30" t="str">
        <x:v>PASS</x:v>
      </x:c>
      <x:c r="X896" s="28" t="str">
        <x:f>IF(V896&lt;=1E-9,"PASS","FAIL")</x:f>
        <x:v>PASS</x:v>
      </x:c>
      <x:c r="Y896" t="str">
        <x:v>Chú thích 2</x:v>
      </x:c>
      <x:c r="Z896" t="str"/>
    </x:row>
    <x:row r="897">
      <x:c r="A897" t="str">
        <x:v>G0894</x:v>
      </x:c>
      <x:c r="B897" t="str">
        <x:v>Bảng 8</x:v>
      </x:c>
      <x:c r="C897" t="str">
        <x:v>cell midpoint</x:v>
      </x:c>
      <x:c r="D897" t="str">
        <x:v>MID-2D</x:v>
      </x:c>
      <x:c r="E897" t="str">
        <x:v>{"z":35,"IL":0.25}</x:v>
      </x:c>
      <x:c r="F897" t="str">
        <x:v>BILINEAR-2D</x:v>
      </x:c>
      <x:c r="G897" t="n">
        <x:v>35</x:v>
      </x:c>
      <x:c r="H897" t="n">
        <x:v>0.25</x:v>
      </x:c>
      <x:c r="I897" t="n">
        <x:v>30</x:v>
      </x:c>
      <x:c r="J897" t="n">
        <x:v>40</x:v>
      </x:c>
      <x:c r="K897" t="n">
        <x:v>0.2</x:v>
      </x:c>
      <x:c r="L897" t="n">
        <x:v>0.3</x:v>
      </x:c>
      <x:c r="M897"/>
      <x:c r="N897"/>
      <x:c r="O897" t="n">
        <x:v>2600</x:v>
      </x:c>
      <x:c r="P897" t="n">
        <x:v>2300</x:v>
      </x:c>
      <x:c r="Q897" t="n">
        <x:v>3500</x:v>
      </x:c>
      <x:c r="R897" t="n">
        <x:v>3000</x:v>
      </x:c>
      <x:c r="S897" t="n">
        <x:v>2850</x:v>
      </x:c>
      <x:c r="T897" t="n">
        <x:v>2850</x:v>
      </x:c>
      <x:c r="U897" s="28" t="n">
        <x:f>(O897+(G897-I897)*(Q897-O897)/(J897-I897))+(H897-K897)/(L897-K897)*((P897+(G897-I897)*(R897-P897)/(J897-I897))-(O897+(G897-I897)*(Q897-O897)/(J897-I897)))</x:f>
        <x:v>2850</x:v>
      </x:c>
      <x:c r="V897" s="32" t="n">
        <x:f>IF(AND(ISNUMBER(S897),ISNUMBER(U897)),ABS(S897-U897),IF(S897=U897,0,1))</x:f>
        <x:v>0</x:v>
      </x:c>
      <x:c r="W897" s="30" t="str">
        <x:v>PASS</x:v>
      </x:c>
      <x:c r="X897" s="28" t="str">
        <x:f>IF(V897&lt;=1E-9,"PASS","FAIL")</x:f>
        <x:v>PASS</x:v>
      </x:c>
      <x:c r="Y897" t="str">
        <x:v>Chú thích 2</x:v>
      </x:c>
      <x:c r="Z897" t="str"/>
    </x:row>
    <x:row r="898">
      <x:c r="A898" t="str">
        <x:v>G0895</x:v>
      </x:c>
      <x:c r="B898" t="str">
        <x:v>Bảng 8</x:v>
      </x:c>
      <x:c r="C898" t="str">
        <x:v>cell midpoint</x:v>
      </x:c>
      <x:c r="D898" t="str">
        <x:v>MID-2D</x:v>
      </x:c>
      <x:c r="E898" t="str">
        <x:v>{"z":35,"IL":0.35}</x:v>
      </x:c>
      <x:c r="F898" t="str">
        <x:v>BILINEAR-2D</x:v>
      </x:c>
      <x:c r="G898" t="n">
        <x:v>35</x:v>
      </x:c>
      <x:c r="H898" t="n">
        <x:v>0.35</x:v>
      </x:c>
      <x:c r="I898" t="n">
        <x:v>30</x:v>
      </x:c>
      <x:c r="J898" t="n">
        <x:v>40</x:v>
      </x:c>
      <x:c r="K898" t="n">
        <x:v>0.3</x:v>
      </x:c>
      <x:c r="L898" t="n">
        <x:v>0.4</x:v>
      </x:c>
      <x:c r="M898"/>
      <x:c r="N898"/>
      <x:c r="O898" t="n">
        <x:v>2300</x:v>
      </x:c>
      <x:c r="P898" t="n">
        <x:v>2000</x:v>
      </x:c>
      <x:c r="Q898" t="n">
        <x:v>3000</x:v>
      </x:c>
      <x:c r="R898" t="n">
        <x:v>2500</x:v>
      </x:c>
      <x:c r="S898" t="n">
        <x:v>2450</x:v>
      </x:c>
      <x:c r="T898" t="n">
        <x:v>2450</x:v>
      </x:c>
      <x:c r="U898" s="28" t="n">
        <x:f>(O898+(G898-I898)*(Q898-O898)/(J898-I898))+(H898-K898)/(L898-K898)*((P898+(G898-I898)*(R898-P898)/(J898-I898))-(O898+(G898-I898)*(Q898-O898)/(J898-I898)))</x:f>
        <x:v>2450</x:v>
      </x:c>
      <x:c r="V898" s="32" t="n">
        <x:f>IF(AND(ISNUMBER(S898),ISNUMBER(U898)),ABS(S898-U898),IF(S898=U898,0,1))</x:f>
        <x:v>0</x:v>
      </x:c>
      <x:c r="W898" s="30" t="str">
        <x:v>PASS</x:v>
      </x:c>
      <x:c r="X898" s="28" t="str">
        <x:f>IF(V898&lt;=1E-9,"PASS","FAIL")</x:f>
        <x:v>PASS</x:v>
      </x:c>
      <x:c r="Y898" t="str">
        <x:v>Chú thích 2</x:v>
      </x:c>
      <x:c r="Z898" t="str"/>
    </x:row>
    <x:row r="899">
      <x:c r="A899" t="str">
        <x:v>G0896</x:v>
      </x:c>
      <x:c r="B899" t="str">
        <x:v>Bảng 8</x:v>
      </x:c>
      <x:c r="C899" t="str">
        <x:v>high plateau valid</x:v>
      </x:c>
      <x:c r="D899" t="str">
        <x:v>BOUNDARY</x:v>
      </x:c>
      <x:c r="E899" t="str">
        <x:v>{"z":45,"IL":0.3}</x:v>
      </x:c>
      <x:c r="F899" t="str">
        <x:v>BOUNDARY-PLATEAU</x:v>
      </x:c>
      <x:c r="G899"/>
      <x:c r="H899"/>
      <x:c r="I899"/>
      <x:c r="J899"/>
      <x:c r="K899"/>
      <x:c r="L899"/>
      <x:c r="M899" t="n">
        <x:v>3000</x:v>
      </x:c>
      <x:c r="N899"/>
      <x:c r="O899"/>
      <x:c r="P899"/>
      <x:c r="Q899"/>
      <x:c r="R899"/>
      <x:c r="S899" t="n">
        <x:v>3000</x:v>
      </x:c>
      <x:c r="T899" t="n">
        <x:v>3000</x:v>
      </x:c>
      <x:c r="U899" s="28" t="n">
        <x:f>T899</x:f>
        <x:v>3000</x:v>
      </x:c>
      <x:c r="V899" s="32" t="n">
        <x:f>IF(AND(ISNUMBER(S899),ISNUMBER(U899)),ABS(S899-U899),IF(S899=U899,0,1))</x:f>
        <x:v>0</x:v>
      </x:c>
      <x:c r="W899" s="30" t="str">
        <x:v>PASS</x:v>
      </x:c>
      <x:c r="X899" s="28" t="str">
        <x:f>IF(V899&lt;=1E-9,"PASS","FAIL")</x:f>
        <x:v>PASS</x:v>
      </x:c>
      <x:c r="Y899" t="str">
        <x:v>z≥40</x:v>
      </x:c>
      <x:c r="Z899" t="str"/>
    </x:row>
    <x:row r="900">
      <x:c r="A900" t="str">
        <x:v>G0897</x:v>
      </x:c>
      <x:c r="B900" t="str">
        <x:v>Bảng 8</x:v>
      </x:c>
      <x:c r="C900" t="str">
        <x:v>outside/sparse</x:v>
      </x:c>
      <x:c r="D900" t="str">
        <x:v>OUTSIDE</x:v>
      </x:c>
      <x:c r="E900" t="str">
        <x:v>{"z":2.99,"IL":0.3}</x:v>
      </x:c>
      <x:c r="F900" t="str">
        <x:v>BLOCK</x:v>
      </x:c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 t="str">
        <x:v>BLOCK</x:v>
      </x:c>
      <x:c r="T900" t="str">
        <x:v>BLOCK</x:v>
      </x:c>
      <x:c r="U900" s="28" t="str">
        <x:f>"BLOCK"</x:f>
        <x:v>BLOCK</x:v>
      </x:c>
      <x:c r="V900" s="32" t="n">
        <x:f>IF(AND(ISNUMBER(S900),ISNUMBER(U900)),ABS(S900-U900),IF(S900=U900,0,1))</x:f>
        <x:v>0</x:v>
      </x:c>
      <x:c r="W900" s="30" t="str">
        <x:v>PASS</x:v>
      </x:c>
      <x:c r="X900" s="28" t="str">
        <x:f>IF(V900&lt;=1E-9,"PASS","FAIL")</x:f>
        <x:v>PASS</x:v>
      </x:c>
      <x:c r="Y900" t="str">
        <x:v>NO EXTRAPOLATION / sparse cell</x:v>
      </x:c>
      <x:c r="Z900" t="str">
        <x:v>Bảng 8 qb: 2.99 nhỏ hơn phạm vi bảng (3). Không ngoại suy.</x:v>
      </x:c>
    </x:row>
    <x:row r="901">
      <x:c r="A901" t="str">
        <x:v>G0898</x:v>
      </x:c>
      <x:c r="B901" t="str">
        <x:v>Bảng 8</x:v>
      </x:c>
      <x:c r="C901" t="str">
        <x:v>outside/sparse</x:v>
      </x:c>
      <x:c r="D901" t="str">
        <x:v>OUTSIDE</x:v>
      </x:c>
      <x:c r="E901" t="str">
        <x:v>{"z":15,"IL":-0.01}</x:v>
      </x:c>
      <x:c r="F901" t="str">
        <x:v>BLOCK</x:v>
      </x:c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 t="str">
        <x:v>BLOCK</x:v>
      </x:c>
      <x:c r="T901" t="str">
        <x:v>BLOCK</x:v>
      </x:c>
      <x:c r="U901" s="28" t="str">
        <x:f>"BLOCK"</x:f>
        <x:v>BLOCK</x:v>
      </x:c>
      <x:c r="V901" s="32" t="n">
        <x:f>IF(AND(ISNUMBER(S901),ISNUMBER(U901)),ABS(S901-U901),IF(S901=U901,0,1))</x:f>
        <x:v>0</x:v>
      </x:c>
      <x:c r="W901" s="30" t="str">
        <x:v>PASS</x:v>
      </x:c>
      <x:c r="X901" s="28" t="str">
        <x:f>IF(V901&lt;=1E-9,"PASS","FAIL")</x:f>
        <x:v>PASS</x:v>
      </x:c>
      <x:c r="Y901" t="str">
        <x:v>NO EXTRAPOLATION / sparse cell</x:v>
      </x:c>
      <x:c r="Z901" t="str">
        <x:v>Bảng 8 qb: -0.01 nhỏ hơn phạm vi bảng (0). Không ngoại suy.</x:v>
      </x:c>
    </x:row>
    <x:row r="902">
      <x:c r="A902" t="str">
        <x:v>G0899</x:v>
      </x:c>
      <x:c r="B902" t="str">
        <x:v>Bảng 8</x:v>
      </x:c>
      <x:c r="C902" t="str">
        <x:v>outside/sparse</x:v>
      </x:c>
      <x:c r="D902" t="str">
        <x:v>OUTSIDE</x:v>
      </x:c>
      <x:c r="E902" t="str">
        <x:v>{"z":15,"IL":0.61}</x:v>
      </x:c>
      <x:c r="F902" t="str">
        <x:v>BLOCK</x:v>
      </x:c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 t="str">
        <x:v>BLOCK</x:v>
      </x:c>
      <x:c r="T902" t="str">
        <x:v>BLOCK</x:v>
      </x:c>
      <x:c r="U902" s="28" t="str">
        <x:f>"BLOCK"</x:f>
        <x:v>BLOCK</x:v>
      </x:c>
      <x:c r="V902" s="32" t="n">
        <x:f>IF(AND(ISNUMBER(S902),ISNUMBER(U902)),ABS(S902-U902),IF(S902=U902,0,1))</x:f>
        <x:v>0</x:v>
      </x:c>
      <x:c r="W902" s="30" t="str">
        <x:v>PASS</x:v>
      </x:c>
      <x:c r="X902" s="28" t="str">
        <x:f>IF(V902&lt;=1E-9,"PASS","FAIL")</x:f>
        <x:v>PASS</x:v>
      </x:c>
      <x:c r="Y902" t="str">
        <x:v>NO EXTRAPOLATION / sparse cell</x:v>
      </x:c>
      <x:c r="Z902" t="str">
        <x:v>Bảng 8 qb: 0.61 lớn hơn phạm vi bảng (0.6). Không ngoại suy.</x:v>
      </x:c>
    </x:row>
    <x:row r="903">
      <x:c r="A903" t="str">
        <x:v>G0900</x:v>
      </x:c>
      <x:c r="B903" t="str">
        <x:v>Bảng 8</x:v>
      </x:c>
      <x:c r="C903" t="str">
        <x:v>outside/sparse</x:v>
      </x:c>
      <x:c r="D903" t="str">
        <x:v>OUTSIDE</x:v>
      </x:c>
      <x:c r="E903" t="str">
        <x:v>{"z":35,"IL":0.55}</x:v>
      </x:c>
      <x:c r="F903" t="str">
        <x:v>BLOCK</x:v>
      </x:c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 t="str">
        <x:v>BLOCK</x:v>
      </x:c>
      <x:c r="T903" t="str">
        <x:v>BLOCK</x:v>
      </x:c>
      <x:c r="U903" s="28" t="str">
        <x:f>"BLOCK"</x:f>
        <x:v>BLOCK</x:v>
      </x:c>
      <x:c r="V903" s="32" t="n">
        <x:f>IF(AND(ISNUMBER(S903),ISNUMBER(U903)),ABS(S903-U903),IF(S903=U903,0,1))</x:f>
        <x:v>0</x:v>
      </x:c>
      <x:c r="W903" s="30" t="str">
        <x:v>PASS</x:v>
      </x:c>
      <x:c r="X903" s="28" t="str">
        <x:f>IF(V903&lt;=1E-9,"PASS","FAIL")</x:f>
        <x:v>PASS</x:v>
      </x:c>
      <x:c r="Y903" t="str">
        <x:v>NO EXTRAPOLATION / sparse cell</x:v>
      </x:c>
      <x:c r="Z903" t="str">
        <x:v>Bảng 8 qb: khoảng 30–40 có ô trống; không được nội suy.</x:v>
      </x:c>
    </x:row>
    <x:row r="904">
      <x:c r="A904" t="str">
        <x:v>G0901</x:v>
      </x:c>
      <x:c r="B904" t="str">
        <x:v>Bảng 12</x:v>
      </x:c>
      <x:c r="C904" t="str">
        <x:v>gravel-sand</x:v>
      </x:c>
      <x:c r="D904" t="str">
        <x:v>DISCRETE</x:v>
      </x:c>
      <x:c r="E904" t="str">
        <x:v>{"dense":false}</x:v>
      </x:c>
      <x:c r="F904" t="str">
        <x:v>EXACT</x:v>
      </x:c>
      <x:c r="G904"/>
      <x:c r="H904"/>
      <x:c r="I904"/>
      <x:c r="J904"/>
      <x:c r="K904"/>
      <x:c r="L904"/>
      <x:c r="M904" t="n">
        <x:v>1.3</x:v>
      </x:c>
      <x:c r="N904"/>
      <x:c r="O904"/>
      <x:c r="P904"/>
      <x:c r="Q904"/>
      <x:c r="R904"/>
      <x:c r="S904" t="n">
        <x:v>1.3</x:v>
      </x:c>
      <x:c r="T904" t="n">
        <x:v>1.3</x:v>
      </x:c>
      <x:c r="U904" s="28" t="n">
        <x:f>T904</x:f>
        <x:v>1.3</x:v>
      </x:c>
      <x:c r="V904" s="32" t="n">
        <x:f>IF(AND(ISNUMBER(S904),ISNUMBER(U904)),ABS(S904-U904),IF(S904=U904,0,1))</x:f>
        <x:v>0</x:v>
      </x:c>
      <x:c r="W904" s="30" t="str">
        <x:v>PASS</x:v>
      </x:c>
      <x:c r="X904" s="28" t="str">
        <x:f>IF(V904&lt;=1E-9,"PASS","FAIL")</x:f>
        <x:v>PASS</x:v>
      </x:c>
      <x:c r="Y904" t="str">
        <x:v>tr.54</x:v>
      </x:c>
      <x:c r="Z904" t="str"/>
    </x:row>
    <x:row r="905">
      <x:c r="A905" t="str">
        <x:v>G0902</x:v>
      </x:c>
      <x:c r="B905" t="str">
        <x:v>Bảng 12</x:v>
      </x:c>
      <x:c r="C905" t="str">
        <x:v>medium-coarse</x:v>
      </x:c>
      <x:c r="D905" t="str">
        <x:v>DISCRETE</x:v>
      </x:c>
      <x:c r="E905" t="str">
        <x:v>{"dense":false}</x:v>
      </x:c>
      <x:c r="F905" t="str">
        <x:v>EXACT</x:v>
      </x:c>
      <x:c r="G905"/>
      <x:c r="H905"/>
      <x:c r="I905"/>
      <x:c r="J905"/>
      <x:c r="K905"/>
      <x:c r="L905"/>
      <x:c r="M905" t="n">
        <x:v>1.2</x:v>
      </x:c>
      <x:c r="N905"/>
      <x:c r="O905"/>
      <x:c r="P905"/>
      <x:c r="Q905"/>
      <x:c r="R905"/>
      <x:c r="S905" t="n">
        <x:v>1.2</x:v>
      </x:c>
      <x:c r="T905" t="n">
        <x:v>1.2</x:v>
      </x:c>
      <x:c r="U905" s="28" t="n">
        <x:f>T905</x:f>
        <x:v>1.2</x:v>
      </x:c>
      <x:c r="V905" s="32" t="n">
        <x:f>IF(AND(ISNUMBER(S905),ISNUMBER(U905)),ABS(S905-U905),IF(S905=U905,0,1))</x:f>
        <x:v>0</x:v>
      </x:c>
      <x:c r="W905" s="30" t="str">
        <x:v>PASS</x:v>
      </x:c>
      <x:c r="X905" s="28" t="str">
        <x:f>IF(V905&lt;=1E-9,"PASS","FAIL")</x:f>
        <x:v>PASS</x:v>
      </x:c>
      <x:c r="Y905" t="str">
        <x:v>tr.54</x:v>
      </x:c>
      <x:c r="Z905" t="str"/>
    </x:row>
    <x:row r="906">
      <x:c r="A906" t="str">
        <x:v>G0903</x:v>
      </x:c>
      <x:c r="B906" t="str">
        <x:v>Bảng 12</x:v>
      </x:c>
      <x:c r="C906" t="str">
        <x:v>fine</x:v>
      </x:c>
      <x:c r="D906" t="str">
        <x:v>DISCRETE</x:v>
      </x:c>
      <x:c r="E906" t="str">
        <x:v>{"dense":false}</x:v>
      </x:c>
      <x:c r="F906" t="str">
        <x:v>EXACT</x:v>
      </x:c>
      <x:c r="G906"/>
      <x:c r="H906"/>
      <x:c r="I906"/>
      <x:c r="J906"/>
      <x:c r="K906"/>
      <x:c r="L906"/>
      <x:c r="M906" t="n">
        <x:v>1.1</x:v>
      </x:c>
      <x:c r="N906"/>
      <x:c r="O906"/>
      <x:c r="P906"/>
      <x:c r="Q906"/>
      <x:c r="R906"/>
      <x:c r="S906" t="n">
        <x:v>1.1</x:v>
      </x:c>
      <x:c r="T906" t="n">
        <x:v>1.1</x:v>
      </x:c>
      <x:c r="U906" s="28" t="n">
        <x:f>T906</x:f>
        <x:v>1.1</x:v>
      </x:c>
      <x:c r="V906" s="32" t="n">
        <x:f>IF(AND(ISNUMBER(S906),ISNUMBER(U906)),ABS(S906-U906),IF(S906=U906,0,1))</x:f>
        <x:v>0</x:v>
      </x:c>
      <x:c r="W906" s="30" t="str">
        <x:v>PASS</x:v>
      </x:c>
      <x:c r="X906" s="28" t="str">
        <x:f>IF(V906&lt;=1E-9,"PASS","FAIL")</x:f>
        <x:v>PASS</x:v>
      </x:c>
      <x:c r="Y906" t="str">
        <x:v>tr.54</x:v>
      </x:c>
      <x:c r="Z906" t="str"/>
    </x:row>
    <x:row r="907">
      <x:c r="A907" t="str">
        <x:v>G0904</x:v>
      </x:c>
      <x:c r="B907" t="str">
        <x:v>Bảng 12</x:v>
      </x:c>
      <x:c r="C907" t="str">
        <x:v>silty</x:v>
      </x:c>
      <x:c r="D907" t="str">
        <x:v>DISCRETE</x:v>
      </x:c>
      <x:c r="E907" t="str">
        <x:v>{"dense":false}</x:v>
      </x:c>
      <x:c r="F907" t="str">
        <x:v>EXACT</x:v>
      </x:c>
      <x:c r="G907"/>
      <x:c r="H907"/>
      <x:c r="I907"/>
      <x:c r="J907"/>
      <x:c r="K907"/>
      <x:c r="L907"/>
      <x:c r="M907" t="n">
        <x:v>1</x:v>
      </x:c>
      <x:c r="N907"/>
      <x:c r="O907"/>
      <x:c r="P907"/>
      <x:c r="Q907"/>
      <x:c r="R907"/>
      <x:c r="S907" t="n">
        <x:v>1</x:v>
      </x:c>
      <x:c r="T907" t="n">
        <x:v>1</x:v>
      </x:c>
      <x:c r="U907" s="28" t="n">
        <x:f>T907</x:f>
        <x:v>1</x:v>
      </x:c>
      <x:c r="V907" s="32" t="n">
        <x:f>IF(AND(ISNUMBER(S907),ISNUMBER(U907)),ABS(S907-U907),IF(S907=U907,0,1))</x:f>
        <x:v>0</x:v>
      </x:c>
      <x:c r="W907" s="30" t="str">
        <x:v>PASS</x:v>
      </x:c>
      <x:c r="X907" s="28" t="str">
        <x:f>IF(V907&lt;=1E-9,"PASS","FAIL")</x:f>
        <x:v>PASS</x:v>
      </x:c>
      <x:c r="Y907" t="str">
        <x:v>tr.54</x:v>
      </x:c>
      <x:c r="Z907" t="str"/>
    </x:row>
    <x:row r="908">
      <x:c r="A908" t="str">
        <x:v>G0905</x:v>
      </x:c>
      <x:c r="B908" t="str">
        <x:v>Bảng 12</x:v>
      </x:c>
      <x:c r="C908" t="str">
        <x:v>soft-hard-clay</x:v>
      </x:c>
      <x:c r="D908" t="str">
        <x:v>DISCRETE</x:v>
      </x:c>
      <x:c r="E908" t="str">
        <x:v>{"dense":false}</x:v>
      </x:c>
      <x:c r="F908" t="str">
        <x:v>EXACT</x:v>
      </x:c>
      <x:c r="G908"/>
      <x:c r="H908"/>
      <x:c r="I908"/>
      <x:c r="J908"/>
      <x:c r="K908"/>
      <x:c r="L908"/>
      <x:c r="M908" t="n">
        <x:v>0.9</x:v>
      </x:c>
      <x:c r="N908"/>
      <x:c r="O908"/>
      <x:c r="P908"/>
      <x:c r="Q908"/>
      <x:c r="R908"/>
      <x:c r="S908" t="n">
        <x:v>0.9</x:v>
      </x:c>
      <x:c r="T908" t="n">
        <x:v>0.9</x:v>
      </x:c>
      <x:c r="U908" s="28" t="n">
        <x:f>T908</x:f>
        <x:v>0.9</x:v>
      </x:c>
      <x:c r="V908" s="32" t="n">
        <x:f>IF(AND(ISNUMBER(S908),ISNUMBER(U908)),ABS(S908-U908),IF(S908=U908,0,1))</x:f>
        <x:v>0</x:v>
      </x:c>
      <x:c r="W908" s="30" t="str">
        <x:v>PASS</x:v>
      </x:c>
      <x:c r="X908" s="28" t="str">
        <x:f>IF(V908&lt;=1E-9,"PASS","FAIL")</x:f>
        <x:v>PASS</x:v>
      </x:c>
      <x:c r="Y908" t="str">
        <x:v>tr.54</x:v>
      </x:c>
      <x:c r="Z908" t="str"/>
    </x:row>
    <x:row r="909">
      <x:c r="A909" t="str">
        <x:v>G0906</x:v>
      </x:c>
      <x:c r="B909" t="str">
        <x:v>Bảng 12</x:v>
      </x:c>
      <x:c r="C909" t="str">
        <x:v>semi-hard</x:v>
      </x:c>
      <x:c r="D909" t="str">
        <x:v>DISCRETE</x:v>
      </x:c>
      <x:c r="E909" t="str">
        <x:v>{"dense":false}</x:v>
      </x:c>
      <x:c r="F909" t="str">
        <x:v>EXACT</x:v>
      </x:c>
      <x:c r="G909"/>
      <x:c r="H909"/>
      <x:c r="I909"/>
      <x:c r="J909"/>
      <x:c r="K909"/>
      <x:c r="L909"/>
      <x:c r="M909" t="n">
        <x:v>0.8</x:v>
      </x:c>
      <x:c r="N909"/>
      <x:c r="O909"/>
      <x:c r="P909"/>
      <x:c r="Q909"/>
      <x:c r="R909"/>
      <x:c r="S909" t="n">
        <x:v>0.8</x:v>
      </x:c>
      <x:c r="T909" t="n">
        <x:v>0.8</x:v>
      </x:c>
      <x:c r="U909" s="28" t="n">
        <x:f>T909</x:f>
        <x:v>0.8</x:v>
      </x:c>
      <x:c r="V909" s="32" t="n">
        <x:f>IF(AND(ISNUMBER(S909),ISNUMBER(U909)),ABS(S909-U909),IF(S909=U909,0,1))</x:f>
        <x:v>0</x:v>
      </x:c>
      <x:c r="W909" s="30" t="str">
        <x:v>PASS</x:v>
      </x:c>
      <x:c r="X909" s="28" t="str">
        <x:f>IF(V909&lt;=1E-9,"PASS","FAIL")</x:f>
        <x:v>PASS</x:v>
      </x:c>
      <x:c r="Y909" t="str">
        <x:v>tr.54</x:v>
      </x:c>
      <x:c r="Z909" t="str"/>
    </x:row>
    <x:row r="910">
      <x:c r="A910" t="str">
        <x:v>G0907</x:v>
      </x:c>
      <x:c r="B910" t="str">
        <x:v>Bảng 12</x:v>
      </x:c>
      <x:c r="C910" t="str">
        <x:v>stiff-plastic</x:v>
      </x:c>
      <x:c r="D910" t="str">
        <x:v>DISCRETE</x:v>
      </x:c>
      <x:c r="E910" t="str">
        <x:v>{"dense":false}</x:v>
      </x:c>
      <x:c r="F910" t="str">
        <x:v>EXACT</x:v>
      </x:c>
      <x:c r="G910"/>
      <x:c r="H910"/>
      <x:c r="I910"/>
      <x:c r="J910"/>
      <x:c r="K910"/>
      <x:c r="L910"/>
      <x:c r="M910" t="n">
        <x:v>0.7</x:v>
      </x:c>
      <x:c r="N910"/>
      <x:c r="O910"/>
      <x:c r="P910"/>
      <x:c r="Q910"/>
      <x:c r="R910"/>
      <x:c r="S910" t="n">
        <x:v>0.7</x:v>
      </x:c>
      <x:c r="T910" t="n">
        <x:v>0.7</x:v>
      </x:c>
      <x:c r="U910" s="28" t="n">
        <x:f>T910</x:f>
        <x:v>0.7</x:v>
      </x:c>
      <x:c r="V910" s="32" t="n">
        <x:f>IF(AND(ISNUMBER(S910),ISNUMBER(U910)),ABS(S910-U910),IF(S910=U910,0,1))</x:f>
        <x:v>0</x:v>
      </x:c>
      <x:c r="W910" s="30" t="str">
        <x:v>PASS</x:v>
      </x:c>
      <x:c r="X910" s="28" t="str">
        <x:f>IF(V910&lt;=1E-9,"PASS","FAIL")</x:f>
        <x:v>PASS</x:v>
      </x:c>
      <x:c r="Y910" t="str">
        <x:v>tr.54</x:v>
      </x:c>
      <x:c r="Z910" t="str"/>
    </x:row>
    <x:row r="911">
      <x:c r="A911" t="str">
        <x:v>G0908</x:v>
      </x:c>
      <x:c r="B911" t="str">
        <x:v>Bảng 12</x:v>
      </x:c>
      <x:c r="C911" t="str">
        <x:v>medium-coarse:dense</x:v>
      </x:c>
      <x:c r="D911" t="str">
        <x:v>RULE+60%</x:v>
      </x:c>
      <x:c r="E911" t="str">
        <x:v>{"dense":true}</x:v>
      </x:c>
      <x:c r="F911" t="str">
        <x:v>EXACT</x:v>
      </x:c>
      <x:c r="G911"/>
      <x:c r="H911"/>
      <x:c r="I911"/>
      <x:c r="J911"/>
      <x:c r="K911"/>
      <x:c r="L911"/>
      <x:c r="M911" t="n">
        <x:v>1.92</x:v>
      </x:c>
      <x:c r="N911"/>
      <x:c r="O911"/>
      <x:c r="P911"/>
      <x:c r="Q911"/>
      <x:c r="R911"/>
      <x:c r="S911" t="n">
        <x:v>1.92</x:v>
      </x:c>
      <x:c r="T911" t="n">
        <x:v>1.92</x:v>
      </x:c>
      <x:c r="U911" s="28" t="n">
        <x:f>T911</x:f>
        <x:v>1.92</x:v>
      </x:c>
      <x:c r="V911" s="32" t="n">
        <x:f>IF(AND(ISNUMBER(S911),ISNUMBER(U911)),ABS(S911-U911),IF(S911=U911,0,1))</x:f>
        <x:v>0</x:v>
      </x:c>
      <x:c r="W911" s="30" t="str">
        <x:v>PASS</x:v>
      </x:c>
      <x:c r="X911" s="28" t="str">
        <x:f>IF(V911&lt;=1E-9,"PASS","FAIL")</x:f>
        <x:v>PASS</x:v>
      </x:c>
      <x:c r="Y911" t="str">
        <x:v>Chú thích Bảng 12</x:v>
      </x:c>
      <x:c r="Z911" t="str"/>
    </x:row>
    <x:row r="912">
      <x:c r="A912" t="str">
        <x:v>G0909</x:v>
      </x:c>
      <x:c r="B912" t="str">
        <x:v>Bảng 12</x:v>
      </x:c>
      <x:c r="C912" t="str">
        <x:v>fine:dense</x:v>
      </x:c>
      <x:c r="D912" t="str">
        <x:v>RULE+60%</x:v>
      </x:c>
      <x:c r="E912" t="str">
        <x:v>{"dense":true}</x:v>
      </x:c>
      <x:c r="F912" t="str">
        <x:v>EXACT</x:v>
      </x:c>
      <x:c r="G912"/>
      <x:c r="H912"/>
      <x:c r="I912"/>
      <x:c r="J912"/>
      <x:c r="K912"/>
      <x:c r="L912"/>
      <x:c r="M912" t="n">
        <x:v>1.7600000000000002</x:v>
      </x:c>
      <x:c r="N912"/>
      <x:c r="O912"/>
      <x:c r="P912"/>
      <x:c r="Q912"/>
      <x:c r="R912"/>
      <x:c r="S912" t="n">
        <x:v>1.7600000000000002</x:v>
      </x:c>
      <x:c r="T912" t="n">
        <x:v>1.7600000000000002</x:v>
      </x:c>
      <x:c r="U912" s="28" t="n">
        <x:f>T912</x:f>
        <x:v>1.7600000000000002</x:v>
      </x:c>
      <x:c r="V912" s="32" t="n">
        <x:f>IF(AND(ISNUMBER(S912),ISNUMBER(U912)),ABS(S912-U912),IF(S912=U912,0,1))</x:f>
        <x:v>0</x:v>
      </x:c>
      <x:c r="W912" s="30" t="str">
        <x:v>PASS</x:v>
      </x:c>
      <x:c r="X912" s="28" t="str">
        <x:f>IF(V912&lt;=1E-9,"PASS","FAIL")</x:f>
        <x:v>PASS</x:v>
      </x:c>
      <x:c r="Y912" t="str">
        <x:v>Chú thích Bảng 12</x:v>
      </x:c>
      <x:c r="Z912" t="str"/>
    </x:row>
    <x:row r="913">
      <x:c r="A913" t="str">
        <x:v>G0910</x:v>
      </x:c>
      <x:c r="B913" t="str">
        <x:v>Bảng 12</x:v>
      </x:c>
      <x:c r="C913" t="str">
        <x:v>silty:dense</x:v>
      </x:c>
      <x:c r="D913" t="str">
        <x:v>RULE+60%</x:v>
      </x:c>
      <x:c r="E913" t="str">
        <x:v>{"dense":true}</x:v>
      </x:c>
      <x:c r="F913" t="str">
        <x:v>EXACT</x:v>
      </x:c>
      <x:c r="G913"/>
      <x:c r="H913"/>
      <x:c r="I913"/>
      <x:c r="J913"/>
      <x:c r="K913"/>
      <x:c r="L913"/>
      <x:c r="M913" t="n">
        <x:v>1.6</x:v>
      </x:c>
      <x:c r="N913"/>
      <x:c r="O913"/>
      <x:c r="P913"/>
      <x:c r="Q913"/>
      <x:c r="R913"/>
      <x:c r="S913" t="n">
        <x:v>1.6</x:v>
      </x:c>
      <x:c r="T913" t="n">
        <x:v>1.6</x:v>
      </x:c>
      <x:c r="U913" s="28" t="n">
        <x:f>T913</x:f>
        <x:v>1.6</x:v>
      </x:c>
      <x:c r="V913" s="32" t="n">
        <x:f>IF(AND(ISNUMBER(S913),ISNUMBER(U913)),ABS(S913-U913),IF(S913=U913,0,1))</x:f>
        <x:v>0</x:v>
      </x:c>
      <x:c r="W913" s="30" t="str">
        <x:v>PASS</x:v>
      </x:c>
      <x:c r="X913" s="28" t="str">
        <x:f>IF(V913&lt;=1E-9,"PASS","FAIL")</x:f>
        <x:v>PASS</x:v>
      </x:c>
      <x:c r="Y913" t="str">
        <x:v>Chú thích Bảng 12</x:v>
      </x:c>
      <x:c r="Z913" t="str"/>
    </x:row>
    <x:row r="914">
      <x:c r="A914" t="str">
        <x:v>G0911</x:v>
      </x:c>
      <x:c r="B914" t="str">
        <x:v>Bảng 12</x:v>
      </x:c>
      <x:c r="C914" t="str">
        <x:v>invalid</x:v>
      </x:c>
      <x:c r="D914" t="str">
        <x:v>OUTSIDE</x:v>
      </x:c>
      <x:c r="E914" t="str">
        <x:v>{}</x:v>
      </x:c>
      <x:c r="F914" t="str">
        <x:v>BLOCK</x:v>
      </x:c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 t="str">
        <x:v>BLOCK</x:v>
      </x:c>
      <x:c r="T914" t="str">
        <x:v>BLOCK</x:v>
      </x:c>
      <x:c r="U914" s="28" t="str">
        <x:f>"BLOCK"</x:f>
        <x:v>BLOCK</x:v>
      </x:c>
      <x:c r="V914" s="32" t="n">
        <x:f>IF(AND(ISNUMBER(S914),ISNUMBER(U914)),ABS(S914-U914),IF(S914=U914,0,1))</x:f>
        <x:v>0</x:v>
      </x:c>
      <x:c r="W914" s="30" t="str">
        <x:v>PASS</x:v>
      </x:c>
      <x:c r="X914" s="28" t="str">
        <x:f>IF(V914&lt;=1E-9,"PASS","FAIL")</x:f>
        <x:v>PASS</x:v>
      </x:c>
      <x:c r="Y914" t="str">
        <x:v>DISCRETE</x:v>
      </x:c>
      <x:c r="Z914" t="str">
        <x:v>Bảng 12: cần chọn đúng loại đất dưới mũi cọc.</x:v>
      </x:c>
    </x:row>
    <x:row r="915">
      <x:c r="A915" t="str">
        <x:v>G0912</x:v>
      </x:c>
      <x:c r="B915" t="str">
        <x:v>Bảng 15</x:v>
      </x:c>
      <x:c r="C915" t="str">
        <x:v>β1:driven:compression</x:v>
      </x:c>
      <x:c r="D915" t="str">
        <x:v>EXACT</x:v>
      </x:c>
      <x:c r="E915" t="str">
        <x:v>{"q":1000}</x:v>
      </x:c>
      <x:c r="F915" t="str">
        <x:v>EXACT</x:v>
      </x:c>
      <x:c r="G915"/>
      <x:c r="H915"/>
      <x:c r="I915"/>
      <x:c r="J915"/>
      <x:c r="K915"/>
      <x:c r="L915"/>
      <x:c r="M915" t="n">
        <x:v>0.9</x:v>
      </x:c>
      <x:c r="N915"/>
      <x:c r="O915"/>
      <x:c r="P915"/>
      <x:c r="Q915"/>
      <x:c r="R915"/>
      <x:c r="S915" t="n">
        <x:v>0.9</x:v>
      </x:c>
      <x:c r="T915" t="n">
        <x:v>0.9</x:v>
      </x:c>
      <x:c r="U915" s="28" t="n">
        <x:f>T915</x:f>
        <x:v>0.9</x:v>
      </x:c>
      <x:c r="V915" s="32" t="n">
        <x:f>IF(AND(ISNUMBER(S915),ISNUMBER(U915)),ABS(S915-U915),IF(S915=U915,0,1))</x:f>
        <x:v>0</x:v>
      </x:c>
      <x:c r="W915" s="30" t="str">
        <x:v>PASS</x:v>
      </x:c>
      <x:c r="X915" s="28" t="str">
        <x:f>IF(V915&lt;=1E-9,"PASS","FAIL")</x:f>
        <x:v>PASS</x:v>
      </x:c>
      <x:c r="Y915" t="str">
        <x:v>tr.57</x:v>
      </x:c>
      <x:c r="Z915" t="str"/>
    </x:row>
    <x:row r="916">
      <x:c r="A916" t="str">
        <x:v>G0913</x:v>
      </x:c>
      <x:c r="B916" t="str">
        <x:v>Bảng 15</x:v>
      </x:c>
      <x:c r="C916" t="str">
        <x:v>β1:driven:compression</x:v>
      </x:c>
      <x:c r="D916" t="str">
        <x:v>EXACT</x:v>
      </x:c>
      <x:c r="E916" t="str">
        <x:v>{"q":2500}</x:v>
      </x:c>
      <x:c r="F916" t="str">
        <x:v>EXACT</x:v>
      </x:c>
      <x:c r="G916"/>
      <x:c r="H916"/>
      <x:c r="I916"/>
      <x:c r="J916"/>
      <x:c r="K916"/>
      <x:c r="L916"/>
      <x:c r="M916" t="n">
        <x:v>0.8</x:v>
      </x:c>
      <x:c r="N916"/>
      <x:c r="O916"/>
      <x:c r="P916"/>
      <x:c r="Q916"/>
      <x:c r="R916"/>
      <x:c r="S916" t="n">
        <x:v>0.8</x:v>
      </x:c>
      <x:c r="T916" t="n">
        <x:v>0.8</x:v>
      </x:c>
      <x:c r="U916" s="28" t="n">
        <x:f>T916</x:f>
        <x:v>0.8</x:v>
      </x:c>
      <x:c r="V916" s="32" t="n">
        <x:f>IF(AND(ISNUMBER(S916),ISNUMBER(U916)),ABS(S916-U916),IF(S916=U916,0,1))</x:f>
        <x:v>0</x:v>
      </x:c>
      <x:c r="W916" s="30" t="str">
        <x:v>PASS</x:v>
      </x:c>
      <x:c r="X916" s="28" t="str">
        <x:f>IF(V916&lt;=1E-9,"PASS","FAIL")</x:f>
        <x:v>PASS</x:v>
      </x:c>
      <x:c r="Y916" t="str">
        <x:v>tr.57</x:v>
      </x:c>
      <x:c r="Z916" t="str"/>
    </x:row>
    <x:row r="917">
      <x:c r="A917" t="str">
        <x:v>G0914</x:v>
      </x:c>
      <x:c r="B917" t="str">
        <x:v>Bảng 15</x:v>
      </x:c>
      <x:c r="C917" t="str">
        <x:v>β1:driven:compression</x:v>
      </x:c>
      <x:c r="D917" t="str">
        <x:v>EXACT</x:v>
      </x:c>
      <x:c r="E917" t="str">
        <x:v>{"q":5000}</x:v>
      </x:c>
      <x:c r="F917" t="str">
        <x:v>EXACT</x:v>
      </x:c>
      <x:c r="G917"/>
      <x:c r="H917"/>
      <x:c r="I917"/>
      <x:c r="J917"/>
      <x:c r="K917"/>
      <x:c r="L917"/>
      <x:c r="M917" t="n">
        <x:v>0.65</x:v>
      </x:c>
      <x:c r="N917"/>
      <x:c r="O917"/>
      <x:c r="P917"/>
      <x:c r="Q917"/>
      <x:c r="R917"/>
      <x:c r="S917" t="n">
        <x:v>0.65</x:v>
      </x:c>
      <x:c r="T917" t="n">
        <x:v>0.65</x:v>
      </x:c>
      <x:c r="U917" s="28" t="n">
        <x:f>T917</x:f>
        <x:v>0.65</x:v>
      </x:c>
      <x:c r="V917" s="32" t="n">
        <x:f>IF(AND(ISNUMBER(S917),ISNUMBER(U917)),ABS(S917-U917),IF(S917=U917,0,1))</x:f>
        <x:v>0</x:v>
      </x:c>
      <x:c r="W917" s="30" t="str">
        <x:v>PASS</x:v>
      </x:c>
      <x:c r="X917" s="28" t="str">
        <x:f>IF(V917&lt;=1E-9,"PASS","FAIL")</x:f>
        <x:v>PASS</x:v>
      </x:c>
      <x:c r="Y917" t="str">
        <x:v>tr.57</x:v>
      </x:c>
      <x:c r="Z917" t="str"/>
    </x:row>
    <x:row r="918">
      <x:c r="A918" t="str">
        <x:v>G0915</x:v>
      </x:c>
      <x:c r="B918" t="str">
        <x:v>Bảng 15</x:v>
      </x:c>
      <x:c r="C918" t="str">
        <x:v>β1:driven:compression</x:v>
      </x:c>
      <x:c r="D918" t="str">
        <x:v>EXACT</x:v>
      </x:c>
      <x:c r="E918" t="str">
        <x:v>{"q":7500}</x:v>
      </x:c>
      <x:c r="F918" t="str">
        <x:v>EXACT</x:v>
      </x:c>
      <x:c r="G918"/>
      <x:c r="H918"/>
      <x:c r="I918"/>
      <x:c r="J918"/>
      <x:c r="K918"/>
      <x:c r="L918"/>
      <x:c r="M918" t="n">
        <x:v>0.55</x:v>
      </x:c>
      <x:c r="N918"/>
      <x:c r="O918"/>
      <x:c r="P918"/>
      <x:c r="Q918"/>
      <x:c r="R918"/>
      <x:c r="S918" t="n">
        <x:v>0.55</x:v>
      </x:c>
      <x:c r="T918" t="n">
        <x:v>0.55</x:v>
      </x:c>
      <x:c r="U918" s="28" t="n">
        <x:f>T918</x:f>
        <x:v>0.55</x:v>
      </x:c>
      <x:c r="V918" s="32" t="n">
        <x:f>IF(AND(ISNUMBER(S918),ISNUMBER(U918)),ABS(S918-U918),IF(S918=U918,0,1))</x:f>
        <x:v>0</x:v>
      </x:c>
      <x:c r="W918" s="30" t="str">
        <x:v>PASS</x:v>
      </x:c>
      <x:c r="X918" s="28" t="str">
        <x:f>IF(V918&lt;=1E-9,"PASS","FAIL")</x:f>
        <x:v>PASS</x:v>
      </x:c>
      <x:c r="Y918" t="str">
        <x:v>tr.57</x:v>
      </x:c>
      <x:c r="Z918" t="str"/>
    </x:row>
    <x:row r="919">
      <x:c r="A919" t="str">
        <x:v>G0916</x:v>
      </x:c>
      <x:c r="B919" t="str">
        <x:v>Bảng 15</x:v>
      </x:c>
      <x:c r="C919" t="str">
        <x:v>β1:driven:compression</x:v>
      </x:c>
      <x:c r="D919" t="str">
        <x:v>EXACT</x:v>
      </x:c>
      <x:c r="E919" t="str">
        <x:v>{"q":10000}</x:v>
      </x:c>
      <x:c r="F919" t="str">
        <x:v>EXACT</x:v>
      </x:c>
      <x:c r="G919"/>
      <x:c r="H919"/>
      <x:c r="I919"/>
      <x:c r="J919"/>
      <x:c r="K919"/>
      <x:c r="L919"/>
      <x:c r="M919" t="n">
        <x:v>0.45</x:v>
      </x:c>
      <x:c r="N919"/>
      <x:c r="O919"/>
      <x:c r="P919"/>
      <x:c r="Q919"/>
      <x:c r="R919"/>
      <x:c r="S919" t="n">
        <x:v>0.45</x:v>
      </x:c>
      <x:c r="T919" t="n">
        <x:v>0.45</x:v>
      </x:c>
      <x:c r="U919" s="28" t="n">
        <x:f>T919</x:f>
        <x:v>0.45</x:v>
      </x:c>
      <x:c r="V919" s="32" t="n">
        <x:f>IF(AND(ISNUMBER(S919),ISNUMBER(U919)),ABS(S919-U919),IF(S919=U919,0,1))</x:f>
        <x:v>0</x:v>
      </x:c>
      <x:c r="W919" s="30" t="str">
        <x:v>PASS</x:v>
      </x:c>
      <x:c r="X919" s="28" t="str">
        <x:f>IF(V919&lt;=1E-9,"PASS","FAIL")</x:f>
        <x:v>PASS</x:v>
      </x:c>
      <x:c r="Y919" t="str">
        <x:v>tr.57</x:v>
      </x:c>
      <x:c r="Z919" t="str"/>
    </x:row>
    <x:row r="920">
      <x:c r="A920" t="str">
        <x:v>G0917</x:v>
      </x:c>
      <x:c r="B920" t="str">
        <x:v>Bảng 15</x:v>
      </x:c>
      <x:c r="C920" t="str">
        <x:v>β1:driven:compression</x:v>
      </x:c>
      <x:c r="D920" t="str">
        <x:v>EXACT</x:v>
      </x:c>
      <x:c r="E920" t="str">
        <x:v>{"q":15000}</x:v>
      </x:c>
      <x:c r="F920" t="str">
        <x:v>EXACT</x:v>
      </x:c>
      <x:c r="G920"/>
      <x:c r="H920"/>
      <x:c r="I920"/>
      <x:c r="J920"/>
      <x:c r="K920"/>
      <x:c r="L920"/>
      <x:c r="M920" t="n">
        <x:v>0.35</x:v>
      </x:c>
      <x:c r="N920"/>
      <x:c r="O920"/>
      <x:c r="P920"/>
      <x:c r="Q920"/>
      <x:c r="R920"/>
      <x:c r="S920" t="n">
        <x:v>0.35</x:v>
      </x:c>
      <x:c r="T920" t="n">
        <x:v>0.35</x:v>
      </x:c>
      <x:c r="U920" s="28" t="n">
        <x:f>T920</x:f>
        <x:v>0.35</x:v>
      </x:c>
      <x:c r="V920" s="32" t="n">
        <x:f>IF(AND(ISNUMBER(S920),ISNUMBER(U920)),ABS(S920-U920),IF(S920=U920,0,1))</x:f>
        <x:v>0</x:v>
      </x:c>
      <x:c r="W920" s="30" t="str">
        <x:v>PASS</x:v>
      </x:c>
      <x:c r="X920" s="28" t="str">
        <x:f>IF(V920&lt;=1E-9,"PASS","FAIL")</x:f>
        <x:v>PASS</x:v>
      </x:c>
      <x:c r="Y920" t="str">
        <x:v>tr.57</x:v>
      </x:c>
      <x:c r="Z920" t="str"/>
    </x:row>
    <x:row r="921">
      <x:c r="A921" t="str">
        <x:v>G0918</x:v>
      </x:c>
      <x:c r="B921" t="str">
        <x:v>Bảng 15</x:v>
      </x:c>
      <x:c r="C921" t="str">
        <x:v>β1:driven:compression</x:v>
      </x:c>
      <x:c r="D921" t="str">
        <x:v>EXACT</x:v>
      </x:c>
      <x:c r="E921" t="str">
        <x:v>{"q":20000}</x:v>
      </x:c>
      <x:c r="F921" t="str">
        <x:v>EXACT</x:v>
      </x:c>
      <x:c r="G921"/>
      <x:c r="H921"/>
      <x:c r="I921"/>
      <x:c r="J921"/>
      <x:c r="K921"/>
      <x:c r="L921"/>
      <x:c r="M921" t="n">
        <x:v>0.3</x:v>
      </x:c>
      <x:c r="N921"/>
      <x:c r="O921"/>
      <x:c r="P921"/>
      <x:c r="Q921"/>
      <x:c r="R921"/>
      <x:c r="S921" t="n">
        <x:v>0.3</x:v>
      </x:c>
      <x:c r="T921" t="n">
        <x:v>0.3</x:v>
      </x:c>
      <x:c r="U921" s="28" t="n">
        <x:f>T921</x:f>
        <x:v>0.3</x:v>
      </x:c>
      <x:c r="V921" s="32" t="n">
        <x:f>IF(AND(ISNUMBER(S921),ISNUMBER(U921)),ABS(S921-U921),IF(S921=U921,0,1))</x:f>
        <x:v>0</x:v>
      </x:c>
      <x:c r="W921" s="30" t="str">
        <x:v>PASS</x:v>
      </x:c>
      <x:c r="X921" s="28" t="str">
        <x:f>IF(V921&lt;=1E-9,"PASS","FAIL")</x:f>
        <x:v>PASS</x:v>
      </x:c>
      <x:c r="Y921" t="str">
        <x:v>tr.57</x:v>
      </x:c>
      <x:c r="Z921" t="str"/>
    </x:row>
    <x:row r="922">
      <x:c r="A922" t="str">
        <x:v>G0919</x:v>
      </x:c>
      <x:c r="B922" t="str">
        <x:v>Bảng 15</x:v>
      </x:c>
      <x:c r="C922" t="str">
        <x:v>β1:driven:compression</x:v>
      </x:c>
      <x:c r="D922" t="str">
        <x:v>EXACT</x:v>
      </x:c>
      <x:c r="E922" t="str">
        <x:v>{"q":30000}</x:v>
      </x:c>
      <x:c r="F922" t="str">
        <x:v>EXACT</x:v>
      </x:c>
      <x:c r="G922"/>
      <x:c r="H922"/>
      <x:c r="I922"/>
      <x:c r="J922"/>
      <x:c r="K922"/>
      <x:c r="L922"/>
      <x:c r="M922" t="n">
        <x:v>0.2</x:v>
      </x:c>
      <x:c r="N922"/>
      <x:c r="O922"/>
      <x:c r="P922"/>
      <x:c r="Q922"/>
      <x:c r="R922"/>
      <x:c r="S922" t="n">
        <x:v>0.2</x:v>
      </x:c>
      <x:c r="T922" t="n">
        <x:v>0.2</x:v>
      </x:c>
      <x:c r="U922" s="28" t="n">
        <x:f>T922</x:f>
        <x:v>0.2</x:v>
      </x:c>
      <x:c r="V922" s="32" t="n">
        <x:f>IF(AND(ISNUMBER(S922),ISNUMBER(U922)),ABS(S922-U922),IF(S922=U922,0,1))</x:f>
        <x:v>0</x:v>
      </x:c>
      <x:c r="W922" s="30" t="str">
        <x:v>PASS</x:v>
      </x:c>
      <x:c r="X922" s="28" t="str">
        <x:f>IF(V922&lt;=1E-9,"PASS","FAIL")</x:f>
        <x:v>PASS</x:v>
      </x:c>
      <x:c r="Y922" t="str">
        <x:v>tr.57</x:v>
      </x:c>
      <x:c r="Z922" t="str"/>
    </x:row>
    <x:row r="923">
      <x:c r="A923" t="str">
        <x:v>G0920</x:v>
      </x:c>
      <x:c r="B923" t="str">
        <x:v>Bảng 15</x:v>
      </x:c>
      <x:c r="C923" t="str">
        <x:v>β1:driven:compression</x:v>
      </x:c>
      <x:c r="D923" t="str">
        <x:v>MID-BLOCK</x:v>
      </x:c>
      <x:c r="E923" t="str">
        <x:v>{"q":1750}</x:v>
      </x:c>
      <x:c r="F923" t="str">
        <x:v>BLOCK</x:v>
      </x:c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 t="str">
        <x:v>BLOCK</x:v>
      </x:c>
      <x:c r="T923" t="str">
        <x:v>BLOCK</x:v>
      </x:c>
      <x:c r="U923" s="28" t="str">
        <x:f>"BLOCK"</x:f>
        <x:v>BLOCK</x:v>
      </x:c>
      <x:c r="V923" s="32" t="n">
        <x:f>IF(AND(ISNUMBER(S923),ISNUMBER(U923)),ABS(S923-U923),IF(S923=U923,0,1))</x:f>
        <x:v>0</x:v>
      </x:c>
      <x:c r="W923" s="30" t="str">
        <x:v>PASS</x:v>
      </x:c>
      <x:c r="X923" s="28" t="str">
        <x:f>IF(V923&lt;=1E-9,"PASS","FAIL")</x:f>
        <x:v>PASS</x:v>
      </x:c>
      <x:c r="Y923" t="str">
        <x:v>NO AUTO INTERPOLATION</x:v>
      </x:c>
      <x:c r="Z923" t="str">
        <x:v>Bảng 15 β1: tiêu chuẩn không ghi nội suy cho giá trị 1750; cần mốc đúng bảng hoặc nhập hệ số có provenance.</x:v>
      </x:c>
    </x:row>
    <x:row r="924">
      <x:c r="A924" t="str">
        <x:v>G0921</x:v>
      </x:c>
      <x:c r="B924" t="str">
        <x:v>Bảng 15</x:v>
      </x:c>
      <x:c r="C924" t="str">
        <x:v>β1:driven:compression</x:v>
      </x:c>
      <x:c r="D924" t="str">
        <x:v>MID-BLOCK</x:v>
      </x:c>
      <x:c r="E924" t="str">
        <x:v>{"q":3750}</x:v>
      </x:c>
      <x:c r="F924" t="str">
        <x:v>BLOCK</x:v>
      </x:c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 t="str">
        <x:v>BLOCK</x:v>
      </x:c>
      <x:c r="T924" t="str">
        <x:v>BLOCK</x:v>
      </x:c>
      <x:c r="U924" s="28" t="str">
        <x:f>"BLOCK"</x:f>
        <x:v>BLOCK</x:v>
      </x:c>
      <x:c r="V924" s="32" t="n">
        <x:f>IF(AND(ISNUMBER(S924),ISNUMBER(U924)),ABS(S924-U924),IF(S924=U924,0,1))</x:f>
        <x:v>0</x:v>
      </x:c>
      <x:c r="W924" s="30" t="str">
        <x:v>PASS</x:v>
      </x:c>
      <x:c r="X924" s="28" t="str">
        <x:f>IF(V924&lt;=1E-9,"PASS","FAIL")</x:f>
        <x:v>PASS</x:v>
      </x:c>
      <x:c r="Y924" t="str">
        <x:v>NO AUTO INTERPOLATION</x:v>
      </x:c>
      <x:c r="Z924" t="str">
        <x:v>Bảng 15 β1: tiêu chuẩn không ghi nội suy cho giá trị 3750; cần mốc đúng bảng hoặc nhập hệ số có provenance.</x:v>
      </x:c>
    </x:row>
    <x:row r="925">
      <x:c r="A925" t="str">
        <x:v>G0922</x:v>
      </x:c>
      <x:c r="B925" t="str">
        <x:v>Bảng 15</x:v>
      </x:c>
      <x:c r="C925" t="str">
        <x:v>β1:driven:compression</x:v>
      </x:c>
      <x:c r="D925" t="str">
        <x:v>MID-BLOCK</x:v>
      </x:c>
      <x:c r="E925" t="str">
        <x:v>{"q":6250}</x:v>
      </x:c>
      <x:c r="F925" t="str">
        <x:v>BLOCK</x:v>
      </x:c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 t="str">
        <x:v>BLOCK</x:v>
      </x:c>
      <x:c r="T925" t="str">
        <x:v>BLOCK</x:v>
      </x:c>
      <x:c r="U925" s="28" t="str">
        <x:f>"BLOCK"</x:f>
        <x:v>BLOCK</x:v>
      </x:c>
      <x:c r="V925" s="32" t="n">
        <x:f>IF(AND(ISNUMBER(S925),ISNUMBER(U925)),ABS(S925-U925),IF(S925=U925,0,1))</x:f>
        <x:v>0</x:v>
      </x:c>
      <x:c r="W925" s="30" t="str">
        <x:v>PASS</x:v>
      </x:c>
      <x:c r="X925" s="28" t="str">
        <x:f>IF(V925&lt;=1E-9,"PASS","FAIL")</x:f>
        <x:v>PASS</x:v>
      </x:c>
      <x:c r="Y925" t="str">
        <x:v>NO AUTO INTERPOLATION</x:v>
      </x:c>
      <x:c r="Z925" t="str">
        <x:v>Bảng 15 β1: tiêu chuẩn không ghi nội suy cho giá trị 6250; cần mốc đúng bảng hoặc nhập hệ số có provenance.</x:v>
      </x:c>
    </x:row>
    <x:row r="926">
      <x:c r="A926" t="str">
        <x:v>G0923</x:v>
      </x:c>
      <x:c r="B926" t="str">
        <x:v>Bảng 15</x:v>
      </x:c>
      <x:c r="C926" t="str">
        <x:v>β1:driven:compression</x:v>
      </x:c>
      <x:c r="D926" t="str">
        <x:v>MID-BLOCK</x:v>
      </x:c>
      <x:c r="E926" t="str">
        <x:v>{"q":8750}</x:v>
      </x:c>
      <x:c r="F926" t="str">
        <x:v>BLOCK</x:v>
      </x:c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 t="str">
        <x:v>BLOCK</x:v>
      </x:c>
      <x:c r="T926" t="str">
        <x:v>BLOCK</x:v>
      </x:c>
      <x:c r="U926" s="28" t="str">
        <x:f>"BLOCK"</x:f>
        <x:v>BLOCK</x:v>
      </x:c>
      <x:c r="V926" s="32" t="n">
        <x:f>IF(AND(ISNUMBER(S926),ISNUMBER(U926)),ABS(S926-U926),IF(S926=U926,0,1))</x:f>
        <x:v>0</x:v>
      </x:c>
      <x:c r="W926" s="30" t="str">
        <x:v>PASS</x:v>
      </x:c>
      <x:c r="X926" s="28" t="str">
        <x:f>IF(V926&lt;=1E-9,"PASS","FAIL")</x:f>
        <x:v>PASS</x:v>
      </x:c>
      <x:c r="Y926" t="str">
        <x:v>NO AUTO INTERPOLATION</x:v>
      </x:c>
      <x:c r="Z926" t="str">
        <x:v>Bảng 15 β1: tiêu chuẩn không ghi nội suy cho giá trị 8750; cần mốc đúng bảng hoặc nhập hệ số có provenance.</x:v>
      </x:c>
    </x:row>
    <x:row r="927">
      <x:c r="A927" t="str">
        <x:v>G0924</x:v>
      </x:c>
      <x:c r="B927" t="str">
        <x:v>Bảng 15</x:v>
      </x:c>
      <x:c r="C927" t="str">
        <x:v>β1:driven:compression</x:v>
      </x:c>
      <x:c r="D927" t="str">
        <x:v>MID-BLOCK</x:v>
      </x:c>
      <x:c r="E927" t="str">
        <x:v>{"q":12500}</x:v>
      </x:c>
      <x:c r="F927" t="str">
        <x:v>BLOCK</x:v>
      </x:c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 t="str">
        <x:v>BLOCK</x:v>
      </x:c>
      <x:c r="T927" t="str">
        <x:v>BLOCK</x:v>
      </x:c>
      <x:c r="U927" s="28" t="str">
        <x:f>"BLOCK"</x:f>
        <x:v>BLOCK</x:v>
      </x:c>
      <x:c r="V927" s="32" t="n">
        <x:f>IF(AND(ISNUMBER(S927),ISNUMBER(U927)),ABS(S927-U927),IF(S927=U927,0,1))</x:f>
        <x:v>0</x:v>
      </x:c>
      <x:c r="W927" s="30" t="str">
        <x:v>PASS</x:v>
      </x:c>
      <x:c r="X927" s="28" t="str">
        <x:f>IF(V927&lt;=1E-9,"PASS","FAIL")</x:f>
        <x:v>PASS</x:v>
      </x:c>
      <x:c r="Y927" t="str">
        <x:v>NO AUTO INTERPOLATION</x:v>
      </x:c>
      <x:c r="Z927" t="str">
        <x:v>Bảng 15 β1: tiêu chuẩn không ghi nội suy cho giá trị 12500; cần mốc đúng bảng hoặc nhập hệ số có provenance.</x:v>
      </x:c>
    </x:row>
    <x:row r="928">
      <x:c r="A928" t="str">
        <x:v>G0925</x:v>
      </x:c>
      <x:c r="B928" t="str">
        <x:v>Bảng 15</x:v>
      </x:c>
      <x:c r="C928" t="str">
        <x:v>β1:driven:compression</x:v>
      </x:c>
      <x:c r="D928" t="str">
        <x:v>MID-BLOCK</x:v>
      </x:c>
      <x:c r="E928" t="str">
        <x:v>{"q":17500}</x:v>
      </x:c>
      <x:c r="F928" t="str">
        <x:v>BLOCK</x:v>
      </x:c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 t="str">
        <x:v>BLOCK</x:v>
      </x:c>
      <x:c r="T928" t="str">
        <x:v>BLOCK</x:v>
      </x:c>
      <x:c r="U928" s="28" t="str">
        <x:f>"BLOCK"</x:f>
        <x:v>BLOCK</x:v>
      </x:c>
      <x:c r="V928" s="32" t="n">
        <x:f>IF(AND(ISNUMBER(S928),ISNUMBER(U928)),ABS(S928-U928),IF(S928=U928,0,1))</x:f>
        <x:v>0</x:v>
      </x:c>
      <x:c r="W928" s="30" t="str">
        <x:v>PASS</x:v>
      </x:c>
      <x:c r="X928" s="28" t="str">
        <x:f>IF(V928&lt;=1E-9,"PASS","FAIL")</x:f>
        <x:v>PASS</x:v>
      </x:c>
      <x:c r="Y928" t="str">
        <x:v>NO AUTO INTERPOLATION</x:v>
      </x:c>
      <x:c r="Z928" t="str">
        <x:v>Bảng 15 β1: tiêu chuẩn không ghi nội suy cho giá trị 17500; cần mốc đúng bảng hoặc nhập hệ số có provenance.</x:v>
      </x:c>
    </x:row>
    <x:row r="929">
      <x:c r="A929" t="str">
        <x:v>G0926</x:v>
      </x:c>
      <x:c r="B929" t="str">
        <x:v>Bảng 15</x:v>
      </x:c>
      <x:c r="C929" t="str">
        <x:v>β1:driven:compression</x:v>
      </x:c>
      <x:c r="D929" t="str">
        <x:v>MID-BLOCK</x:v>
      </x:c>
      <x:c r="E929" t="str">
        <x:v>{"q":25000}</x:v>
      </x:c>
      <x:c r="F929" t="str">
        <x:v>BLOCK</x:v>
      </x:c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 t="str">
        <x:v>BLOCK</x:v>
      </x:c>
      <x:c r="T929" t="str">
        <x:v>BLOCK</x:v>
      </x:c>
      <x:c r="U929" s="28" t="str">
        <x:f>"BLOCK"</x:f>
        <x:v>BLOCK</x:v>
      </x:c>
      <x:c r="V929" s="32" t="n">
        <x:f>IF(AND(ISNUMBER(S929),ISNUMBER(U929)),ABS(S929-U929),IF(S929=U929,0,1))</x:f>
        <x:v>0</x:v>
      </x:c>
      <x:c r="W929" s="30" t="str">
        <x:v>PASS</x:v>
      </x:c>
      <x:c r="X929" s="28" t="str">
        <x:f>IF(V929&lt;=1E-9,"PASS","FAIL")</x:f>
        <x:v>PASS</x:v>
      </x:c>
      <x:c r="Y929" t="str">
        <x:v>NO AUTO INTERPOLATION</x:v>
      </x:c>
      <x:c r="Z929" t="str">
        <x:v>Bảng 15 β1: tiêu chuẩn không ghi nội suy cho giá trị 25000; cần mốc đúng bảng hoặc nhập hệ số có provenance.</x:v>
      </x:c>
    </x:row>
    <x:row r="930">
      <x:c r="A930" t="str">
        <x:v>G0927</x:v>
      </x:c>
      <x:c r="B930" t="str">
        <x:v>Bảng 15</x:v>
      </x:c>
      <x:c r="C930" t="str">
        <x:v>β1:driven:compression</x:v>
      </x:c>
      <x:c r="D930" t="str">
        <x:v>LOW-EDGE</x:v>
      </x:c>
      <x:c r="E930" t="str">
        <x:v>{"q":500}</x:v>
      </x:c>
      <x:c r="F930" t="str">
        <x:v>EDGE-BAND</x:v>
      </x:c>
      <x:c r="G930"/>
      <x:c r="H930"/>
      <x:c r="I930"/>
      <x:c r="J930"/>
      <x:c r="K930"/>
      <x:c r="L930"/>
      <x:c r="M930" t="n">
        <x:v>0.9</x:v>
      </x:c>
      <x:c r="N930"/>
      <x:c r="O930"/>
      <x:c r="P930"/>
      <x:c r="Q930"/>
      <x:c r="R930"/>
      <x:c r="S930" t="n">
        <x:v>0.9</x:v>
      </x:c>
      <x:c r="T930" t="n">
        <x:v>0.9</x:v>
      </x:c>
      <x:c r="U930" s="28" t="n">
        <x:f>T930</x:f>
        <x:v>0.9</x:v>
      </x:c>
      <x:c r="V930" s="32" t="n">
        <x:f>IF(AND(ISNUMBER(S930),ISNUMBER(U930)),ABS(S930-U930),IF(S930=U930,0,1))</x:f>
        <x:v>0</x:v>
      </x:c>
      <x:c r="W930" s="30" t="str">
        <x:v>PASS</x:v>
      </x:c>
      <x:c r="X930" s="28" t="str">
        <x:f>IF(V930&lt;=1E-9,"PASS","FAIL")</x:f>
        <x:v>PASS</x:v>
      </x:c>
      <x:c r="Y930" t="str">
        <x:v>≤ first point</x:v>
      </x:c>
      <x:c r="Z930" t="str"/>
    </x:row>
    <x:row r="931">
      <x:c r="A931" t="str">
        <x:v>G0928</x:v>
      </x:c>
      <x:c r="B931" t="str">
        <x:v>Bảng 15</x:v>
      </x:c>
      <x:c r="C931" t="str">
        <x:v>β1:driven:compression</x:v>
      </x:c>
      <x:c r="D931" t="str">
        <x:v>HIGH-EDGE</x:v>
      </x:c>
      <x:c r="E931" t="str">
        <x:v>{"q":35000}</x:v>
      </x:c>
      <x:c r="F931" t="str">
        <x:v>EDGE-BAND</x:v>
      </x:c>
      <x:c r="G931"/>
      <x:c r="H931"/>
      <x:c r="I931"/>
      <x:c r="J931"/>
      <x:c r="K931"/>
      <x:c r="L931"/>
      <x:c r="M931" t="n">
        <x:v>0.2</x:v>
      </x:c>
      <x:c r="N931"/>
      <x:c r="O931"/>
      <x:c r="P931"/>
      <x:c r="Q931"/>
      <x:c r="R931"/>
      <x:c r="S931" t="n">
        <x:v>0.2</x:v>
      </x:c>
      <x:c r="T931" t="n">
        <x:v>0.2</x:v>
      </x:c>
      <x:c r="U931" s="28" t="n">
        <x:f>T931</x:f>
        <x:v>0.2</x:v>
      </x:c>
      <x:c r="V931" s="32" t="n">
        <x:f>IF(AND(ISNUMBER(S931),ISNUMBER(U931)),ABS(S931-U931),IF(S931=U931,0,1))</x:f>
        <x:v>0</x:v>
      </x:c>
      <x:c r="W931" s="30" t="str">
        <x:v>PASS</x:v>
      </x:c>
      <x:c r="X931" s="28" t="str">
        <x:f>IF(V931&lt;=1E-9,"PASS","FAIL")</x:f>
        <x:v>PASS</x:v>
      </x:c>
      <x:c r="Y931" t="str">
        <x:v>≥ last only driven</x:v>
      </x:c>
      <x:c r="Z931" t="str"/>
    </x:row>
    <x:row r="932">
      <x:c r="A932" t="str">
        <x:v>G0929</x:v>
      </x:c>
      <x:c r="B932" t="str">
        <x:v>Bảng 15</x:v>
      </x:c>
      <x:c r="C932" t="str">
        <x:v>β1:screw:compression</x:v>
      </x:c>
      <x:c r="D932" t="str">
        <x:v>EXACT</x:v>
      </x:c>
      <x:c r="E932" t="str">
        <x:v>{"q":1000}</x:v>
      </x:c>
      <x:c r="F932" t="str">
        <x:v>EXACT</x:v>
      </x:c>
      <x:c r="G932"/>
      <x:c r="H932"/>
      <x:c r="I932"/>
      <x:c r="J932"/>
      <x:c r="K932"/>
      <x:c r="L932"/>
      <x:c r="M932" t="n">
        <x:v>0.5</x:v>
      </x:c>
      <x:c r="N932"/>
      <x:c r="O932"/>
      <x:c r="P932"/>
      <x:c r="Q932"/>
      <x:c r="R932"/>
      <x:c r="S932" t="n">
        <x:v>0.5</x:v>
      </x:c>
      <x:c r="T932" t="n">
        <x:v>0.5</x:v>
      </x:c>
      <x:c r="U932" s="28" t="n">
        <x:f>T932</x:f>
        <x:v>0.5</x:v>
      </x:c>
      <x:c r="V932" s="32" t="n">
        <x:f>IF(AND(ISNUMBER(S932),ISNUMBER(U932)),ABS(S932-U932),IF(S932=U932,0,1))</x:f>
        <x:v>0</x:v>
      </x:c>
      <x:c r="W932" s="30" t="str">
        <x:v>PASS</x:v>
      </x:c>
      <x:c r="X932" s="28" t="str">
        <x:f>IF(V932&lt;=1E-9,"PASS","FAIL")</x:f>
        <x:v>PASS</x:v>
      </x:c>
      <x:c r="Y932" t="str">
        <x:v>tr.57</x:v>
      </x:c>
      <x:c r="Z932" t="str"/>
    </x:row>
    <x:row r="933">
      <x:c r="A933" t="str">
        <x:v>G0930</x:v>
      </x:c>
      <x:c r="B933" t="str">
        <x:v>Bảng 15</x:v>
      </x:c>
      <x:c r="C933" t="str">
        <x:v>β1:screw:compression</x:v>
      </x:c>
      <x:c r="D933" t="str">
        <x:v>EXACT</x:v>
      </x:c>
      <x:c r="E933" t="str">
        <x:v>{"q":2500}</x:v>
      </x:c>
      <x:c r="F933" t="str">
        <x:v>EXACT</x:v>
      </x:c>
      <x:c r="G933"/>
      <x:c r="H933"/>
      <x:c r="I933"/>
      <x:c r="J933"/>
      <x:c r="K933"/>
      <x:c r="L933"/>
      <x:c r="M933" t="n">
        <x:v>0.45</x:v>
      </x:c>
      <x:c r="N933"/>
      <x:c r="O933"/>
      <x:c r="P933"/>
      <x:c r="Q933"/>
      <x:c r="R933"/>
      <x:c r="S933" t="n">
        <x:v>0.45</x:v>
      </x:c>
      <x:c r="T933" t="n">
        <x:v>0.45</x:v>
      </x:c>
      <x:c r="U933" s="28" t="n">
        <x:f>T933</x:f>
        <x:v>0.45</x:v>
      </x:c>
      <x:c r="V933" s="32" t="n">
        <x:f>IF(AND(ISNUMBER(S933),ISNUMBER(U933)),ABS(S933-U933),IF(S933=U933,0,1))</x:f>
        <x:v>0</x:v>
      </x:c>
      <x:c r="W933" s="30" t="str">
        <x:v>PASS</x:v>
      </x:c>
      <x:c r="X933" s="28" t="str">
        <x:f>IF(V933&lt;=1E-9,"PASS","FAIL")</x:f>
        <x:v>PASS</x:v>
      </x:c>
      <x:c r="Y933" t="str">
        <x:v>tr.57</x:v>
      </x:c>
      <x:c r="Z933" t="str"/>
    </x:row>
    <x:row r="934">
      <x:c r="A934" t="str">
        <x:v>G0931</x:v>
      </x:c>
      <x:c r="B934" t="str">
        <x:v>Bảng 15</x:v>
      </x:c>
      <x:c r="C934" t="str">
        <x:v>β1:screw:compression</x:v>
      </x:c>
      <x:c r="D934" t="str">
        <x:v>EXACT</x:v>
      </x:c>
      <x:c r="E934" t="str">
        <x:v>{"q":5000}</x:v>
      </x:c>
      <x:c r="F934" t="str">
        <x:v>EXACT</x:v>
      </x:c>
      <x:c r="G934"/>
      <x:c r="H934"/>
      <x:c r="I934"/>
      <x:c r="J934"/>
      <x:c r="K934"/>
      <x:c r="L934"/>
      <x:c r="M934" t="n">
        <x:v>0.32</x:v>
      </x:c>
      <x:c r="N934"/>
      <x:c r="O934"/>
      <x:c r="P934"/>
      <x:c r="Q934"/>
      <x:c r="R934"/>
      <x:c r="S934" t="n">
        <x:v>0.32</x:v>
      </x:c>
      <x:c r="T934" t="n">
        <x:v>0.32</x:v>
      </x:c>
      <x:c r="U934" s="28" t="n">
        <x:f>T934</x:f>
        <x:v>0.32</x:v>
      </x:c>
      <x:c r="V934" s="32" t="n">
        <x:f>IF(AND(ISNUMBER(S934),ISNUMBER(U934)),ABS(S934-U934),IF(S934=U934,0,1))</x:f>
        <x:v>0</x:v>
      </x:c>
      <x:c r="W934" s="30" t="str">
        <x:v>PASS</x:v>
      </x:c>
      <x:c r="X934" s="28" t="str">
        <x:f>IF(V934&lt;=1E-9,"PASS","FAIL")</x:f>
        <x:v>PASS</x:v>
      </x:c>
      <x:c r="Y934" t="str">
        <x:v>tr.57</x:v>
      </x:c>
      <x:c r="Z934" t="str"/>
    </x:row>
    <x:row r="935">
      <x:c r="A935" t="str">
        <x:v>G0932</x:v>
      </x:c>
      <x:c r="B935" t="str">
        <x:v>Bảng 15</x:v>
      </x:c>
      <x:c r="C935" t="str">
        <x:v>β1:screw:compression</x:v>
      </x:c>
      <x:c r="D935" t="str">
        <x:v>EXACT</x:v>
      </x:c>
      <x:c r="E935" t="str">
        <x:v>{"q":7500}</x:v>
      </x:c>
      <x:c r="F935" t="str">
        <x:v>EXACT</x:v>
      </x:c>
      <x:c r="G935"/>
      <x:c r="H935"/>
      <x:c r="I935"/>
      <x:c r="J935"/>
      <x:c r="K935"/>
      <x:c r="L935"/>
      <x:c r="M935" t="n">
        <x:v>0.26</x:v>
      </x:c>
      <x:c r="N935"/>
      <x:c r="O935"/>
      <x:c r="P935"/>
      <x:c r="Q935"/>
      <x:c r="R935"/>
      <x:c r="S935" t="n">
        <x:v>0.26</x:v>
      </x:c>
      <x:c r="T935" t="n">
        <x:v>0.26</x:v>
      </x:c>
      <x:c r="U935" s="28" t="n">
        <x:f>T935</x:f>
        <x:v>0.26</x:v>
      </x:c>
      <x:c r="V935" s="32" t="n">
        <x:f>IF(AND(ISNUMBER(S935),ISNUMBER(U935)),ABS(S935-U935),IF(S935=U935,0,1))</x:f>
        <x:v>0</x:v>
      </x:c>
      <x:c r="W935" s="30" t="str">
        <x:v>PASS</x:v>
      </x:c>
      <x:c r="X935" s="28" t="str">
        <x:f>IF(V935&lt;=1E-9,"PASS","FAIL")</x:f>
        <x:v>PASS</x:v>
      </x:c>
      <x:c r="Y935" t="str">
        <x:v>tr.57</x:v>
      </x:c>
      <x:c r="Z935" t="str"/>
    </x:row>
    <x:row r="936">
      <x:c r="A936" t="str">
        <x:v>G0933</x:v>
      </x:c>
      <x:c r="B936" t="str">
        <x:v>Bảng 15</x:v>
      </x:c>
      <x:c r="C936" t="str">
        <x:v>β1:screw:compression</x:v>
      </x:c>
      <x:c r="D936" t="str">
        <x:v>EXACT</x:v>
      </x:c>
      <x:c r="E936" t="str">
        <x:v>{"q":10000}</x:v>
      </x:c>
      <x:c r="F936" t="str">
        <x:v>EXACT</x:v>
      </x:c>
      <x:c r="G936"/>
      <x:c r="H936"/>
      <x:c r="I936"/>
      <x:c r="J936"/>
      <x:c r="K936"/>
      <x:c r="L936"/>
      <x:c r="M936" t="n">
        <x:v>0.23</x:v>
      </x:c>
      <x:c r="N936"/>
      <x:c r="O936"/>
      <x:c r="P936"/>
      <x:c r="Q936"/>
      <x:c r="R936"/>
      <x:c r="S936" t="n">
        <x:v>0.23</x:v>
      </x:c>
      <x:c r="T936" t="n">
        <x:v>0.23</x:v>
      </x:c>
      <x:c r="U936" s="28" t="n">
        <x:f>T936</x:f>
        <x:v>0.23</x:v>
      </x:c>
      <x:c r="V936" s="32" t="n">
        <x:f>IF(AND(ISNUMBER(S936),ISNUMBER(U936)),ABS(S936-U936),IF(S936=U936,0,1))</x:f>
        <x:v>0</x:v>
      </x:c>
      <x:c r="W936" s="30" t="str">
        <x:v>PASS</x:v>
      </x:c>
      <x:c r="X936" s="28" t="str">
        <x:f>IF(V936&lt;=1E-9,"PASS","FAIL")</x:f>
        <x:v>PASS</x:v>
      </x:c>
      <x:c r="Y936" t="str">
        <x:v>tr.57</x:v>
      </x:c>
      <x:c r="Z936" t="str"/>
    </x:row>
    <x:row r="937">
      <x:c r="A937" t="str">
        <x:v>G0934</x:v>
      </x:c>
      <x:c r="B937" t="str">
        <x:v>Bảng 15</x:v>
      </x:c>
      <x:c r="C937" t="str">
        <x:v>β1:screw:compression</x:v>
      </x:c>
      <x:c r="D937" t="str">
        <x:v>NULL-CELL</x:v>
      </x:c>
      <x:c r="E937" t="str">
        <x:v>{"q":15000}</x:v>
      </x:c>
      <x:c r="F937" t="str">
        <x:v>BLOCK</x:v>
      </x:c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 t="str">
        <x:v>BLOCK</x:v>
      </x:c>
      <x:c r="T937" t="str">
        <x:v>BLOCK</x:v>
      </x:c>
      <x:c r="U937" s="28" t="str">
        <x:f>"BLOCK"</x:f>
        <x:v>BLOCK</x:v>
      </x:c>
      <x:c r="V937" s="32" t="n">
        <x:f>IF(AND(ISNUMBER(S937),ISNUMBER(U937)),ABS(S937-U937),IF(S937=U937,0,1))</x:f>
        <x:v>0</x:v>
      </x:c>
      <x:c r="W937" s="30" t="str">
        <x:v>PASS</x:v>
      </x:c>
      <x:c r="X937" s="28" t="str">
        <x:f>IF(V937&lt;=1E-9,"PASS","FAIL")</x:f>
        <x:v>PASS</x:v>
      </x:c>
      <x:c r="Y937" t="str">
        <x:v>tr.57</x:v>
      </x:c>
      <x:c r="Z937" t="str">
        <x:v>Bảng 15 β1: mốc 15000 không áp dụng cho nhánh này.</x:v>
      </x:c>
    </x:row>
    <x:row r="938">
      <x:c r="A938" t="str">
        <x:v>G0935</x:v>
      </x:c>
      <x:c r="B938" t="str">
        <x:v>Bảng 15</x:v>
      </x:c>
      <x:c r="C938" t="str">
        <x:v>β1:screw:compression</x:v>
      </x:c>
      <x:c r="D938" t="str">
        <x:v>NULL-CELL</x:v>
      </x:c>
      <x:c r="E938" t="str">
        <x:v>{"q":20000}</x:v>
      </x:c>
      <x:c r="F938" t="str">
        <x:v>BLOCK</x:v>
      </x:c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 t="str">
        <x:v>BLOCK</x:v>
      </x:c>
      <x:c r="T938" t="str">
        <x:v>BLOCK</x:v>
      </x:c>
      <x:c r="U938" s="28" t="str">
        <x:f>"BLOCK"</x:f>
        <x:v>BLOCK</x:v>
      </x:c>
      <x:c r="V938" s="32" t="n">
        <x:f>IF(AND(ISNUMBER(S938),ISNUMBER(U938)),ABS(S938-U938),IF(S938=U938,0,1))</x:f>
        <x:v>0</x:v>
      </x:c>
      <x:c r="W938" s="30" t="str">
        <x:v>PASS</x:v>
      </x:c>
      <x:c r="X938" s="28" t="str">
        <x:f>IF(V938&lt;=1E-9,"PASS","FAIL")</x:f>
        <x:v>PASS</x:v>
      </x:c>
      <x:c r="Y938" t="str">
        <x:v>tr.57</x:v>
      </x:c>
      <x:c r="Z938" t="str">
        <x:v>Bảng 15 β1: mốc 20000 không áp dụng cho nhánh này.</x:v>
      </x:c>
    </x:row>
    <x:row r="939">
      <x:c r="A939" t="str">
        <x:v>G0936</x:v>
      </x:c>
      <x:c r="B939" t="str">
        <x:v>Bảng 15</x:v>
      </x:c>
      <x:c r="C939" t="str">
        <x:v>β1:screw:compression</x:v>
      </x:c>
      <x:c r="D939" t="str">
        <x:v>NULL-CELL</x:v>
      </x:c>
      <x:c r="E939" t="str">
        <x:v>{"q":30000}</x:v>
      </x:c>
      <x:c r="F939" t="str">
        <x:v>BLOCK</x:v>
      </x:c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 t="str">
        <x:v>BLOCK</x:v>
      </x:c>
      <x:c r="T939" t="str">
        <x:v>BLOCK</x:v>
      </x:c>
      <x:c r="U939" s="28" t="str">
        <x:f>"BLOCK"</x:f>
        <x:v>BLOCK</x:v>
      </x:c>
      <x:c r="V939" s="32" t="n">
        <x:f>IF(AND(ISNUMBER(S939),ISNUMBER(U939)),ABS(S939-U939),IF(S939=U939,0,1))</x:f>
        <x:v>0</x:v>
      </x:c>
      <x:c r="W939" s="30" t="str">
        <x:v>PASS</x:v>
      </x:c>
      <x:c r="X939" s="28" t="str">
        <x:f>IF(V939&lt;=1E-9,"PASS","FAIL")</x:f>
        <x:v>PASS</x:v>
      </x:c>
      <x:c r="Y939" t="str">
        <x:v>tr.57</x:v>
      </x:c>
      <x:c r="Z939" t="str">
        <x:v>Bảng 15 β1: mốc 30000 không áp dụng cho nhánh này.</x:v>
      </x:c>
    </x:row>
    <x:row r="940">
      <x:c r="A940" t="str">
        <x:v>G0937</x:v>
      </x:c>
      <x:c r="B940" t="str">
        <x:v>Bảng 15</x:v>
      </x:c>
      <x:c r="C940" t="str">
        <x:v>β1:screw:compression</x:v>
      </x:c>
      <x:c r="D940" t="str">
        <x:v>MID-BLOCK</x:v>
      </x:c>
      <x:c r="E940" t="str">
        <x:v>{"q":1750}</x:v>
      </x:c>
      <x:c r="F940" t="str">
        <x:v>BLOCK</x:v>
      </x:c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 t="str">
        <x:v>BLOCK</x:v>
      </x:c>
      <x:c r="T940" t="str">
        <x:v>BLOCK</x:v>
      </x:c>
      <x:c r="U940" s="28" t="str">
        <x:f>"BLOCK"</x:f>
        <x:v>BLOCK</x:v>
      </x:c>
      <x:c r="V940" s="32" t="n">
        <x:f>IF(AND(ISNUMBER(S940),ISNUMBER(U940)),ABS(S940-U940),IF(S940=U940,0,1))</x:f>
        <x:v>0</x:v>
      </x:c>
      <x:c r="W940" s="30" t="str">
        <x:v>PASS</x:v>
      </x:c>
      <x:c r="X940" s="28" t="str">
        <x:f>IF(V940&lt;=1E-9,"PASS","FAIL")</x:f>
        <x:v>PASS</x:v>
      </x:c>
      <x:c r="Y940" t="str">
        <x:v>NO AUTO INTERPOLATION</x:v>
      </x:c>
      <x:c r="Z940" t="str">
        <x:v>Bảng 15 β1: tiêu chuẩn không ghi nội suy cho giá trị 1750; cần mốc đúng bảng hoặc nhập hệ số có provenance.</x:v>
      </x:c>
    </x:row>
    <x:row r="941">
      <x:c r="A941" t="str">
        <x:v>G0938</x:v>
      </x:c>
      <x:c r="B941" t="str">
        <x:v>Bảng 15</x:v>
      </x:c>
      <x:c r="C941" t="str">
        <x:v>β1:screw:compression</x:v>
      </x:c>
      <x:c r="D941" t="str">
        <x:v>MID-BLOCK</x:v>
      </x:c>
      <x:c r="E941" t="str">
        <x:v>{"q":3750}</x:v>
      </x:c>
      <x:c r="F941" t="str">
        <x:v>BLOCK</x:v>
      </x:c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 t="str">
        <x:v>BLOCK</x:v>
      </x:c>
      <x:c r="T941" t="str">
        <x:v>BLOCK</x:v>
      </x:c>
      <x:c r="U941" s="28" t="str">
        <x:f>"BLOCK"</x:f>
        <x:v>BLOCK</x:v>
      </x:c>
      <x:c r="V941" s="32" t="n">
        <x:f>IF(AND(ISNUMBER(S941),ISNUMBER(U941)),ABS(S941-U941),IF(S941=U941,0,1))</x:f>
        <x:v>0</x:v>
      </x:c>
      <x:c r="W941" s="30" t="str">
        <x:v>PASS</x:v>
      </x:c>
      <x:c r="X941" s="28" t="str">
        <x:f>IF(V941&lt;=1E-9,"PASS","FAIL")</x:f>
        <x:v>PASS</x:v>
      </x:c>
      <x:c r="Y941" t="str">
        <x:v>NO AUTO INTERPOLATION</x:v>
      </x:c>
      <x:c r="Z941" t="str">
        <x:v>Bảng 15 β1: tiêu chuẩn không ghi nội suy cho giá trị 3750; cần mốc đúng bảng hoặc nhập hệ số có provenance.</x:v>
      </x:c>
    </x:row>
    <x:row r="942">
      <x:c r="A942" t="str">
        <x:v>G0939</x:v>
      </x:c>
      <x:c r="B942" t="str">
        <x:v>Bảng 15</x:v>
      </x:c>
      <x:c r="C942" t="str">
        <x:v>β1:screw:compression</x:v>
      </x:c>
      <x:c r="D942" t="str">
        <x:v>MID-BLOCK</x:v>
      </x:c>
      <x:c r="E942" t="str">
        <x:v>{"q":6250}</x:v>
      </x:c>
      <x:c r="F942" t="str">
        <x:v>BLOCK</x:v>
      </x:c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 t="str">
        <x:v>BLOCK</x:v>
      </x:c>
      <x:c r="T942" t="str">
        <x:v>BLOCK</x:v>
      </x:c>
      <x:c r="U942" s="28" t="str">
        <x:f>"BLOCK"</x:f>
        <x:v>BLOCK</x:v>
      </x:c>
      <x:c r="V942" s="32" t="n">
        <x:f>IF(AND(ISNUMBER(S942),ISNUMBER(U942)),ABS(S942-U942),IF(S942=U942,0,1))</x:f>
        <x:v>0</x:v>
      </x:c>
      <x:c r="W942" s="30" t="str">
        <x:v>PASS</x:v>
      </x:c>
      <x:c r="X942" s="28" t="str">
        <x:f>IF(V942&lt;=1E-9,"PASS","FAIL")</x:f>
        <x:v>PASS</x:v>
      </x:c>
      <x:c r="Y942" t="str">
        <x:v>NO AUTO INTERPOLATION</x:v>
      </x:c>
      <x:c r="Z942" t="str">
        <x:v>Bảng 15 β1: tiêu chuẩn không ghi nội suy cho giá trị 6250; cần mốc đúng bảng hoặc nhập hệ số có provenance.</x:v>
      </x:c>
    </x:row>
    <x:row r="943">
      <x:c r="A943" t="str">
        <x:v>G0940</x:v>
      </x:c>
      <x:c r="B943" t="str">
        <x:v>Bảng 15</x:v>
      </x:c>
      <x:c r="C943" t="str">
        <x:v>β1:screw:compression</x:v>
      </x:c>
      <x:c r="D943" t="str">
        <x:v>MID-BLOCK</x:v>
      </x:c>
      <x:c r="E943" t="str">
        <x:v>{"q":8750}</x:v>
      </x:c>
      <x:c r="F943" t="str">
        <x:v>BLOCK</x:v>
      </x:c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 t="str">
        <x:v>BLOCK</x:v>
      </x:c>
      <x:c r="T943" t="str">
        <x:v>BLOCK</x:v>
      </x:c>
      <x:c r="U943" s="28" t="str">
        <x:f>"BLOCK"</x:f>
        <x:v>BLOCK</x:v>
      </x:c>
      <x:c r="V943" s="32" t="n">
        <x:f>IF(AND(ISNUMBER(S943),ISNUMBER(U943)),ABS(S943-U943),IF(S943=U943,0,1))</x:f>
        <x:v>0</x:v>
      </x:c>
      <x:c r="W943" s="30" t="str">
        <x:v>PASS</x:v>
      </x:c>
      <x:c r="X943" s="28" t="str">
        <x:f>IF(V943&lt;=1E-9,"PASS","FAIL")</x:f>
        <x:v>PASS</x:v>
      </x:c>
      <x:c r="Y943" t="str">
        <x:v>NO AUTO INTERPOLATION</x:v>
      </x:c>
      <x:c r="Z943" t="str">
        <x:v>Bảng 15 β1: tiêu chuẩn không ghi nội suy cho giá trị 8750; cần mốc đúng bảng hoặc nhập hệ số có provenance.</x:v>
      </x:c>
    </x:row>
    <x:row r="944">
      <x:c r="A944" t="str">
        <x:v>G0941</x:v>
      </x:c>
      <x:c r="B944" t="str">
        <x:v>Bảng 15</x:v>
      </x:c>
      <x:c r="C944" t="str">
        <x:v>β1:screw:compression</x:v>
      </x:c>
      <x:c r="D944" t="str">
        <x:v>MID-BLOCK</x:v>
      </x:c>
      <x:c r="E944" t="str">
        <x:v>{"q":12500}</x:v>
      </x:c>
      <x:c r="F944" t="str">
        <x:v>BLOCK</x:v>
      </x:c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 t="str">
        <x:v>BLOCK</x:v>
      </x:c>
      <x:c r="T944" t="str">
        <x:v>BLOCK</x:v>
      </x:c>
      <x:c r="U944" s="28" t="str">
        <x:f>"BLOCK"</x:f>
        <x:v>BLOCK</x:v>
      </x:c>
      <x:c r="V944" s="32" t="n">
        <x:f>IF(AND(ISNUMBER(S944),ISNUMBER(U944)),ABS(S944-U944),IF(S944=U944,0,1))</x:f>
        <x:v>0</x:v>
      </x:c>
      <x:c r="W944" s="30" t="str">
        <x:v>PASS</x:v>
      </x:c>
      <x:c r="X944" s="28" t="str">
        <x:f>IF(V944&lt;=1E-9,"PASS","FAIL")</x:f>
        <x:v>PASS</x:v>
      </x:c>
      <x:c r="Y944" t="str">
        <x:v>NO AUTO INTERPOLATION</x:v>
      </x:c>
      <x:c r="Z944" t="str">
        <x:v>Bảng 15 β1: tiêu chuẩn không ghi nội suy cho giá trị 12500; cần mốc đúng bảng hoặc nhập hệ số có provenance.</x:v>
      </x:c>
    </x:row>
    <x:row r="945">
      <x:c r="A945" t="str">
        <x:v>G0942</x:v>
      </x:c>
      <x:c r="B945" t="str">
        <x:v>Bảng 15</x:v>
      </x:c>
      <x:c r="C945" t="str">
        <x:v>β1:screw:compression</x:v>
      </x:c>
      <x:c r="D945" t="str">
        <x:v>MID-BLOCK</x:v>
      </x:c>
      <x:c r="E945" t="str">
        <x:v>{"q":17500}</x:v>
      </x:c>
      <x:c r="F945" t="str">
        <x:v>BLOCK</x:v>
      </x:c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 t="str">
        <x:v>BLOCK</x:v>
      </x:c>
      <x:c r="T945" t="str">
        <x:v>BLOCK</x:v>
      </x:c>
      <x:c r="U945" s="28" t="str">
        <x:f>"BLOCK"</x:f>
        <x:v>BLOCK</x:v>
      </x:c>
      <x:c r="V945" s="32" t="n">
        <x:f>IF(AND(ISNUMBER(S945),ISNUMBER(U945)),ABS(S945-U945),IF(S945=U945,0,1))</x:f>
        <x:v>0</x:v>
      </x:c>
      <x:c r="W945" s="30" t="str">
        <x:v>PASS</x:v>
      </x:c>
      <x:c r="X945" s="28" t="str">
        <x:f>IF(V945&lt;=1E-9,"PASS","FAIL")</x:f>
        <x:v>PASS</x:v>
      </x:c>
      <x:c r="Y945" t="str">
        <x:v>NO AUTO INTERPOLATION</x:v>
      </x:c>
      <x:c r="Z945" t="str">
        <x:v>Bảng 15 β1: tiêu chuẩn không ghi nội suy cho giá trị 17500; cần mốc đúng bảng hoặc nhập hệ số có provenance.</x:v>
      </x:c>
    </x:row>
    <x:row r="946">
      <x:c r="A946" t="str">
        <x:v>G0943</x:v>
      </x:c>
      <x:c r="B946" t="str">
        <x:v>Bảng 15</x:v>
      </x:c>
      <x:c r="C946" t="str">
        <x:v>β1:screw:compression</x:v>
      </x:c>
      <x:c r="D946" t="str">
        <x:v>MID-BLOCK</x:v>
      </x:c>
      <x:c r="E946" t="str">
        <x:v>{"q":25000}</x:v>
      </x:c>
      <x:c r="F946" t="str">
        <x:v>BLOCK</x:v>
      </x:c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 t="str">
        <x:v>BLOCK</x:v>
      </x:c>
      <x:c r="T946" t="str">
        <x:v>BLOCK</x:v>
      </x:c>
      <x:c r="U946" s="28" t="str">
        <x:f>"BLOCK"</x:f>
        <x:v>BLOCK</x:v>
      </x:c>
      <x:c r="V946" s="32" t="n">
        <x:f>IF(AND(ISNUMBER(S946),ISNUMBER(U946)),ABS(S946-U946),IF(S946=U946,0,1))</x:f>
        <x:v>0</x:v>
      </x:c>
      <x:c r="W946" s="30" t="str">
        <x:v>PASS</x:v>
      </x:c>
      <x:c r="X946" s="28" t="str">
        <x:f>IF(V946&lt;=1E-9,"PASS","FAIL")</x:f>
        <x:v>PASS</x:v>
      </x:c>
      <x:c r="Y946" t="str">
        <x:v>NO AUTO INTERPOLATION</x:v>
      </x:c>
      <x:c r="Z946" t="str">
        <x:v>Bảng 15 β1: tiêu chuẩn không ghi nội suy cho giá trị 25000; cần mốc đúng bảng hoặc nhập hệ số có provenance.</x:v>
      </x:c>
    </x:row>
    <x:row r="947">
      <x:c r="A947" t="str">
        <x:v>G0944</x:v>
      </x:c>
      <x:c r="B947" t="str">
        <x:v>Bảng 15</x:v>
      </x:c>
      <x:c r="C947" t="str">
        <x:v>β1:screw:compression</x:v>
      </x:c>
      <x:c r="D947" t="str">
        <x:v>LOW-EDGE</x:v>
      </x:c>
      <x:c r="E947" t="str">
        <x:v>{"q":500}</x:v>
      </x:c>
      <x:c r="F947" t="str">
        <x:v>EDGE-BAND</x:v>
      </x:c>
      <x:c r="G947"/>
      <x:c r="H947"/>
      <x:c r="I947"/>
      <x:c r="J947"/>
      <x:c r="K947"/>
      <x:c r="L947"/>
      <x:c r="M947" t="n">
        <x:v>0.5</x:v>
      </x:c>
      <x:c r="N947"/>
      <x:c r="O947"/>
      <x:c r="P947"/>
      <x:c r="Q947"/>
      <x:c r="R947"/>
      <x:c r="S947" t="n">
        <x:v>0.5</x:v>
      </x:c>
      <x:c r="T947" t="n">
        <x:v>0.5</x:v>
      </x:c>
      <x:c r="U947" s="28" t="n">
        <x:f>T947</x:f>
        <x:v>0.5</x:v>
      </x:c>
      <x:c r="V947" s="32" t="n">
        <x:f>IF(AND(ISNUMBER(S947),ISNUMBER(U947)),ABS(S947-U947),IF(S947=U947,0,1))</x:f>
        <x:v>0</x:v>
      </x:c>
      <x:c r="W947" s="30" t="str">
        <x:v>PASS</x:v>
      </x:c>
      <x:c r="X947" s="28" t="str">
        <x:f>IF(V947&lt;=1E-9,"PASS","FAIL")</x:f>
        <x:v>PASS</x:v>
      </x:c>
      <x:c r="Y947" t="str">
        <x:v>≤ first point</x:v>
      </x:c>
      <x:c r="Z947" t="str"/>
    </x:row>
    <x:row r="948">
      <x:c r="A948" t="str">
        <x:v>G0945</x:v>
      </x:c>
      <x:c r="B948" t="str">
        <x:v>Bảng 15</x:v>
      </x:c>
      <x:c r="C948" t="str">
        <x:v>β1:screw:compression</x:v>
      </x:c>
      <x:c r="D948" t="str">
        <x:v>HIGH-EDGE</x:v>
      </x:c>
      <x:c r="E948" t="str">
        <x:v>{"q":35000}</x:v>
      </x:c>
      <x:c r="F948" t="str">
        <x:v>BLOCK</x:v>
      </x:c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 t="str">
        <x:v>BLOCK</x:v>
      </x:c>
      <x:c r="T948" t="str">
        <x:v>BLOCK</x:v>
      </x:c>
      <x:c r="U948" s="28" t="str">
        <x:f>"BLOCK"</x:f>
        <x:v>BLOCK</x:v>
      </x:c>
      <x:c r="V948" s="32" t="n">
        <x:f>IF(AND(ISNUMBER(S948),ISNUMBER(U948)),ABS(S948-U948),IF(S948=U948,0,1))</x:f>
        <x:v>0</x:v>
      </x:c>
      <x:c r="W948" s="30" t="str">
        <x:v>PASS</x:v>
      </x:c>
      <x:c r="X948" s="28" t="str">
        <x:f>IF(V948&lt;=1E-9,"PASS","FAIL")</x:f>
        <x:v>PASS</x:v>
      </x:c>
      <x:c r="Y948" t="str">
        <x:v>≥ last only driven</x:v>
      </x:c>
      <x:c r="Z948" t="str">
        <x:v>Bảng 15 β1: tiêu chuẩn không ghi nội suy cho giá trị 35000; cần mốc đúng bảng hoặc nhập hệ số có provenance.</x:v>
      </x:c>
    </x:row>
    <x:row r="949">
      <x:c r="A949" t="str">
        <x:v>G0946</x:v>
      </x:c>
      <x:c r="B949" t="str">
        <x:v>Bảng 15</x:v>
      </x:c>
      <x:c r="C949" t="str">
        <x:v>β1:screw:tension</x:v>
      </x:c>
      <x:c r="D949" t="str">
        <x:v>EXACT</x:v>
      </x:c>
      <x:c r="E949" t="str">
        <x:v>{"q":1000}</x:v>
      </x:c>
      <x:c r="F949" t="str">
        <x:v>EXACT</x:v>
      </x:c>
      <x:c r="G949"/>
      <x:c r="H949"/>
      <x:c r="I949"/>
      <x:c r="J949"/>
      <x:c r="K949"/>
      <x:c r="L949"/>
      <x:c r="M949" t="n">
        <x:v>0.4</x:v>
      </x:c>
      <x:c r="N949"/>
      <x:c r="O949"/>
      <x:c r="P949"/>
      <x:c r="Q949"/>
      <x:c r="R949"/>
      <x:c r="S949" t="n">
        <x:v>0.4</x:v>
      </x:c>
      <x:c r="T949" t="n">
        <x:v>0.4</x:v>
      </x:c>
      <x:c r="U949" s="28" t="n">
        <x:f>T949</x:f>
        <x:v>0.4</x:v>
      </x:c>
      <x:c r="V949" s="32" t="n">
        <x:f>IF(AND(ISNUMBER(S949),ISNUMBER(U949)),ABS(S949-U949),IF(S949=U949,0,1))</x:f>
        <x:v>0</x:v>
      </x:c>
      <x:c r="W949" s="30" t="str">
        <x:v>PASS</x:v>
      </x:c>
      <x:c r="X949" s="28" t="str">
        <x:f>IF(V949&lt;=1E-9,"PASS","FAIL")</x:f>
        <x:v>PASS</x:v>
      </x:c>
      <x:c r="Y949" t="str">
        <x:v>tr.57</x:v>
      </x:c>
      <x:c r="Z949" t="str"/>
    </x:row>
    <x:row r="950">
      <x:c r="A950" t="str">
        <x:v>G0947</x:v>
      </x:c>
      <x:c r="B950" t="str">
        <x:v>Bảng 15</x:v>
      </x:c>
      <x:c r="C950" t="str">
        <x:v>β1:screw:tension</x:v>
      </x:c>
      <x:c r="D950" t="str">
        <x:v>EXACT</x:v>
      </x:c>
      <x:c r="E950" t="str">
        <x:v>{"q":2500}</x:v>
      </x:c>
      <x:c r="F950" t="str">
        <x:v>EXACT</x:v>
      </x:c>
      <x:c r="G950"/>
      <x:c r="H950"/>
      <x:c r="I950"/>
      <x:c r="J950"/>
      <x:c r="K950"/>
      <x:c r="L950"/>
      <x:c r="M950" t="n">
        <x:v>0.38</x:v>
      </x:c>
      <x:c r="N950"/>
      <x:c r="O950"/>
      <x:c r="P950"/>
      <x:c r="Q950"/>
      <x:c r="R950"/>
      <x:c r="S950" t="n">
        <x:v>0.38</x:v>
      </x:c>
      <x:c r="T950" t="n">
        <x:v>0.38</x:v>
      </x:c>
      <x:c r="U950" s="28" t="n">
        <x:f>T950</x:f>
        <x:v>0.38</x:v>
      </x:c>
      <x:c r="V950" s="32" t="n">
        <x:f>IF(AND(ISNUMBER(S950),ISNUMBER(U950)),ABS(S950-U950),IF(S950=U950,0,1))</x:f>
        <x:v>0</x:v>
      </x:c>
      <x:c r="W950" s="30" t="str">
        <x:v>PASS</x:v>
      </x:c>
      <x:c r="X950" s="28" t="str">
        <x:f>IF(V950&lt;=1E-9,"PASS","FAIL")</x:f>
        <x:v>PASS</x:v>
      </x:c>
      <x:c r="Y950" t="str">
        <x:v>tr.57</x:v>
      </x:c>
      <x:c r="Z950" t="str"/>
    </x:row>
    <x:row r="951">
      <x:c r="A951" t="str">
        <x:v>G0948</x:v>
      </x:c>
      <x:c r="B951" t="str">
        <x:v>Bảng 15</x:v>
      </x:c>
      <x:c r="C951" t="str">
        <x:v>β1:screw:tension</x:v>
      </x:c>
      <x:c r="D951" t="str">
        <x:v>EXACT</x:v>
      </x:c>
      <x:c r="E951" t="str">
        <x:v>{"q":5000}</x:v>
      </x:c>
      <x:c r="F951" t="str">
        <x:v>EXACT</x:v>
      </x:c>
      <x:c r="G951"/>
      <x:c r="H951"/>
      <x:c r="I951"/>
      <x:c r="J951"/>
      <x:c r="K951"/>
      <x:c r="L951"/>
      <x:c r="M951" t="n">
        <x:v>0.27</x:v>
      </x:c>
      <x:c r="N951"/>
      <x:c r="O951"/>
      <x:c r="P951"/>
      <x:c r="Q951"/>
      <x:c r="R951"/>
      <x:c r="S951" t="n">
        <x:v>0.27</x:v>
      </x:c>
      <x:c r="T951" t="n">
        <x:v>0.27</x:v>
      </x:c>
      <x:c r="U951" s="28" t="n">
        <x:f>T951</x:f>
        <x:v>0.27</x:v>
      </x:c>
      <x:c r="V951" s="32" t="n">
        <x:f>IF(AND(ISNUMBER(S951),ISNUMBER(U951)),ABS(S951-U951),IF(S951=U951,0,1))</x:f>
        <x:v>0</x:v>
      </x:c>
      <x:c r="W951" s="30" t="str">
        <x:v>PASS</x:v>
      </x:c>
      <x:c r="X951" s="28" t="str">
        <x:f>IF(V951&lt;=1E-9,"PASS","FAIL")</x:f>
        <x:v>PASS</x:v>
      </x:c>
      <x:c r="Y951" t="str">
        <x:v>tr.57</x:v>
      </x:c>
      <x:c r="Z951" t="str"/>
    </x:row>
    <x:row r="952">
      <x:c r="A952" t="str">
        <x:v>G0949</x:v>
      </x:c>
      <x:c r="B952" t="str">
        <x:v>Bảng 15</x:v>
      </x:c>
      <x:c r="C952" t="str">
        <x:v>β1:screw:tension</x:v>
      </x:c>
      <x:c r="D952" t="str">
        <x:v>EXACT</x:v>
      </x:c>
      <x:c r="E952" t="str">
        <x:v>{"q":7500}</x:v>
      </x:c>
      <x:c r="F952" t="str">
        <x:v>EXACT</x:v>
      </x:c>
      <x:c r="G952"/>
      <x:c r="H952"/>
      <x:c r="I952"/>
      <x:c r="J952"/>
      <x:c r="K952"/>
      <x:c r="L952"/>
      <x:c r="M952" t="n">
        <x:v>0.22</x:v>
      </x:c>
      <x:c r="N952"/>
      <x:c r="O952"/>
      <x:c r="P952"/>
      <x:c r="Q952"/>
      <x:c r="R952"/>
      <x:c r="S952" t="n">
        <x:v>0.22</x:v>
      </x:c>
      <x:c r="T952" t="n">
        <x:v>0.22</x:v>
      </x:c>
      <x:c r="U952" s="28" t="n">
        <x:f>T952</x:f>
        <x:v>0.22</x:v>
      </x:c>
      <x:c r="V952" s="32" t="n">
        <x:f>IF(AND(ISNUMBER(S952),ISNUMBER(U952)),ABS(S952-U952),IF(S952=U952,0,1))</x:f>
        <x:v>0</x:v>
      </x:c>
      <x:c r="W952" s="30" t="str">
        <x:v>PASS</x:v>
      </x:c>
      <x:c r="X952" s="28" t="str">
        <x:f>IF(V952&lt;=1E-9,"PASS","FAIL")</x:f>
        <x:v>PASS</x:v>
      </x:c>
      <x:c r="Y952" t="str">
        <x:v>tr.57</x:v>
      </x:c>
      <x:c r="Z952" t="str"/>
    </x:row>
    <x:row r="953">
      <x:c r="A953" t="str">
        <x:v>G0950</x:v>
      </x:c>
      <x:c r="B953" t="str">
        <x:v>Bảng 15</x:v>
      </x:c>
      <x:c r="C953" t="str">
        <x:v>β1:screw:tension</x:v>
      </x:c>
      <x:c r="D953" t="str">
        <x:v>EXACT</x:v>
      </x:c>
      <x:c r="E953" t="str">
        <x:v>{"q":10000}</x:v>
      </x:c>
      <x:c r="F953" t="str">
        <x:v>EXACT</x:v>
      </x:c>
      <x:c r="G953"/>
      <x:c r="H953"/>
      <x:c r="I953"/>
      <x:c r="J953"/>
      <x:c r="K953"/>
      <x:c r="L953"/>
      <x:c r="M953" t="n">
        <x:v>0.19</x:v>
      </x:c>
      <x:c r="N953"/>
      <x:c r="O953"/>
      <x:c r="P953"/>
      <x:c r="Q953"/>
      <x:c r="R953"/>
      <x:c r="S953" t="n">
        <x:v>0.19</x:v>
      </x:c>
      <x:c r="T953" t="n">
        <x:v>0.19</x:v>
      </x:c>
      <x:c r="U953" s="28" t="n">
        <x:f>T953</x:f>
        <x:v>0.19</x:v>
      </x:c>
      <x:c r="V953" s="32" t="n">
        <x:f>IF(AND(ISNUMBER(S953),ISNUMBER(U953)),ABS(S953-U953),IF(S953=U953,0,1))</x:f>
        <x:v>0</x:v>
      </x:c>
      <x:c r="W953" s="30" t="str">
        <x:v>PASS</x:v>
      </x:c>
      <x:c r="X953" s="28" t="str">
        <x:f>IF(V953&lt;=1E-9,"PASS","FAIL")</x:f>
        <x:v>PASS</x:v>
      </x:c>
      <x:c r="Y953" t="str">
        <x:v>tr.57</x:v>
      </x:c>
      <x:c r="Z953" t="str"/>
    </x:row>
    <x:row r="954">
      <x:c r="A954" t="str">
        <x:v>G0951</x:v>
      </x:c>
      <x:c r="B954" t="str">
        <x:v>Bảng 15</x:v>
      </x:c>
      <x:c r="C954" t="str">
        <x:v>β1:screw:tension</x:v>
      </x:c>
      <x:c r="D954" t="str">
        <x:v>NULL-CELL</x:v>
      </x:c>
      <x:c r="E954" t="str">
        <x:v>{"q":15000}</x:v>
      </x:c>
      <x:c r="F954" t="str">
        <x:v>BLOCK</x:v>
      </x:c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 t="str">
        <x:v>BLOCK</x:v>
      </x:c>
      <x:c r="T954" t="str">
        <x:v>BLOCK</x:v>
      </x:c>
      <x:c r="U954" s="28" t="str">
        <x:f>"BLOCK"</x:f>
        <x:v>BLOCK</x:v>
      </x:c>
      <x:c r="V954" s="32" t="n">
        <x:f>IF(AND(ISNUMBER(S954),ISNUMBER(U954)),ABS(S954-U954),IF(S954=U954,0,1))</x:f>
        <x:v>0</x:v>
      </x:c>
      <x:c r="W954" s="30" t="str">
        <x:v>PASS</x:v>
      </x:c>
      <x:c r="X954" s="28" t="str">
        <x:f>IF(V954&lt;=1E-9,"PASS","FAIL")</x:f>
        <x:v>PASS</x:v>
      </x:c>
      <x:c r="Y954" t="str">
        <x:v>tr.57</x:v>
      </x:c>
      <x:c r="Z954" t="str">
        <x:v>Bảng 15 β1: mốc 15000 không áp dụng cho nhánh này.</x:v>
      </x:c>
    </x:row>
    <x:row r="955">
      <x:c r="A955" t="str">
        <x:v>G0952</x:v>
      </x:c>
      <x:c r="B955" t="str">
        <x:v>Bảng 15</x:v>
      </x:c>
      <x:c r="C955" t="str">
        <x:v>β1:screw:tension</x:v>
      </x:c>
      <x:c r="D955" t="str">
        <x:v>NULL-CELL</x:v>
      </x:c>
      <x:c r="E955" t="str">
        <x:v>{"q":20000}</x:v>
      </x:c>
      <x:c r="F955" t="str">
        <x:v>BLOCK</x:v>
      </x:c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 t="str">
        <x:v>BLOCK</x:v>
      </x:c>
      <x:c r="T955" t="str">
        <x:v>BLOCK</x:v>
      </x:c>
      <x:c r="U955" s="28" t="str">
        <x:f>"BLOCK"</x:f>
        <x:v>BLOCK</x:v>
      </x:c>
      <x:c r="V955" s="32" t="n">
        <x:f>IF(AND(ISNUMBER(S955),ISNUMBER(U955)),ABS(S955-U955),IF(S955=U955,0,1))</x:f>
        <x:v>0</x:v>
      </x:c>
      <x:c r="W955" s="30" t="str">
        <x:v>PASS</x:v>
      </x:c>
      <x:c r="X955" s="28" t="str">
        <x:f>IF(V955&lt;=1E-9,"PASS","FAIL")</x:f>
        <x:v>PASS</x:v>
      </x:c>
      <x:c r="Y955" t="str">
        <x:v>tr.57</x:v>
      </x:c>
      <x:c r="Z955" t="str">
        <x:v>Bảng 15 β1: mốc 20000 không áp dụng cho nhánh này.</x:v>
      </x:c>
    </x:row>
    <x:row r="956">
      <x:c r="A956" t="str">
        <x:v>G0953</x:v>
      </x:c>
      <x:c r="B956" t="str">
        <x:v>Bảng 15</x:v>
      </x:c>
      <x:c r="C956" t="str">
        <x:v>β1:screw:tension</x:v>
      </x:c>
      <x:c r="D956" t="str">
        <x:v>NULL-CELL</x:v>
      </x:c>
      <x:c r="E956" t="str">
        <x:v>{"q":30000}</x:v>
      </x:c>
      <x:c r="F956" t="str">
        <x:v>BLOCK</x:v>
      </x:c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 t="str">
        <x:v>BLOCK</x:v>
      </x:c>
      <x:c r="T956" t="str">
        <x:v>BLOCK</x:v>
      </x:c>
      <x:c r="U956" s="28" t="str">
        <x:f>"BLOCK"</x:f>
        <x:v>BLOCK</x:v>
      </x:c>
      <x:c r="V956" s="32" t="n">
        <x:f>IF(AND(ISNUMBER(S956),ISNUMBER(U956)),ABS(S956-U956),IF(S956=U956,0,1))</x:f>
        <x:v>0</x:v>
      </x:c>
      <x:c r="W956" s="30" t="str">
        <x:v>PASS</x:v>
      </x:c>
      <x:c r="X956" s="28" t="str">
        <x:f>IF(V956&lt;=1E-9,"PASS","FAIL")</x:f>
        <x:v>PASS</x:v>
      </x:c>
      <x:c r="Y956" t="str">
        <x:v>tr.57</x:v>
      </x:c>
      <x:c r="Z956" t="str">
        <x:v>Bảng 15 β1: mốc 30000 không áp dụng cho nhánh này.</x:v>
      </x:c>
    </x:row>
    <x:row r="957">
      <x:c r="A957" t="str">
        <x:v>G0954</x:v>
      </x:c>
      <x:c r="B957" t="str">
        <x:v>Bảng 15</x:v>
      </x:c>
      <x:c r="C957" t="str">
        <x:v>β1:screw:tension</x:v>
      </x:c>
      <x:c r="D957" t="str">
        <x:v>MID-BLOCK</x:v>
      </x:c>
      <x:c r="E957" t="str">
        <x:v>{"q":1750}</x:v>
      </x:c>
      <x:c r="F957" t="str">
        <x:v>BLOCK</x:v>
      </x:c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 t="str">
        <x:v>BLOCK</x:v>
      </x:c>
      <x:c r="T957" t="str">
        <x:v>BLOCK</x:v>
      </x:c>
      <x:c r="U957" s="28" t="str">
        <x:f>"BLOCK"</x:f>
        <x:v>BLOCK</x:v>
      </x:c>
      <x:c r="V957" s="32" t="n">
        <x:f>IF(AND(ISNUMBER(S957),ISNUMBER(U957)),ABS(S957-U957),IF(S957=U957,0,1))</x:f>
        <x:v>0</x:v>
      </x:c>
      <x:c r="W957" s="30" t="str">
        <x:v>PASS</x:v>
      </x:c>
      <x:c r="X957" s="28" t="str">
        <x:f>IF(V957&lt;=1E-9,"PASS","FAIL")</x:f>
        <x:v>PASS</x:v>
      </x:c>
      <x:c r="Y957" t="str">
        <x:v>NO AUTO INTERPOLATION</x:v>
      </x:c>
      <x:c r="Z957" t="str">
        <x:v>Bảng 15 β1: tiêu chuẩn không ghi nội suy cho giá trị 1750; cần mốc đúng bảng hoặc nhập hệ số có provenance.</x:v>
      </x:c>
    </x:row>
    <x:row r="958">
      <x:c r="A958" t="str">
        <x:v>G0955</x:v>
      </x:c>
      <x:c r="B958" t="str">
        <x:v>Bảng 15</x:v>
      </x:c>
      <x:c r="C958" t="str">
        <x:v>β1:screw:tension</x:v>
      </x:c>
      <x:c r="D958" t="str">
        <x:v>MID-BLOCK</x:v>
      </x:c>
      <x:c r="E958" t="str">
        <x:v>{"q":3750}</x:v>
      </x:c>
      <x:c r="F958" t="str">
        <x:v>BLOCK</x:v>
      </x:c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 t="str">
        <x:v>BLOCK</x:v>
      </x:c>
      <x:c r="T958" t="str">
        <x:v>BLOCK</x:v>
      </x:c>
      <x:c r="U958" s="28" t="str">
        <x:f>"BLOCK"</x:f>
        <x:v>BLOCK</x:v>
      </x:c>
      <x:c r="V958" s="32" t="n">
        <x:f>IF(AND(ISNUMBER(S958),ISNUMBER(U958)),ABS(S958-U958),IF(S958=U958,0,1))</x:f>
        <x:v>0</x:v>
      </x:c>
      <x:c r="W958" s="30" t="str">
        <x:v>PASS</x:v>
      </x:c>
      <x:c r="X958" s="28" t="str">
        <x:f>IF(V958&lt;=1E-9,"PASS","FAIL")</x:f>
        <x:v>PASS</x:v>
      </x:c>
      <x:c r="Y958" t="str">
        <x:v>NO AUTO INTERPOLATION</x:v>
      </x:c>
      <x:c r="Z958" t="str">
        <x:v>Bảng 15 β1: tiêu chuẩn không ghi nội suy cho giá trị 3750; cần mốc đúng bảng hoặc nhập hệ số có provenance.</x:v>
      </x:c>
    </x:row>
    <x:row r="959">
      <x:c r="A959" t="str">
        <x:v>G0956</x:v>
      </x:c>
      <x:c r="B959" t="str">
        <x:v>Bảng 15</x:v>
      </x:c>
      <x:c r="C959" t="str">
        <x:v>β1:screw:tension</x:v>
      </x:c>
      <x:c r="D959" t="str">
        <x:v>MID-BLOCK</x:v>
      </x:c>
      <x:c r="E959" t="str">
        <x:v>{"q":6250}</x:v>
      </x:c>
      <x:c r="F959" t="str">
        <x:v>BLOCK</x:v>
      </x:c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 t="str">
        <x:v>BLOCK</x:v>
      </x:c>
      <x:c r="T959" t="str">
        <x:v>BLOCK</x:v>
      </x:c>
      <x:c r="U959" s="28" t="str">
        <x:f>"BLOCK"</x:f>
        <x:v>BLOCK</x:v>
      </x:c>
      <x:c r="V959" s="32" t="n">
        <x:f>IF(AND(ISNUMBER(S959),ISNUMBER(U959)),ABS(S959-U959),IF(S959=U959,0,1))</x:f>
        <x:v>0</x:v>
      </x:c>
      <x:c r="W959" s="30" t="str">
        <x:v>PASS</x:v>
      </x:c>
      <x:c r="X959" s="28" t="str">
        <x:f>IF(V959&lt;=1E-9,"PASS","FAIL")</x:f>
        <x:v>PASS</x:v>
      </x:c>
      <x:c r="Y959" t="str">
        <x:v>NO AUTO INTERPOLATION</x:v>
      </x:c>
      <x:c r="Z959" t="str">
        <x:v>Bảng 15 β1: tiêu chuẩn không ghi nội suy cho giá trị 6250; cần mốc đúng bảng hoặc nhập hệ số có provenance.</x:v>
      </x:c>
    </x:row>
    <x:row r="960">
      <x:c r="A960" t="str">
        <x:v>G0957</x:v>
      </x:c>
      <x:c r="B960" t="str">
        <x:v>Bảng 15</x:v>
      </x:c>
      <x:c r="C960" t="str">
        <x:v>β1:screw:tension</x:v>
      </x:c>
      <x:c r="D960" t="str">
        <x:v>MID-BLOCK</x:v>
      </x:c>
      <x:c r="E960" t="str">
        <x:v>{"q":8750}</x:v>
      </x:c>
      <x:c r="F960" t="str">
        <x:v>BLOCK</x:v>
      </x:c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 t="str">
        <x:v>BLOCK</x:v>
      </x:c>
      <x:c r="T960" t="str">
        <x:v>BLOCK</x:v>
      </x:c>
      <x:c r="U960" s="28" t="str">
        <x:f>"BLOCK"</x:f>
        <x:v>BLOCK</x:v>
      </x:c>
      <x:c r="V960" s="32" t="n">
        <x:f>IF(AND(ISNUMBER(S960),ISNUMBER(U960)),ABS(S960-U960),IF(S960=U960,0,1))</x:f>
        <x:v>0</x:v>
      </x:c>
      <x:c r="W960" s="30" t="str">
        <x:v>PASS</x:v>
      </x:c>
      <x:c r="X960" s="28" t="str">
        <x:f>IF(V960&lt;=1E-9,"PASS","FAIL")</x:f>
        <x:v>PASS</x:v>
      </x:c>
      <x:c r="Y960" t="str">
        <x:v>NO AUTO INTERPOLATION</x:v>
      </x:c>
      <x:c r="Z960" t="str">
        <x:v>Bảng 15 β1: tiêu chuẩn không ghi nội suy cho giá trị 8750; cần mốc đúng bảng hoặc nhập hệ số có provenance.</x:v>
      </x:c>
    </x:row>
    <x:row r="961">
      <x:c r="A961" t="str">
        <x:v>G0958</x:v>
      </x:c>
      <x:c r="B961" t="str">
        <x:v>Bảng 15</x:v>
      </x:c>
      <x:c r="C961" t="str">
        <x:v>β1:screw:tension</x:v>
      </x:c>
      <x:c r="D961" t="str">
        <x:v>MID-BLOCK</x:v>
      </x:c>
      <x:c r="E961" t="str">
        <x:v>{"q":12500}</x:v>
      </x:c>
      <x:c r="F961" t="str">
        <x:v>BLOCK</x:v>
      </x:c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 t="str">
        <x:v>BLOCK</x:v>
      </x:c>
      <x:c r="T961" t="str">
        <x:v>BLOCK</x:v>
      </x:c>
      <x:c r="U961" s="28" t="str">
        <x:f>"BLOCK"</x:f>
        <x:v>BLOCK</x:v>
      </x:c>
      <x:c r="V961" s="32" t="n">
        <x:f>IF(AND(ISNUMBER(S961),ISNUMBER(U961)),ABS(S961-U961),IF(S961=U961,0,1))</x:f>
        <x:v>0</x:v>
      </x:c>
      <x:c r="W961" s="30" t="str">
        <x:v>PASS</x:v>
      </x:c>
      <x:c r="X961" s="28" t="str">
        <x:f>IF(V961&lt;=1E-9,"PASS","FAIL")</x:f>
        <x:v>PASS</x:v>
      </x:c>
      <x:c r="Y961" t="str">
        <x:v>NO AUTO INTERPOLATION</x:v>
      </x:c>
      <x:c r="Z961" t="str">
        <x:v>Bảng 15 β1: tiêu chuẩn không ghi nội suy cho giá trị 12500; cần mốc đúng bảng hoặc nhập hệ số có provenance.</x:v>
      </x:c>
    </x:row>
    <x:row r="962">
      <x:c r="A962" t="str">
        <x:v>G0959</x:v>
      </x:c>
      <x:c r="B962" t="str">
        <x:v>Bảng 15</x:v>
      </x:c>
      <x:c r="C962" t="str">
        <x:v>β1:screw:tension</x:v>
      </x:c>
      <x:c r="D962" t="str">
        <x:v>MID-BLOCK</x:v>
      </x:c>
      <x:c r="E962" t="str">
        <x:v>{"q":17500}</x:v>
      </x:c>
      <x:c r="F962" t="str">
        <x:v>BLOCK</x:v>
      </x:c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 t="str">
        <x:v>BLOCK</x:v>
      </x:c>
      <x:c r="T962" t="str">
        <x:v>BLOCK</x:v>
      </x:c>
      <x:c r="U962" s="28" t="str">
        <x:f>"BLOCK"</x:f>
        <x:v>BLOCK</x:v>
      </x:c>
      <x:c r="V962" s="32" t="n">
        <x:f>IF(AND(ISNUMBER(S962),ISNUMBER(U962)),ABS(S962-U962),IF(S962=U962,0,1))</x:f>
        <x:v>0</x:v>
      </x:c>
      <x:c r="W962" s="30" t="str">
        <x:v>PASS</x:v>
      </x:c>
      <x:c r="X962" s="28" t="str">
        <x:f>IF(V962&lt;=1E-9,"PASS","FAIL")</x:f>
        <x:v>PASS</x:v>
      </x:c>
      <x:c r="Y962" t="str">
        <x:v>NO AUTO INTERPOLATION</x:v>
      </x:c>
      <x:c r="Z962" t="str">
        <x:v>Bảng 15 β1: tiêu chuẩn không ghi nội suy cho giá trị 17500; cần mốc đúng bảng hoặc nhập hệ số có provenance.</x:v>
      </x:c>
    </x:row>
    <x:row r="963">
      <x:c r="A963" t="str">
        <x:v>G0960</x:v>
      </x:c>
      <x:c r="B963" t="str">
        <x:v>Bảng 15</x:v>
      </x:c>
      <x:c r="C963" t="str">
        <x:v>β1:screw:tension</x:v>
      </x:c>
      <x:c r="D963" t="str">
        <x:v>MID-BLOCK</x:v>
      </x:c>
      <x:c r="E963" t="str">
        <x:v>{"q":25000}</x:v>
      </x:c>
      <x:c r="F963" t="str">
        <x:v>BLOCK</x:v>
      </x:c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 t="str">
        <x:v>BLOCK</x:v>
      </x:c>
      <x:c r="T963" t="str">
        <x:v>BLOCK</x:v>
      </x:c>
      <x:c r="U963" s="28" t="str">
        <x:f>"BLOCK"</x:f>
        <x:v>BLOCK</x:v>
      </x:c>
      <x:c r="V963" s="32" t="n">
        <x:f>IF(AND(ISNUMBER(S963),ISNUMBER(U963)),ABS(S963-U963),IF(S963=U963,0,1))</x:f>
        <x:v>0</x:v>
      </x:c>
      <x:c r="W963" s="30" t="str">
        <x:v>PASS</x:v>
      </x:c>
      <x:c r="X963" s="28" t="str">
        <x:f>IF(V963&lt;=1E-9,"PASS","FAIL")</x:f>
        <x:v>PASS</x:v>
      </x:c>
      <x:c r="Y963" t="str">
        <x:v>NO AUTO INTERPOLATION</x:v>
      </x:c>
      <x:c r="Z963" t="str">
        <x:v>Bảng 15 β1: tiêu chuẩn không ghi nội suy cho giá trị 25000; cần mốc đúng bảng hoặc nhập hệ số có provenance.</x:v>
      </x:c>
    </x:row>
    <x:row r="964">
      <x:c r="A964" t="str">
        <x:v>G0961</x:v>
      </x:c>
      <x:c r="B964" t="str">
        <x:v>Bảng 15</x:v>
      </x:c>
      <x:c r="C964" t="str">
        <x:v>β1:screw:tension</x:v>
      </x:c>
      <x:c r="D964" t="str">
        <x:v>LOW-EDGE</x:v>
      </x:c>
      <x:c r="E964" t="str">
        <x:v>{"q":500}</x:v>
      </x:c>
      <x:c r="F964" t="str">
        <x:v>EDGE-BAND</x:v>
      </x:c>
      <x:c r="G964"/>
      <x:c r="H964"/>
      <x:c r="I964"/>
      <x:c r="J964"/>
      <x:c r="K964"/>
      <x:c r="L964"/>
      <x:c r="M964" t="n">
        <x:v>0.4</x:v>
      </x:c>
      <x:c r="N964"/>
      <x:c r="O964"/>
      <x:c r="P964"/>
      <x:c r="Q964"/>
      <x:c r="R964"/>
      <x:c r="S964" t="n">
        <x:v>0.4</x:v>
      </x:c>
      <x:c r="T964" t="n">
        <x:v>0.4</x:v>
      </x:c>
      <x:c r="U964" s="28" t="n">
        <x:f>T964</x:f>
        <x:v>0.4</x:v>
      </x:c>
      <x:c r="V964" s="32" t="n">
        <x:f>IF(AND(ISNUMBER(S964),ISNUMBER(U964)),ABS(S964-U964),IF(S964=U964,0,1))</x:f>
        <x:v>0</x:v>
      </x:c>
      <x:c r="W964" s="30" t="str">
        <x:v>PASS</x:v>
      </x:c>
      <x:c r="X964" s="28" t="str">
        <x:f>IF(V964&lt;=1E-9,"PASS","FAIL")</x:f>
        <x:v>PASS</x:v>
      </x:c>
      <x:c r="Y964" t="str">
        <x:v>≤ first point</x:v>
      </x:c>
      <x:c r="Z964" t="str"/>
    </x:row>
    <x:row r="965">
      <x:c r="A965" t="str">
        <x:v>G0962</x:v>
      </x:c>
      <x:c r="B965" t="str">
        <x:v>Bảng 15</x:v>
      </x:c>
      <x:c r="C965" t="str">
        <x:v>β1:screw:tension</x:v>
      </x:c>
      <x:c r="D965" t="str">
        <x:v>HIGH-EDGE</x:v>
      </x:c>
      <x:c r="E965" t="str">
        <x:v>{"q":35000}</x:v>
      </x:c>
      <x:c r="F965" t="str">
        <x:v>BLOCK</x:v>
      </x:c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 t="str">
        <x:v>BLOCK</x:v>
      </x:c>
      <x:c r="T965" t="str">
        <x:v>BLOCK</x:v>
      </x:c>
      <x:c r="U965" s="28" t="str">
        <x:f>"BLOCK"</x:f>
        <x:v>BLOCK</x:v>
      </x:c>
      <x:c r="V965" s="32" t="n">
        <x:f>IF(AND(ISNUMBER(S965),ISNUMBER(U965)),ABS(S965-U965),IF(S965=U965,0,1))</x:f>
        <x:v>0</x:v>
      </x:c>
      <x:c r="W965" s="30" t="str">
        <x:v>PASS</x:v>
      </x:c>
      <x:c r="X965" s="28" t="str">
        <x:f>IF(V965&lt;=1E-9,"PASS","FAIL")</x:f>
        <x:v>PASS</x:v>
      </x:c>
      <x:c r="Y965" t="str">
        <x:v>≥ last only driven</x:v>
      </x:c>
      <x:c r="Z965" t="str">
        <x:v>Bảng 15 β1: tiêu chuẩn không ghi nội suy cho giá trị 35000; cần mốc đúng bảng hoặc nhập hệ số có provenance.</x:v>
      </x:c>
    </x:row>
    <x:row r="966">
      <x:c r="A966" t="str">
        <x:v>G0963</x:v>
      </x:c>
      <x:c r="B966" t="str">
        <x:v>Bảng 15</x:v>
      </x:c>
      <x:c r="C966" t="str">
        <x:v>side:mechanical:sand</x:v>
      </x:c>
      <x:c r="D966" t="str">
        <x:v>EXACT</x:v>
      </x:c>
      <x:c r="E966" t="str">
        <x:v>{"f":20}</x:v>
      </x:c>
      <x:c r="F966" t="str">
        <x:v>EXACT</x:v>
      </x:c>
      <x:c r="G966"/>
      <x:c r="H966"/>
      <x:c r="I966"/>
      <x:c r="J966"/>
      <x:c r="K966"/>
      <x:c r="L966"/>
      <x:c r="M966" t="n">
        <x:v>2.4</x:v>
      </x:c>
      <x:c r="N966"/>
      <x:c r="O966"/>
      <x:c r="P966"/>
      <x:c r="Q966"/>
      <x:c r="R966"/>
      <x:c r="S966" t="n">
        <x:v>2.4</x:v>
      </x:c>
      <x:c r="T966" t="n">
        <x:v>2.4</x:v>
      </x:c>
      <x:c r="U966" s="28" t="n">
        <x:f>T966</x:f>
        <x:v>2.4</x:v>
      </x:c>
      <x:c r="V966" s="32" t="n">
        <x:f>IF(AND(ISNUMBER(S966),ISNUMBER(U966)),ABS(S966-U966),IF(S966=U966,0,1))</x:f>
        <x:v>0</x:v>
      </x:c>
      <x:c r="W966" s="30" t="str">
        <x:v>PASS</x:v>
      </x:c>
      <x:c r="X966" s="28" t="str">
        <x:f>IF(V966&lt;=1E-9,"PASS","FAIL")</x:f>
        <x:v>PASS</x:v>
      </x:c>
      <x:c r="Y966" t="str">
        <x:v>tr.57</x:v>
      </x:c>
      <x:c r="Z966" t="str"/>
    </x:row>
    <x:row r="967">
      <x:c r="A967" t="str">
        <x:v>G0964</x:v>
      </x:c>
      <x:c r="B967" t="str">
        <x:v>Bảng 15</x:v>
      </x:c>
      <x:c r="C967" t="str">
        <x:v>side:mechanical:sand</x:v>
      </x:c>
      <x:c r="D967" t="str">
        <x:v>EXACT</x:v>
      </x:c>
      <x:c r="E967" t="str">
        <x:v>{"f":40}</x:v>
      </x:c>
      <x:c r="F967" t="str">
        <x:v>EXACT</x:v>
      </x:c>
      <x:c r="G967"/>
      <x:c r="H967"/>
      <x:c r="I967"/>
      <x:c r="J967"/>
      <x:c r="K967"/>
      <x:c r="L967"/>
      <x:c r="M967" t="n">
        <x:v>1.65</x:v>
      </x:c>
      <x:c r="N967"/>
      <x:c r="O967"/>
      <x:c r="P967"/>
      <x:c r="Q967"/>
      <x:c r="R967"/>
      <x:c r="S967" t="n">
        <x:v>1.65</x:v>
      </x:c>
      <x:c r="T967" t="n">
        <x:v>1.65</x:v>
      </x:c>
      <x:c r="U967" s="28" t="n">
        <x:f>T967</x:f>
        <x:v>1.65</x:v>
      </x:c>
      <x:c r="V967" s="32" t="n">
        <x:f>IF(AND(ISNUMBER(S967),ISNUMBER(U967)),ABS(S967-U967),IF(S967=U967,0,1))</x:f>
        <x:v>0</x:v>
      </x:c>
      <x:c r="W967" s="30" t="str">
        <x:v>PASS</x:v>
      </x:c>
      <x:c r="X967" s="28" t="str">
        <x:f>IF(V967&lt;=1E-9,"PASS","FAIL")</x:f>
        <x:v>PASS</x:v>
      </x:c>
      <x:c r="Y967" t="str">
        <x:v>tr.57</x:v>
      </x:c>
      <x:c r="Z967" t="str"/>
    </x:row>
    <x:row r="968">
      <x:c r="A968" t="str">
        <x:v>G0965</x:v>
      </x:c>
      <x:c r="B968" t="str">
        <x:v>Bảng 15</x:v>
      </x:c>
      <x:c r="C968" t="str">
        <x:v>side:mechanical:sand</x:v>
      </x:c>
      <x:c r="D968" t="str">
        <x:v>EXACT</x:v>
      </x:c>
      <x:c r="E968" t="str">
        <x:v>{"f":60}</x:v>
      </x:c>
      <x:c r="F968" t="str">
        <x:v>EXACT</x:v>
      </x:c>
      <x:c r="G968"/>
      <x:c r="H968"/>
      <x:c r="I968"/>
      <x:c r="J968"/>
      <x:c r="K968"/>
      <x:c r="L968"/>
      <x:c r="M968" t="n">
        <x:v>1.2</x:v>
      </x:c>
      <x:c r="N968"/>
      <x:c r="O968"/>
      <x:c r="P968"/>
      <x:c r="Q968"/>
      <x:c r="R968"/>
      <x:c r="S968" t="n">
        <x:v>1.2</x:v>
      </x:c>
      <x:c r="T968" t="n">
        <x:v>1.2</x:v>
      </x:c>
      <x:c r="U968" s="28" t="n">
        <x:f>T968</x:f>
        <x:v>1.2</x:v>
      </x:c>
      <x:c r="V968" s="32" t="n">
        <x:f>IF(AND(ISNUMBER(S968),ISNUMBER(U968)),ABS(S968-U968),IF(S968=U968,0,1))</x:f>
        <x:v>0</x:v>
      </x:c>
      <x:c r="W968" s="30" t="str">
        <x:v>PASS</x:v>
      </x:c>
      <x:c r="X968" s="28" t="str">
        <x:f>IF(V968&lt;=1E-9,"PASS","FAIL")</x:f>
        <x:v>PASS</x:v>
      </x:c>
      <x:c r="Y968" t="str">
        <x:v>tr.57</x:v>
      </x:c>
      <x:c r="Z968" t="str"/>
    </x:row>
    <x:row r="969">
      <x:c r="A969" t="str">
        <x:v>G0966</x:v>
      </x:c>
      <x:c r="B969" t="str">
        <x:v>Bảng 15</x:v>
      </x:c>
      <x:c r="C969" t="str">
        <x:v>side:mechanical:sand</x:v>
      </x:c>
      <x:c r="D969" t="str">
        <x:v>EXACT</x:v>
      </x:c>
      <x:c r="E969" t="str">
        <x:v>{"f":80}</x:v>
      </x:c>
      <x:c r="F969" t="str">
        <x:v>EXACT</x:v>
      </x:c>
      <x:c r="G969"/>
      <x:c r="H969"/>
      <x:c r="I969"/>
      <x:c r="J969"/>
      <x:c r="K969"/>
      <x:c r="L969"/>
      <x:c r="M969" t="n">
        <x:v>1</x:v>
      </x:c>
      <x:c r="N969"/>
      <x:c r="O969"/>
      <x:c r="P969"/>
      <x:c r="Q969"/>
      <x:c r="R969"/>
      <x:c r="S969" t="n">
        <x:v>1</x:v>
      </x:c>
      <x:c r="T969" t="n">
        <x:v>1</x:v>
      </x:c>
      <x:c r="U969" s="28" t="n">
        <x:f>T969</x:f>
        <x:v>1</x:v>
      </x:c>
      <x:c r="V969" s="32" t="n">
        <x:f>IF(AND(ISNUMBER(S969),ISNUMBER(U969)),ABS(S969-U969),IF(S969=U969,0,1))</x:f>
        <x:v>0</x:v>
      </x:c>
      <x:c r="W969" s="30" t="str">
        <x:v>PASS</x:v>
      </x:c>
      <x:c r="X969" s="28" t="str">
        <x:f>IF(V969&lt;=1E-9,"PASS","FAIL")</x:f>
        <x:v>PASS</x:v>
      </x:c>
      <x:c r="Y969" t="str">
        <x:v>tr.57</x:v>
      </x:c>
      <x:c r="Z969" t="str"/>
    </x:row>
    <x:row r="970">
      <x:c r="A970" t="str">
        <x:v>G0967</x:v>
      </x:c>
      <x:c r="B970" t="str">
        <x:v>Bảng 15</x:v>
      </x:c>
      <x:c r="C970" t="str">
        <x:v>side:mechanical:sand</x:v>
      </x:c>
      <x:c r="D970" t="str">
        <x:v>EXACT</x:v>
      </x:c>
      <x:c r="E970" t="str">
        <x:v>{"f":100}</x:v>
      </x:c>
      <x:c r="F970" t="str">
        <x:v>EXACT</x:v>
      </x:c>
      <x:c r="G970"/>
      <x:c r="H970"/>
      <x:c r="I970"/>
      <x:c r="J970"/>
      <x:c r="K970"/>
      <x:c r="L970"/>
      <x:c r="M970" t="n">
        <x:v>0.85</x:v>
      </x:c>
      <x:c r="N970"/>
      <x:c r="O970"/>
      <x:c r="P970"/>
      <x:c r="Q970"/>
      <x:c r="R970"/>
      <x:c r="S970" t="n">
        <x:v>0.85</x:v>
      </x:c>
      <x:c r="T970" t="n">
        <x:v>0.85</x:v>
      </x:c>
      <x:c r="U970" s="28" t="n">
        <x:f>T970</x:f>
        <x:v>0.85</x:v>
      </x:c>
      <x:c r="V970" s="32" t="n">
        <x:f>IF(AND(ISNUMBER(S970),ISNUMBER(U970)),ABS(S970-U970),IF(S970=U970,0,1))</x:f>
        <x:v>0</x:v>
      </x:c>
      <x:c r="W970" s="30" t="str">
        <x:v>PASS</x:v>
      </x:c>
      <x:c r="X970" s="28" t="str">
        <x:f>IF(V970&lt;=1E-9,"PASS","FAIL")</x:f>
        <x:v>PASS</x:v>
      </x:c>
      <x:c r="Y970" t="str">
        <x:v>tr.57</x:v>
      </x:c>
      <x:c r="Z970" t="str"/>
    </x:row>
    <x:row r="971">
      <x:c r="A971" t="str">
        <x:v>G0968</x:v>
      </x:c>
      <x:c r="B971" t="str">
        <x:v>Bảng 15</x:v>
      </x:c>
      <x:c r="C971" t="str">
        <x:v>side:mechanical:sand</x:v>
      </x:c>
      <x:c r="D971" t="str">
        <x:v>EXACT</x:v>
      </x:c>
      <x:c r="E971" t="str">
        <x:v>{"f":120}</x:v>
      </x:c>
      <x:c r="F971" t="str">
        <x:v>EXACT</x:v>
      </x:c>
      <x:c r="G971"/>
      <x:c r="H971"/>
      <x:c r="I971"/>
      <x:c r="J971"/>
      <x:c r="K971"/>
      <x:c r="L971"/>
      <x:c r="M971" t="n">
        <x:v>0.75</x:v>
      </x:c>
      <x:c r="N971"/>
      <x:c r="O971"/>
      <x:c r="P971"/>
      <x:c r="Q971"/>
      <x:c r="R971"/>
      <x:c r="S971" t="n">
        <x:v>0.75</x:v>
      </x:c>
      <x:c r="T971" t="n">
        <x:v>0.75</x:v>
      </x:c>
      <x:c r="U971" s="28" t="n">
        <x:f>T971</x:f>
        <x:v>0.75</x:v>
      </x:c>
      <x:c r="V971" s="32" t="n">
        <x:f>IF(AND(ISNUMBER(S971),ISNUMBER(U971)),ABS(S971-U971),IF(S971=U971,0,1))</x:f>
        <x:v>0</x:v>
      </x:c>
      <x:c r="W971" s="30" t="str">
        <x:v>PASS</x:v>
      </x:c>
      <x:c r="X971" s="28" t="str">
        <x:f>IF(V971&lt;=1E-9,"PASS","FAIL")</x:f>
        <x:v>PASS</x:v>
      </x:c>
      <x:c r="Y971" t="str">
        <x:v>tr.57</x:v>
      </x:c>
      <x:c r="Z971" t="str"/>
    </x:row>
    <x:row r="972">
      <x:c r="A972" t="str">
        <x:v>G0969</x:v>
      </x:c>
      <x:c r="B972" t="str">
        <x:v>Bảng 15</x:v>
      </x:c>
      <x:c r="C972" t="str">
        <x:v>side:mechanical:sand</x:v>
      </x:c>
      <x:c r="D972" t="str">
        <x:v>MID-BLOCK</x:v>
      </x:c>
      <x:c r="E972" t="str">
        <x:v>{"f":30}</x:v>
      </x:c>
      <x:c r="F972" t="str">
        <x:v>BLOCK</x:v>
      </x:c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 t="str">
        <x:v>BLOCK</x:v>
      </x:c>
      <x:c r="T972" t="str">
        <x:v>BLOCK</x:v>
      </x:c>
      <x:c r="U972" s="28" t="str">
        <x:f>"BLOCK"</x:f>
        <x:v>BLOCK</x:v>
      </x:c>
      <x:c r="V972" s="32" t="n">
        <x:f>IF(AND(ISNUMBER(S972),ISNUMBER(U972)),ABS(S972-U972),IF(S972=U972,0,1))</x:f>
        <x:v>0</x:v>
      </x:c>
      <x:c r="W972" s="30" t="str">
        <x:v>PASS</x:v>
      </x:c>
      <x:c r="X972" s="28" t="str">
        <x:f>IF(V972&lt;=1E-9,"PASS","FAIL")</x:f>
        <x:v>PASS</x:v>
      </x:c>
      <x:c r="Y972" t="str">
        <x:v>NO AUTO INTERPOLATION</x:v>
      </x:c>
      <x:c r="Z972" t="str">
        <x:v>Bảng 15 β2: tiêu chuẩn không ghi nội suy cho giá trị 30; cần mốc đúng bảng hoặc nhập hệ số có provenance.</x:v>
      </x:c>
    </x:row>
    <x:row r="973">
      <x:c r="A973" t="str">
        <x:v>G0970</x:v>
      </x:c>
      <x:c r="B973" t="str">
        <x:v>Bảng 15</x:v>
      </x:c>
      <x:c r="C973" t="str">
        <x:v>side:mechanical:sand</x:v>
      </x:c>
      <x:c r="D973" t="str">
        <x:v>MID-BLOCK</x:v>
      </x:c>
      <x:c r="E973" t="str">
        <x:v>{"f":50}</x:v>
      </x:c>
      <x:c r="F973" t="str">
        <x:v>BLOCK</x:v>
      </x:c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 t="str">
        <x:v>BLOCK</x:v>
      </x:c>
      <x:c r="T973" t="str">
        <x:v>BLOCK</x:v>
      </x:c>
      <x:c r="U973" s="28" t="str">
        <x:f>"BLOCK"</x:f>
        <x:v>BLOCK</x:v>
      </x:c>
      <x:c r="V973" s="32" t="n">
        <x:f>IF(AND(ISNUMBER(S973),ISNUMBER(U973)),ABS(S973-U973),IF(S973=U973,0,1))</x:f>
        <x:v>0</x:v>
      </x:c>
      <x:c r="W973" s="30" t="str">
        <x:v>PASS</x:v>
      </x:c>
      <x:c r="X973" s="28" t="str">
        <x:f>IF(V973&lt;=1E-9,"PASS","FAIL")</x:f>
        <x:v>PASS</x:v>
      </x:c>
      <x:c r="Y973" t="str">
        <x:v>NO AUTO INTERPOLATION</x:v>
      </x:c>
      <x:c r="Z973" t="str">
        <x:v>Bảng 15 β2: tiêu chuẩn không ghi nội suy cho giá trị 50; cần mốc đúng bảng hoặc nhập hệ số có provenance.</x:v>
      </x:c>
    </x:row>
    <x:row r="974">
      <x:c r="A974" t="str">
        <x:v>G0971</x:v>
      </x:c>
      <x:c r="B974" t="str">
        <x:v>Bảng 15</x:v>
      </x:c>
      <x:c r="C974" t="str">
        <x:v>side:mechanical:sand</x:v>
      </x:c>
      <x:c r="D974" t="str">
        <x:v>MID-BLOCK</x:v>
      </x:c>
      <x:c r="E974" t="str">
        <x:v>{"f":70}</x:v>
      </x:c>
      <x:c r="F974" t="str">
        <x:v>BLOCK</x:v>
      </x:c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 t="str">
        <x:v>BLOCK</x:v>
      </x:c>
      <x:c r="T974" t="str">
        <x:v>BLOCK</x:v>
      </x:c>
      <x:c r="U974" s="28" t="str">
        <x:f>"BLOCK"</x:f>
        <x:v>BLOCK</x:v>
      </x:c>
      <x:c r="V974" s="32" t="n">
        <x:f>IF(AND(ISNUMBER(S974),ISNUMBER(U974)),ABS(S974-U974),IF(S974=U974,0,1))</x:f>
        <x:v>0</x:v>
      </x:c>
      <x:c r="W974" s="30" t="str">
        <x:v>PASS</x:v>
      </x:c>
      <x:c r="X974" s="28" t="str">
        <x:f>IF(V974&lt;=1E-9,"PASS","FAIL")</x:f>
        <x:v>PASS</x:v>
      </x:c>
      <x:c r="Y974" t="str">
        <x:v>NO AUTO INTERPOLATION</x:v>
      </x:c>
      <x:c r="Z974" t="str">
        <x:v>Bảng 15 β2: tiêu chuẩn không ghi nội suy cho giá trị 70; cần mốc đúng bảng hoặc nhập hệ số có provenance.</x:v>
      </x:c>
    </x:row>
    <x:row r="975">
      <x:c r="A975" t="str">
        <x:v>G0972</x:v>
      </x:c>
      <x:c r="B975" t="str">
        <x:v>Bảng 15</x:v>
      </x:c>
      <x:c r="C975" t="str">
        <x:v>side:mechanical:sand</x:v>
      </x:c>
      <x:c r="D975" t="str">
        <x:v>MID-BLOCK</x:v>
      </x:c>
      <x:c r="E975" t="str">
        <x:v>{"f":90}</x:v>
      </x:c>
      <x:c r="F975" t="str">
        <x:v>BLOCK</x:v>
      </x:c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 t="str">
        <x:v>BLOCK</x:v>
      </x:c>
      <x:c r="T975" t="str">
        <x:v>BLOCK</x:v>
      </x:c>
      <x:c r="U975" s="28" t="str">
        <x:f>"BLOCK"</x:f>
        <x:v>BLOCK</x:v>
      </x:c>
      <x:c r="V975" s="32" t="n">
        <x:f>IF(AND(ISNUMBER(S975),ISNUMBER(U975)),ABS(S975-U975),IF(S975=U975,0,1))</x:f>
        <x:v>0</x:v>
      </x:c>
      <x:c r="W975" s="30" t="str">
        <x:v>PASS</x:v>
      </x:c>
      <x:c r="X975" s="28" t="str">
        <x:f>IF(V975&lt;=1E-9,"PASS","FAIL")</x:f>
        <x:v>PASS</x:v>
      </x:c>
      <x:c r="Y975" t="str">
        <x:v>NO AUTO INTERPOLATION</x:v>
      </x:c>
      <x:c r="Z975" t="str">
        <x:v>Bảng 15 β2: tiêu chuẩn không ghi nội suy cho giá trị 90; cần mốc đúng bảng hoặc nhập hệ số có provenance.</x:v>
      </x:c>
    </x:row>
    <x:row r="976">
      <x:c r="A976" t="str">
        <x:v>G0973</x:v>
      </x:c>
      <x:c r="B976" t="str">
        <x:v>Bảng 15</x:v>
      </x:c>
      <x:c r="C976" t="str">
        <x:v>side:mechanical:sand</x:v>
      </x:c>
      <x:c r="D976" t="str">
        <x:v>MID-BLOCK</x:v>
      </x:c>
      <x:c r="E976" t="str">
        <x:v>{"f":110}</x:v>
      </x:c>
      <x:c r="F976" t="str">
        <x:v>BLOCK</x:v>
      </x:c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 t="str">
        <x:v>BLOCK</x:v>
      </x:c>
      <x:c r="T976" t="str">
        <x:v>BLOCK</x:v>
      </x:c>
      <x:c r="U976" s="28" t="str">
        <x:f>"BLOCK"</x:f>
        <x:v>BLOCK</x:v>
      </x:c>
      <x:c r="V976" s="32" t="n">
        <x:f>IF(AND(ISNUMBER(S976),ISNUMBER(U976)),ABS(S976-U976),IF(S976=U976,0,1))</x:f>
        <x:v>0</x:v>
      </x:c>
      <x:c r="W976" s="30" t="str">
        <x:v>PASS</x:v>
      </x:c>
      <x:c r="X976" s="28" t="str">
        <x:f>IF(V976&lt;=1E-9,"PASS","FAIL")</x:f>
        <x:v>PASS</x:v>
      </x:c>
      <x:c r="Y976" t="str">
        <x:v>NO AUTO INTERPOLATION</x:v>
      </x:c>
      <x:c r="Z976" t="str">
        <x:v>Bảng 15 β2: tiêu chuẩn không ghi nội suy cho giá trị 110; cần mốc đúng bảng hoặc nhập hệ số có provenance.</x:v>
      </x:c>
    </x:row>
    <x:row r="977">
      <x:c r="A977" t="str">
        <x:v>G0974</x:v>
      </x:c>
      <x:c r="B977" t="str">
        <x:v>Bảng 15</x:v>
      </x:c>
      <x:c r="C977" t="str">
        <x:v>side:mechanical:sand</x:v>
      </x:c>
      <x:c r="D977" t="str">
        <x:v>LOW-EDGE</x:v>
      </x:c>
      <x:c r="E977" t="str">
        <x:v>{"f":10}</x:v>
      </x:c>
      <x:c r="F977" t="str">
        <x:v>EDGE-BAND</x:v>
      </x:c>
      <x:c r="G977"/>
      <x:c r="H977"/>
      <x:c r="I977"/>
      <x:c r="J977"/>
      <x:c r="K977"/>
      <x:c r="L977"/>
      <x:c r="M977" t="n">
        <x:v>2.4</x:v>
      </x:c>
      <x:c r="N977"/>
      <x:c r="O977"/>
      <x:c r="P977"/>
      <x:c r="Q977"/>
      <x:c r="R977"/>
      <x:c r="S977" t="n">
        <x:v>2.4</x:v>
      </x:c>
      <x:c r="T977" t="n">
        <x:v>2.4</x:v>
      </x:c>
      <x:c r="U977" s="28" t="n">
        <x:f>T977</x:f>
        <x:v>2.4</x:v>
      </x:c>
      <x:c r="V977" s="32" t="n">
        <x:f>IF(AND(ISNUMBER(S977),ISNUMBER(U977)),ABS(S977-U977),IF(S977=U977,0,1))</x:f>
        <x:v>0</x:v>
      </x:c>
      <x:c r="W977" s="30" t="str">
        <x:v>PASS</x:v>
      </x:c>
      <x:c r="X977" s="28" t="str">
        <x:f>IF(V977&lt;=1E-9,"PASS","FAIL")</x:f>
        <x:v>PASS</x:v>
      </x:c>
      <x:c r="Y977" t="str">
        <x:v>≤ first</x:v>
      </x:c>
      <x:c r="Z977" t="str"/>
    </x:row>
    <x:row r="978">
      <x:c r="A978" t="str">
        <x:v>G0975</x:v>
      </x:c>
      <x:c r="B978" t="str">
        <x:v>Bảng 15</x:v>
      </x:c>
      <x:c r="C978" t="str">
        <x:v>side:mechanical:sand</x:v>
      </x:c>
      <x:c r="D978" t="str">
        <x:v>HIGH-EDGE</x:v>
      </x:c>
      <x:c r="E978" t="str">
        <x:v>{"f":150}</x:v>
      </x:c>
      <x:c r="F978" t="str">
        <x:v>EDGE-BAND</x:v>
      </x:c>
      <x:c r="G978"/>
      <x:c r="H978"/>
      <x:c r="I978"/>
      <x:c r="J978"/>
      <x:c r="K978"/>
      <x:c r="L978"/>
      <x:c r="M978" t="n">
        <x:v>0.75</x:v>
      </x:c>
      <x:c r="N978"/>
      <x:c r="O978"/>
      <x:c r="P978"/>
      <x:c r="Q978"/>
      <x:c r="R978"/>
      <x:c r="S978" t="n">
        <x:v>0.75</x:v>
      </x:c>
      <x:c r="T978" t="n">
        <x:v>0.75</x:v>
      </x:c>
      <x:c r="U978" s="28" t="n">
        <x:f>T978</x:f>
        <x:v>0.75</x:v>
      </x:c>
      <x:c r="V978" s="32" t="n">
        <x:f>IF(AND(ISNUMBER(S978),ISNUMBER(U978)),ABS(S978-U978),IF(S978=U978,0,1))</x:f>
        <x:v>0</x:v>
      </x:c>
      <x:c r="W978" s="30" t="str">
        <x:v>PASS</x:v>
      </x:c>
      <x:c r="X978" s="28" t="str">
        <x:f>IF(V978&lt;=1E-9,"PASS","FAIL")</x:f>
        <x:v>PASS</x:v>
      </x:c>
      <x:c r="Y978" t="str">
        <x:v>≥ last</x:v>
      </x:c>
      <x:c r="Z978" t="str"/>
    </x:row>
    <x:row r="979">
      <x:c r="A979" t="str">
        <x:v>G0976</x:v>
      </x:c>
      <x:c r="B979" t="str">
        <x:v>Bảng 15</x:v>
      </x:c>
      <x:c r="C979" t="str">
        <x:v>side:mechanical:clay</x:v>
      </x:c>
      <x:c r="D979" t="str">
        <x:v>EXACT</x:v>
      </x:c>
      <x:c r="E979" t="str">
        <x:v>{"f":20}</x:v>
      </x:c>
      <x:c r="F979" t="str">
        <x:v>EXACT</x:v>
      </x:c>
      <x:c r="G979"/>
      <x:c r="H979"/>
      <x:c r="I979"/>
      <x:c r="J979"/>
      <x:c r="K979"/>
      <x:c r="L979"/>
      <x:c r="M979" t="n">
        <x:v>1.5</x:v>
      </x:c>
      <x:c r="N979"/>
      <x:c r="O979"/>
      <x:c r="P979"/>
      <x:c r="Q979"/>
      <x:c r="R979"/>
      <x:c r="S979" t="n">
        <x:v>1.5</x:v>
      </x:c>
      <x:c r="T979" t="n">
        <x:v>1.5</x:v>
      </x:c>
      <x:c r="U979" s="28" t="n">
        <x:f>T979</x:f>
        <x:v>1.5</x:v>
      </x:c>
      <x:c r="V979" s="32" t="n">
        <x:f>IF(AND(ISNUMBER(S979),ISNUMBER(U979)),ABS(S979-U979),IF(S979=U979,0,1))</x:f>
        <x:v>0</x:v>
      </x:c>
      <x:c r="W979" s="30" t="str">
        <x:v>PASS</x:v>
      </x:c>
      <x:c r="X979" s="28" t="str">
        <x:f>IF(V979&lt;=1E-9,"PASS","FAIL")</x:f>
        <x:v>PASS</x:v>
      </x:c>
      <x:c r="Y979" t="str">
        <x:v>tr.57</x:v>
      </x:c>
      <x:c r="Z979" t="str"/>
    </x:row>
    <x:row r="980">
      <x:c r="A980" t="str">
        <x:v>G0977</x:v>
      </x:c>
      <x:c r="B980" t="str">
        <x:v>Bảng 15</x:v>
      </x:c>
      <x:c r="C980" t="str">
        <x:v>side:mechanical:clay</x:v>
      </x:c>
      <x:c r="D980" t="str">
        <x:v>EXACT</x:v>
      </x:c>
      <x:c r="E980" t="str">
        <x:v>{"f":40}</x:v>
      </x:c>
      <x:c r="F980" t="str">
        <x:v>EXACT</x:v>
      </x:c>
      <x:c r="G980"/>
      <x:c r="H980"/>
      <x:c r="I980"/>
      <x:c r="J980"/>
      <x:c r="K980"/>
      <x:c r="L980"/>
      <x:c r="M980" t="n">
        <x:v>1</x:v>
      </x:c>
      <x:c r="N980"/>
      <x:c r="O980"/>
      <x:c r="P980"/>
      <x:c r="Q980"/>
      <x:c r="R980"/>
      <x:c r="S980" t="n">
        <x:v>1</x:v>
      </x:c>
      <x:c r="T980" t="n">
        <x:v>1</x:v>
      </x:c>
      <x:c r="U980" s="28" t="n">
        <x:f>T980</x:f>
        <x:v>1</x:v>
      </x:c>
      <x:c r="V980" s="32" t="n">
        <x:f>IF(AND(ISNUMBER(S980),ISNUMBER(U980)),ABS(S980-U980),IF(S980=U980,0,1))</x:f>
        <x:v>0</x:v>
      </x:c>
      <x:c r="W980" s="30" t="str">
        <x:v>PASS</x:v>
      </x:c>
      <x:c r="X980" s="28" t="str">
        <x:f>IF(V980&lt;=1E-9,"PASS","FAIL")</x:f>
        <x:v>PASS</x:v>
      </x:c>
      <x:c r="Y980" t="str">
        <x:v>tr.57</x:v>
      </x:c>
      <x:c r="Z980" t="str"/>
    </x:row>
    <x:row r="981">
      <x:c r="A981" t="str">
        <x:v>G0978</x:v>
      </x:c>
      <x:c r="B981" t="str">
        <x:v>Bảng 15</x:v>
      </x:c>
      <x:c r="C981" t="str">
        <x:v>side:mechanical:clay</x:v>
      </x:c>
      <x:c r="D981" t="str">
        <x:v>EXACT</x:v>
      </x:c>
      <x:c r="E981" t="str">
        <x:v>{"f":60}</x:v>
      </x:c>
      <x:c r="F981" t="str">
        <x:v>EXACT</x:v>
      </x:c>
      <x:c r="G981"/>
      <x:c r="H981"/>
      <x:c r="I981"/>
      <x:c r="J981"/>
      <x:c r="K981"/>
      <x:c r="L981"/>
      <x:c r="M981" t="n">
        <x:v>0.75</x:v>
      </x:c>
      <x:c r="N981"/>
      <x:c r="O981"/>
      <x:c r="P981"/>
      <x:c r="Q981"/>
      <x:c r="R981"/>
      <x:c r="S981" t="n">
        <x:v>0.75</x:v>
      </x:c>
      <x:c r="T981" t="n">
        <x:v>0.75</x:v>
      </x:c>
      <x:c r="U981" s="28" t="n">
        <x:f>T981</x:f>
        <x:v>0.75</x:v>
      </x:c>
      <x:c r="V981" s="32" t="n">
        <x:f>IF(AND(ISNUMBER(S981),ISNUMBER(U981)),ABS(S981-U981),IF(S981=U981,0,1))</x:f>
        <x:v>0</x:v>
      </x:c>
      <x:c r="W981" s="30" t="str">
        <x:v>PASS</x:v>
      </x:c>
      <x:c r="X981" s="28" t="str">
        <x:f>IF(V981&lt;=1E-9,"PASS","FAIL")</x:f>
        <x:v>PASS</x:v>
      </x:c>
      <x:c r="Y981" t="str">
        <x:v>tr.57</x:v>
      </x:c>
      <x:c r="Z981" t="str"/>
    </x:row>
    <x:row r="982">
      <x:c r="A982" t="str">
        <x:v>G0979</x:v>
      </x:c>
      <x:c r="B982" t="str">
        <x:v>Bảng 15</x:v>
      </x:c>
      <x:c r="C982" t="str">
        <x:v>side:mechanical:clay</x:v>
      </x:c>
      <x:c r="D982" t="str">
        <x:v>EXACT</x:v>
      </x:c>
      <x:c r="E982" t="str">
        <x:v>{"f":80}</x:v>
      </x:c>
      <x:c r="F982" t="str">
        <x:v>EXACT</x:v>
      </x:c>
      <x:c r="G982"/>
      <x:c r="H982"/>
      <x:c r="I982"/>
      <x:c r="J982"/>
      <x:c r="K982"/>
      <x:c r="L982"/>
      <x:c r="M982" t="n">
        <x:v>0.6</x:v>
      </x:c>
      <x:c r="N982"/>
      <x:c r="O982"/>
      <x:c r="P982"/>
      <x:c r="Q982"/>
      <x:c r="R982"/>
      <x:c r="S982" t="n">
        <x:v>0.6</x:v>
      </x:c>
      <x:c r="T982" t="n">
        <x:v>0.6</x:v>
      </x:c>
      <x:c r="U982" s="28" t="n">
        <x:f>T982</x:f>
        <x:v>0.6</x:v>
      </x:c>
      <x:c r="V982" s="32" t="n">
        <x:f>IF(AND(ISNUMBER(S982),ISNUMBER(U982)),ABS(S982-U982),IF(S982=U982,0,1))</x:f>
        <x:v>0</x:v>
      </x:c>
      <x:c r="W982" s="30" t="str">
        <x:v>PASS</x:v>
      </x:c>
      <x:c r="X982" s="28" t="str">
        <x:f>IF(V982&lt;=1E-9,"PASS","FAIL")</x:f>
        <x:v>PASS</x:v>
      </x:c>
      <x:c r="Y982" t="str">
        <x:v>tr.57</x:v>
      </x:c>
      <x:c r="Z982" t="str"/>
    </x:row>
    <x:row r="983">
      <x:c r="A983" t="str">
        <x:v>G0980</x:v>
      </x:c>
      <x:c r="B983" t="str">
        <x:v>Bảng 15</x:v>
      </x:c>
      <x:c r="C983" t="str">
        <x:v>side:mechanical:clay</x:v>
      </x:c>
      <x:c r="D983" t="str">
        <x:v>EXACT</x:v>
      </x:c>
      <x:c r="E983" t="str">
        <x:v>{"f":100}</x:v>
      </x:c>
      <x:c r="F983" t="str">
        <x:v>EXACT</x:v>
      </x:c>
      <x:c r="G983"/>
      <x:c r="H983"/>
      <x:c r="I983"/>
      <x:c r="J983"/>
      <x:c r="K983"/>
      <x:c r="L983"/>
      <x:c r="M983" t="n">
        <x:v>0.5</x:v>
      </x:c>
      <x:c r="N983"/>
      <x:c r="O983"/>
      <x:c r="P983"/>
      <x:c r="Q983"/>
      <x:c r="R983"/>
      <x:c r="S983" t="n">
        <x:v>0.5</x:v>
      </x:c>
      <x:c r="T983" t="n">
        <x:v>0.5</x:v>
      </x:c>
      <x:c r="U983" s="28" t="n">
        <x:f>T983</x:f>
        <x:v>0.5</x:v>
      </x:c>
      <x:c r="V983" s="32" t="n">
        <x:f>IF(AND(ISNUMBER(S983),ISNUMBER(U983)),ABS(S983-U983),IF(S983=U983,0,1))</x:f>
        <x:v>0</x:v>
      </x:c>
      <x:c r="W983" s="30" t="str">
        <x:v>PASS</x:v>
      </x:c>
      <x:c r="X983" s="28" t="str">
        <x:f>IF(V983&lt;=1E-9,"PASS","FAIL")</x:f>
        <x:v>PASS</x:v>
      </x:c>
      <x:c r="Y983" t="str">
        <x:v>tr.57</x:v>
      </x:c>
      <x:c r="Z983" t="str"/>
    </x:row>
    <x:row r="984">
      <x:c r="A984" t="str">
        <x:v>G0981</x:v>
      </x:c>
      <x:c r="B984" t="str">
        <x:v>Bảng 15</x:v>
      </x:c>
      <x:c r="C984" t="str">
        <x:v>side:mechanical:clay</x:v>
      </x:c>
      <x:c r="D984" t="str">
        <x:v>EXACT</x:v>
      </x:c>
      <x:c r="E984" t="str">
        <x:v>{"f":120}</x:v>
      </x:c>
      <x:c r="F984" t="str">
        <x:v>EXACT</x:v>
      </x:c>
      <x:c r="G984"/>
      <x:c r="H984"/>
      <x:c r="I984"/>
      <x:c r="J984"/>
      <x:c r="K984"/>
      <x:c r="L984"/>
      <x:c r="M984" t="n">
        <x:v>0.4</x:v>
      </x:c>
      <x:c r="N984"/>
      <x:c r="O984"/>
      <x:c r="P984"/>
      <x:c r="Q984"/>
      <x:c r="R984"/>
      <x:c r="S984" t="n">
        <x:v>0.4</x:v>
      </x:c>
      <x:c r="T984" t="n">
        <x:v>0.4</x:v>
      </x:c>
      <x:c r="U984" s="28" t="n">
        <x:f>T984</x:f>
        <x:v>0.4</x:v>
      </x:c>
      <x:c r="V984" s="32" t="n">
        <x:f>IF(AND(ISNUMBER(S984),ISNUMBER(U984)),ABS(S984-U984),IF(S984=U984,0,1))</x:f>
        <x:v>0</x:v>
      </x:c>
      <x:c r="W984" s="30" t="str">
        <x:v>PASS</x:v>
      </x:c>
      <x:c r="X984" s="28" t="str">
        <x:f>IF(V984&lt;=1E-9,"PASS","FAIL")</x:f>
        <x:v>PASS</x:v>
      </x:c>
      <x:c r="Y984" t="str">
        <x:v>tr.57</x:v>
      </x:c>
      <x:c r="Z984" t="str"/>
    </x:row>
    <x:row r="985">
      <x:c r="A985" t="str">
        <x:v>G0982</x:v>
      </x:c>
      <x:c r="B985" t="str">
        <x:v>Bảng 15</x:v>
      </x:c>
      <x:c r="C985" t="str">
        <x:v>side:mechanical:clay</x:v>
      </x:c>
      <x:c r="D985" t="str">
        <x:v>MID-BLOCK</x:v>
      </x:c>
      <x:c r="E985" t="str">
        <x:v>{"f":30}</x:v>
      </x:c>
      <x:c r="F985" t="str">
        <x:v>BLOCK</x:v>
      </x:c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 t="str">
        <x:v>BLOCK</x:v>
      </x:c>
      <x:c r="T985" t="str">
        <x:v>BLOCK</x:v>
      </x:c>
      <x:c r="U985" s="28" t="str">
        <x:f>"BLOCK"</x:f>
        <x:v>BLOCK</x:v>
      </x:c>
      <x:c r="V985" s="32" t="n">
        <x:f>IF(AND(ISNUMBER(S985),ISNUMBER(U985)),ABS(S985-U985),IF(S985=U985,0,1))</x:f>
        <x:v>0</x:v>
      </x:c>
      <x:c r="W985" s="30" t="str">
        <x:v>PASS</x:v>
      </x:c>
      <x:c r="X985" s="28" t="str">
        <x:f>IF(V985&lt;=1E-9,"PASS","FAIL")</x:f>
        <x:v>PASS</x:v>
      </x:c>
      <x:c r="Y985" t="str">
        <x:v>NO AUTO INTERPOLATION</x:v>
      </x:c>
      <x:c r="Z985" t="str">
        <x:v>Bảng 15 β2: tiêu chuẩn không ghi nội suy cho giá trị 30; cần mốc đúng bảng hoặc nhập hệ số có provenance.</x:v>
      </x:c>
    </x:row>
    <x:row r="986">
      <x:c r="A986" t="str">
        <x:v>G0983</x:v>
      </x:c>
      <x:c r="B986" t="str">
        <x:v>Bảng 15</x:v>
      </x:c>
      <x:c r="C986" t="str">
        <x:v>side:mechanical:clay</x:v>
      </x:c>
      <x:c r="D986" t="str">
        <x:v>MID-BLOCK</x:v>
      </x:c>
      <x:c r="E986" t="str">
        <x:v>{"f":50}</x:v>
      </x:c>
      <x:c r="F986" t="str">
        <x:v>BLOCK</x:v>
      </x:c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 t="str">
        <x:v>BLOCK</x:v>
      </x:c>
      <x:c r="T986" t="str">
        <x:v>BLOCK</x:v>
      </x:c>
      <x:c r="U986" s="28" t="str">
        <x:f>"BLOCK"</x:f>
        <x:v>BLOCK</x:v>
      </x:c>
      <x:c r="V986" s="32" t="n">
        <x:f>IF(AND(ISNUMBER(S986),ISNUMBER(U986)),ABS(S986-U986),IF(S986=U986,0,1))</x:f>
        <x:v>0</x:v>
      </x:c>
      <x:c r="W986" s="30" t="str">
        <x:v>PASS</x:v>
      </x:c>
      <x:c r="X986" s="28" t="str">
        <x:f>IF(V986&lt;=1E-9,"PASS","FAIL")</x:f>
        <x:v>PASS</x:v>
      </x:c>
      <x:c r="Y986" t="str">
        <x:v>NO AUTO INTERPOLATION</x:v>
      </x:c>
      <x:c r="Z986" t="str">
        <x:v>Bảng 15 β2: tiêu chuẩn không ghi nội suy cho giá trị 50; cần mốc đúng bảng hoặc nhập hệ số có provenance.</x:v>
      </x:c>
    </x:row>
    <x:row r="987">
      <x:c r="A987" t="str">
        <x:v>G0984</x:v>
      </x:c>
      <x:c r="B987" t="str">
        <x:v>Bảng 15</x:v>
      </x:c>
      <x:c r="C987" t="str">
        <x:v>side:mechanical:clay</x:v>
      </x:c>
      <x:c r="D987" t="str">
        <x:v>MID-BLOCK</x:v>
      </x:c>
      <x:c r="E987" t="str">
        <x:v>{"f":70}</x:v>
      </x:c>
      <x:c r="F987" t="str">
        <x:v>BLOCK</x:v>
      </x:c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 t="str">
        <x:v>BLOCK</x:v>
      </x:c>
      <x:c r="T987" t="str">
        <x:v>BLOCK</x:v>
      </x:c>
      <x:c r="U987" s="28" t="str">
        <x:f>"BLOCK"</x:f>
        <x:v>BLOCK</x:v>
      </x:c>
      <x:c r="V987" s="32" t="n">
        <x:f>IF(AND(ISNUMBER(S987),ISNUMBER(U987)),ABS(S987-U987),IF(S987=U987,0,1))</x:f>
        <x:v>0</x:v>
      </x:c>
      <x:c r="W987" s="30" t="str">
        <x:v>PASS</x:v>
      </x:c>
      <x:c r="X987" s="28" t="str">
        <x:f>IF(V987&lt;=1E-9,"PASS","FAIL")</x:f>
        <x:v>PASS</x:v>
      </x:c>
      <x:c r="Y987" t="str">
        <x:v>NO AUTO INTERPOLATION</x:v>
      </x:c>
      <x:c r="Z987" t="str">
        <x:v>Bảng 15 β2: tiêu chuẩn không ghi nội suy cho giá trị 70; cần mốc đúng bảng hoặc nhập hệ số có provenance.</x:v>
      </x:c>
    </x:row>
    <x:row r="988">
      <x:c r="A988" t="str">
        <x:v>G0985</x:v>
      </x:c>
      <x:c r="B988" t="str">
        <x:v>Bảng 15</x:v>
      </x:c>
      <x:c r="C988" t="str">
        <x:v>side:mechanical:clay</x:v>
      </x:c>
      <x:c r="D988" t="str">
        <x:v>MID-BLOCK</x:v>
      </x:c>
      <x:c r="E988" t="str">
        <x:v>{"f":90}</x:v>
      </x:c>
      <x:c r="F988" t="str">
        <x:v>BLOCK</x:v>
      </x:c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 t="str">
        <x:v>BLOCK</x:v>
      </x:c>
      <x:c r="T988" t="str">
        <x:v>BLOCK</x:v>
      </x:c>
      <x:c r="U988" s="28" t="str">
        <x:f>"BLOCK"</x:f>
        <x:v>BLOCK</x:v>
      </x:c>
      <x:c r="V988" s="32" t="n">
        <x:f>IF(AND(ISNUMBER(S988),ISNUMBER(U988)),ABS(S988-U988),IF(S988=U988,0,1))</x:f>
        <x:v>0</x:v>
      </x:c>
      <x:c r="W988" s="30" t="str">
        <x:v>PASS</x:v>
      </x:c>
      <x:c r="X988" s="28" t="str">
        <x:f>IF(V988&lt;=1E-9,"PASS","FAIL")</x:f>
        <x:v>PASS</x:v>
      </x:c>
      <x:c r="Y988" t="str">
        <x:v>NO AUTO INTERPOLATION</x:v>
      </x:c>
      <x:c r="Z988" t="str">
        <x:v>Bảng 15 β2: tiêu chuẩn không ghi nội suy cho giá trị 90; cần mốc đúng bảng hoặc nhập hệ số có provenance.</x:v>
      </x:c>
    </x:row>
    <x:row r="989">
      <x:c r="A989" t="str">
        <x:v>G0986</x:v>
      </x:c>
      <x:c r="B989" t="str">
        <x:v>Bảng 15</x:v>
      </x:c>
      <x:c r="C989" t="str">
        <x:v>side:mechanical:clay</x:v>
      </x:c>
      <x:c r="D989" t="str">
        <x:v>MID-BLOCK</x:v>
      </x:c>
      <x:c r="E989" t="str">
        <x:v>{"f":110}</x:v>
      </x:c>
      <x:c r="F989" t="str">
        <x:v>BLOCK</x:v>
      </x:c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 t="str">
        <x:v>BLOCK</x:v>
      </x:c>
      <x:c r="T989" t="str">
        <x:v>BLOCK</x:v>
      </x:c>
      <x:c r="U989" s="28" t="str">
        <x:f>"BLOCK"</x:f>
        <x:v>BLOCK</x:v>
      </x:c>
      <x:c r="V989" s="32" t="n">
        <x:f>IF(AND(ISNUMBER(S989),ISNUMBER(U989)),ABS(S989-U989),IF(S989=U989,0,1))</x:f>
        <x:v>0</x:v>
      </x:c>
      <x:c r="W989" s="30" t="str">
        <x:v>PASS</x:v>
      </x:c>
      <x:c r="X989" s="28" t="str">
        <x:f>IF(V989&lt;=1E-9,"PASS","FAIL")</x:f>
        <x:v>PASS</x:v>
      </x:c>
      <x:c r="Y989" t="str">
        <x:v>NO AUTO INTERPOLATION</x:v>
      </x:c>
      <x:c r="Z989" t="str">
        <x:v>Bảng 15 β2: tiêu chuẩn không ghi nội suy cho giá trị 110; cần mốc đúng bảng hoặc nhập hệ số có provenance.</x:v>
      </x:c>
    </x:row>
    <x:row r="990">
      <x:c r="A990" t="str">
        <x:v>G0987</x:v>
      </x:c>
      <x:c r="B990" t="str">
        <x:v>Bảng 15</x:v>
      </x:c>
      <x:c r="C990" t="str">
        <x:v>side:mechanical:clay</x:v>
      </x:c>
      <x:c r="D990" t="str">
        <x:v>LOW-EDGE</x:v>
      </x:c>
      <x:c r="E990" t="str">
        <x:v>{"f":10}</x:v>
      </x:c>
      <x:c r="F990" t="str">
        <x:v>EDGE-BAND</x:v>
      </x:c>
      <x:c r="G990"/>
      <x:c r="H990"/>
      <x:c r="I990"/>
      <x:c r="J990"/>
      <x:c r="K990"/>
      <x:c r="L990"/>
      <x:c r="M990" t="n">
        <x:v>1.5</x:v>
      </x:c>
      <x:c r="N990"/>
      <x:c r="O990"/>
      <x:c r="P990"/>
      <x:c r="Q990"/>
      <x:c r="R990"/>
      <x:c r="S990" t="n">
        <x:v>1.5</x:v>
      </x:c>
      <x:c r="T990" t="n">
        <x:v>1.5</x:v>
      </x:c>
      <x:c r="U990" s="28" t="n">
        <x:f>T990</x:f>
        <x:v>1.5</x:v>
      </x:c>
      <x:c r="V990" s="32" t="n">
        <x:f>IF(AND(ISNUMBER(S990),ISNUMBER(U990)),ABS(S990-U990),IF(S990=U990,0,1))</x:f>
        <x:v>0</x:v>
      </x:c>
      <x:c r="W990" s="30" t="str">
        <x:v>PASS</x:v>
      </x:c>
      <x:c r="X990" s="28" t="str">
        <x:f>IF(V990&lt;=1E-9,"PASS","FAIL")</x:f>
        <x:v>PASS</x:v>
      </x:c>
      <x:c r="Y990" t="str">
        <x:v>≤ first</x:v>
      </x:c>
      <x:c r="Z990" t="str"/>
    </x:row>
    <x:row r="991">
      <x:c r="A991" t="str">
        <x:v>G0988</x:v>
      </x:c>
      <x:c r="B991" t="str">
        <x:v>Bảng 15</x:v>
      </x:c>
      <x:c r="C991" t="str">
        <x:v>side:mechanical:clay</x:v>
      </x:c>
      <x:c r="D991" t="str">
        <x:v>HIGH-EDGE</x:v>
      </x:c>
      <x:c r="E991" t="str">
        <x:v>{"f":150}</x:v>
      </x:c>
      <x:c r="F991" t="str">
        <x:v>EDGE-BAND</x:v>
      </x:c>
      <x:c r="G991"/>
      <x:c r="H991"/>
      <x:c r="I991"/>
      <x:c r="J991"/>
      <x:c r="K991"/>
      <x:c r="L991"/>
      <x:c r="M991" t="n">
        <x:v>0.4</x:v>
      </x:c>
      <x:c r="N991"/>
      <x:c r="O991"/>
      <x:c r="P991"/>
      <x:c r="Q991"/>
      <x:c r="R991"/>
      <x:c r="S991" t="n">
        <x:v>0.4</x:v>
      </x:c>
      <x:c r="T991" t="n">
        <x:v>0.4</x:v>
      </x:c>
      <x:c r="U991" s="28" t="n">
        <x:f>T991</x:f>
        <x:v>0.4</x:v>
      </x:c>
      <x:c r="V991" s="32" t="n">
        <x:f>IF(AND(ISNUMBER(S991),ISNUMBER(U991)),ABS(S991-U991),IF(S991=U991,0,1))</x:f>
        <x:v>0</x:v>
      </x:c>
      <x:c r="W991" s="30" t="str">
        <x:v>PASS</x:v>
      </x:c>
      <x:c r="X991" s="28" t="str">
        <x:f>IF(V991&lt;=1E-9,"PASS","FAIL")</x:f>
        <x:v>PASS</x:v>
      </x:c>
      <x:c r="Y991" t="str">
        <x:v>≥ last</x:v>
      </x:c>
      <x:c r="Z991" t="str"/>
    </x:row>
    <x:row r="992">
      <x:c r="A992" t="str">
        <x:v>G0989</x:v>
      </x:c>
      <x:c r="B992" t="str">
        <x:v>Bảng 15</x:v>
      </x:c>
      <x:c r="C992" t="str">
        <x:v>side:electric:sand</x:v>
      </x:c>
      <x:c r="D992" t="str">
        <x:v>EXACT</x:v>
      </x:c>
      <x:c r="E992" t="str">
        <x:v>{"f":20}</x:v>
      </x:c>
      <x:c r="F992" t="str">
        <x:v>EXACT</x:v>
      </x:c>
      <x:c r="G992"/>
      <x:c r="H992"/>
      <x:c r="I992"/>
      <x:c r="J992"/>
      <x:c r="K992"/>
      <x:c r="L992"/>
      <x:c r="M992" t="n">
        <x:v>0.75</x:v>
      </x:c>
      <x:c r="N992"/>
      <x:c r="O992"/>
      <x:c r="P992"/>
      <x:c r="Q992"/>
      <x:c r="R992"/>
      <x:c r="S992" t="n">
        <x:v>0.75</x:v>
      </x:c>
      <x:c r="T992" t="n">
        <x:v>0.75</x:v>
      </x:c>
      <x:c r="U992" s="28" t="n">
        <x:f>T992</x:f>
        <x:v>0.75</x:v>
      </x:c>
      <x:c r="V992" s="32" t="n">
        <x:f>IF(AND(ISNUMBER(S992),ISNUMBER(U992)),ABS(S992-U992),IF(S992=U992,0,1))</x:f>
        <x:v>0</x:v>
      </x:c>
      <x:c r="W992" s="30" t="str">
        <x:v>PASS</x:v>
      </x:c>
      <x:c r="X992" s="28" t="str">
        <x:f>IF(V992&lt;=1E-9,"PASS","FAIL")</x:f>
        <x:v>PASS</x:v>
      </x:c>
      <x:c r="Y992" t="str">
        <x:v>tr.57</x:v>
      </x:c>
      <x:c r="Z992" t="str"/>
    </x:row>
    <x:row r="993">
      <x:c r="A993" t="str">
        <x:v>G0990</x:v>
      </x:c>
      <x:c r="B993" t="str">
        <x:v>Bảng 15</x:v>
      </x:c>
      <x:c r="C993" t="str">
        <x:v>side:electric:sand</x:v>
      </x:c>
      <x:c r="D993" t="str">
        <x:v>EXACT</x:v>
      </x:c>
      <x:c r="E993" t="str">
        <x:v>{"f":40}</x:v>
      </x:c>
      <x:c r="F993" t="str">
        <x:v>EXACT</x:v>
      </x:c>
      <x:c r="G993"/>
      <x:c r="H993"/>
      <x:c r="I993"/>
      <x:c r="J993"/>
      <x:c r="K993"/>
      <x:c r="L993"/>
      <x:c r="M993" t="n">
        <x:v>0.6</x:v>
      </x:c>
      <x:c r="N993"/>
      <x:c r="O993"/>
      <x:c r="P993"/>
      <x:c r="Q993"/>
      <x:c r="R993"/>
      <x:c r="S993" t="n">
        <x:v>0.6</x:v>
      </x:c>
      <x:c r="T993" t="n">
        <x:v>0.6</x:v>
      </x:c>
      <x:c r="U993" s="28" t="n">
        <x:f>T993</x:f>
        <x:v>0.6</x:v>
      </x:c>
      <x:c r="V993" s="32" t="n">
        <x:f>IF(AND(ISNUMBER(S993),ISNUMBER(U993)),ABS(S993-U993),IF(S993=U993,0,1))</x:f>
        <x:v>0</x:v>
      </x:c>
      <x:c r="W993" s="30" t="str">
        <x:v>PASS</x:v>
      </x:c>
      <x:c r="X993" s="28" t="str">
        <x:f>IF(V993&lt;=1E-9,"PASS","FAIL")</x:f>
        <x:v>PASS</x:v>
      </x:c>
      <x:c r="Y993" t="str">
        <x:v>tr.57</x:v>
      </x:c>
      <x:c r="Z993" t="str"/>
    </x:row>
    <x:row r="994">
      <x:c r="A994" t="str">
        <x:v>G0991</x:v>
      </x:c>
      <x:c r="B994" t="str">
        <x:v>Bảng 15</x:v>
      </x:c>
      <x:c r="C994" t="str">
        <x:v>side:electric:sand</x:v>
      </x:c>
      <x:c r="D994" t="str">
        <x:v>EXACT</x:v>
      </x:c>
      <x:c r="E994" t="str">
        <x:v>{"f":60}</x:v>
      </x:c>
      <x:c r="F994" t="str">
        <x:v>EXACT</x:v>
      </x:c>
      <x:c r="G994"/>
      <x:c r="H994"/>
      <x:c r="I994"/>
      <x:c r="J994"/>
      <x:c r="K994"/>
      <x:c r="L994"/>
      <x:c r="M994" t="n">
        <x:v>0.55</x:v>
      </x:c>
      <x:c r="N994"/>
      <x:c r="O994"/>
      <x:c r="P994"/>
      <x:c r="Q994"/>
      <x:c r="R994"/>
      <x:c r="S994" t="n">
        <x:v>0.55</x:v>
      </x:c>
      <x:c r="T994" t="n">
        <x:v>0.55</x:v>
      </x:c>
      <x:c r="U994" s="28" t="n">
        <x:f>T994</x:f>
        <x:v>0.55</x:v>
      </x:c>
      <x:c r="V994" s="32" t="n">
        <x:f>IF(AND(ISNUMBER(S994),ISNUMBER(U994)),ABS(S994-U994),IF(S994=U994,0,1))</x:f>
        <x:v>0</x:v>
      </x:c>
      <x:c r="W994" s="30" t="str">
        <x:v>PASS</x:v>
      </x:c>
      <x:c r="X994" s="28" t="str">
        <x:f>IF(V994&lt;=1E-9,"PASS","FAIL")</x:f>
        <x:v>PASS</x:v>
      </x:c>
      <x:c r="Y994" t="str">
        <x:v>tr.57</x:v>
      </x:c>
      <x:c r="Z994" t="str"/>
    </x:row>
    <x:row r="995">
      <x:c r="A995" t="str">
        <x:v>G0992</x:v>
      </x:c>
      <x:c r="B995" t="str">
        <x:v>Bảng 15</x:v>
      </x:c>
      <x:c r="C995" t="str">
        <x:v>side:electric:sand</x:v>
      </x:c>
      <x:c r="D995" t="str">
        <x:v>EXACT</x:v>
      </x:c>
      <x:c r="E995" t="str">
        <x:v>{"f":80}</x:v>
      </x:c>
      <x:c r="F995" t="str">
        <x:v>EXACT</x:v>
      </x:c>
      <x:c r="G995"/>
      <x:c r="H995"/>
      <x:c r="I995"/>
      <x:c r="J995"/>
      <x:c r="K995"/>
      <x:c r="L995"/>
      <x:c r="M995" t="n">
        <x:v>0.5</x:v>
      </x:c>
      <x:c r="N995"/>
      <x:c r="O995"/>
      <x:c r="P995"/>
      <x:c r="Q995"/>
      <x:c r="R995"/>
      <x:c r="S995" t="n">
        <x:v>0.5</x:v>
      </x:c>
      <x:c r="T995" t="n">
        <x:v>0.5</x:v>
      </x:c>
      <x:c r="U995" s="28" t="n">
        <x:f>T995</x:f>
        <x:v>0.5</x:v>
      </x:c>
      <x:c r="V995" s="32" t="n">
        <x:f>IF(AND(ISNUMBER(S995),ISNUMBER(U995)),ABS(S995-U995),IF(S995=U995,0,1))</x:f>
        <x:v>0</x:v>
      </x:c>
      <x:c r="W995" s="30" t="str">
        <x:v>PASS</x:v>
      </x:c>
      <x:c r="X995" s="28" t="str">
        <x:f>IF(V995&lt;=1E-9,"PASS","FAIL")</x:f>
        <x:v>PASS</x:v>
      </x:c>
      <x:c r="Y995" t="str">
        <x:v>tr.57</x:v>
      </x:c>
      <x:c r="Z995" t="str"/>
    </x:row>
    <x:row r="996">
      <x:c r="A996" t="str">
        <x:v>G0993</x:v>
      </x:c>
      <x:c r="B996" t="str">
        <x:v>Bảng 15</x:v>
      </x:c>
      <x:c r="C996" t="str">
        <x:v>side:electric:sand</x:v>
      </x:c>
      <x:c r="D996" t="str">
        <x:v>EXACT</x:v>
      </x:c>
      <x:c r="E996" t="str">
        <x:v>{"f":100}</x:v>
      </x:c>
      <x:c r="F996" t="str">
        <x:v>EXACT</x:v>
      </x:c>
      <x:c r="G996"/>
      <x:c r="H996"/>
      <x:c r="I996"/>
      <x:c r="J996"/>
      <x:c r="K996"/>
      <x:c r="L996"/>
      <x:c r="M996" t="n">
        <x:v>0.45</x:v>
      </x:c>
      <x:c r="N996"/>
      <x:c r="O996"/>
      <x:c r="P996"/>
      <x:c r="Q996"/>
      <x:c r="R996"/>
      <x:c r="S996" t="n">
        <x:v>0.45</x:v>
      </x:c>
      <x:c r="T996" t="n">
        <x:v>0.45</x:v>
      </x:c>
      <x:c r="U996" s="28" t="n">
        <x:f>T996</x:f>
        <x:v>0.45</x:v>
      </x:c>
      <x:c r="V996" s="32" t="n">
        <x:f>IF(AND(ISNUMBER(S996),ISNUMBER(U996)),ABS(S996-U996),IF(S996=U996,0,1))</x:f>
        <x:v>0</x:v>
      </x:c>
      <x:c r="W996" s="30" t="str">
        <x:v>PASS</x:v>
      </x:c>
      <x:c r="X996" s="28" t="str">
        <x:f>IF(V996&lt;=1E-9,"PASS","FAIL")</x:f>
        <x:v>PASS</x:v>
      </x:c>
      <x:c r="Y996" t="str">
        <x:v>tr.57</x:v>
      </x:c>
      <x:c r="Z996" t="str"/>
    </x:row>
    <x:row r="997">
      <x:c r="A997" t="str">
        <x:v>G0994</x:v>
      </x:c>
      <x:c r="B997" t="str">
        <x:v>Bảng 15</x:v>
      </x:c>
      <x:c r="C997" t="str">
        <x:v>side:electric:sand</x:v>
      </x:c>
      <x:c r="D997" t="str">
        <x:v>EXACT</x:v>
      </x:c>
      <x:c r="E997" t="str">
        <x:v>{"f":120}</x:v>
      </x:c>
      <x:c r="F997" t="str">
        <x:v>EXACT</x:v>
      </x:c>
      <x:c r="G997"/>
      <x:c r="H997"/>
      <x:c r="I997"/>
      <x:c r="J997"/>
      <x:c r="K997"/>
      <x:c r="L997"/>
      <x:c r="M997" t="n">
        <x:v>0.4</x:v>
      </x:c>
      <x:c r="N997"/>
      <x:c r="O997"/>
      <x:c r="P997"/>
      <x:c r="Q997"/>
      <x:c r="R997"/>
      <x:c r="S997" t="n">
        <x:v>0.4</x:v>
      </x:c>
      <x:c r="T997" t="n">
        <x:v>0.4</x:v>
      </x:c>
      <x:c r="U997" s="28" t="n">
        <x:f>T997</x:f>
        <x:v>0.4</x:v>
      </x:c>
      <x:c r="V997" s="32" t="n">
        <x:f>IF(AND(ISNUMBER(S997),ISNUMBER(U997)),ABS(S997-U997),IF(S997=U997,0,1))</x:f>
        <x:v>0</x:v>
      </x:c>
      <x:c r="W997" s="30" t="str">
        <x:v>PASS</x:v>
      </x:c>
      <x:c r="X997" s="28" t="str">
        <x:f>IF(V997&lt;=1E-9,"PASS","FAIL")</x:f>
        <x:v>PASS</x:v>
      </x:c>
      <x:c r="Y997" t="str">
        <x:v>tr.57</x:v>
      </x:c>
      <x:c r="Z997" t="str"/>
    </x:row>
    <x:row r="998">
      <x:c r="A998" t="str">
        <x:v>G0995</x:v>
      </x:c>
      <x:c r="B998" t="str">
        <x:v>Bảng 15</x:v>
      </x:c>
      <x:c r="C998" t="str">
        <x:v>side:electric:sand</x:v>
      </x:c>
      <x:c r="D998" t="str">
        <x:v>MID-BLOCK</x:v>
      </x:c>
      <x:c r="E998" t="str">
        <x:v>{"f":30}</x:v>
      </x:c>
      <x:c r="F998" t="str">
        <x:v>BLOCK</x:v>
      </x:c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 t="str">
        <x:v>BLOCK</x:v>
      </x:c>
      <x:c r="T998" t="str">
        <x:v>BLOCK</x:v>
      </x:c>
      <x:c r="U998" s="28" t="str">
        <x:f>"BLOCK"</x:f>
        <x:v>BLOCK</x:v>
      </x:c>
      <x:c r="V998" s="32" t="n">
        <x:f>IF(AND(ISNUMBER(S998),ISNUMBER(U998)),ABS(S998-U998),IF(S998=U998,0,1))</x:f>
        <x:v>0</x:v>
      </x:c>
      <x:c r="W998" s="30" t="str">
        <x:v>PASS</x:v>
      </x:c>
      <x:c r="X998" s="28" t="str">
        <x:f>IF(V998&lt;=1E-9,"PASS","FAIL")</x:f>
        <x:v>PASS</x:v>
      </x:c>
      <x:c r="Y998" t="str">
        <x:v>NO AUTO INTERPOLATION</x:v>
      </x:c>
      <x:c r="Z998" t="str">
        <x:v>Bảng 15 βi: tiêu chuẩn không ghi nội suy cho giá trị 30; cần mốc đúng bảng hoặc nhập hệ số có provenance.</x:v>
      </x:c>
    </x:row>
    <x:row r="999">
      <x:c r="A999" t="str">
        <x:v>G0996</x:v>
      </x:c>
      <x:c r="B999" t="str">
        <x:v>Bảng 15</x:v>
      </x:c>
      <x:c r="C999" t="str">
        <x:v>side:electric:sand</x:v>
      </x:c>
      <x:c r="D999" t="str">
        <x:v>MID-BLOCK</x:v>
      </x:c>
      <x:c r="E999" t="str">
        <x:v>{"f":50}</x:v>
      </x:c>
      <x:c r="F999" t="str">
        <x:v>BLOCK</x:v>
      </x:c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 t="str">
        <x:v>BLOCK</x:v>
      </x:c>
      <x:c r="T999" t="str">
        <x:v>BLOCK</x:v>
      </x:c>
      <x:c r="U999" s="28" t="str">
        <x:f>"BLOCK"</x:f>
        <x:v>BLOCK</x:v>
      </x:c>
      <x:c r="V999" s="32" t="n">
        <x:f>IF(AND(ISNUMBER(S999),ISNUMBER(U999)),ABS(S999-U999),IF(S999=U999,0,1))</x:f>
        <x:v>0</x:v>
      </x:c>
      <x:c r="W999" s="30" t="str">
        <x:v>PASS</x:v>
      </x:c>
      <x:c r="X999" s="28" t="str">
        <x:f>IF(V999&lt;=1E-9,"PASS","FAIL")</x:f>
        <x:v>PASS</x:v>
      </x:c>
      <x:c r="Y999" t="str">
        <x:v>NO AUTO INTERPOLATION</x:v>
      </x:c>
      <x:c r="Z999" t="str">
        <x:v>Bảng 15 βi: tiêu chuẩn không ghi nội suy cho giá trị 50; cần mốc đúng bảng hoặc nhập hệ số có provenance.</x:v>
      </x:c>
    </x:row>
    <x:row r="1000">
      <x:c r="A1000" t="str">
        <x:v>G0997</x:v>
      </x:c>
      <x:c r="B1000" t="str">
        <x:v>Bảng 15</x:v>
      </x:c>
      <x:c r="C1000" t="str">
        <x:v>side:electric:sand</x:v>
      </x:c>
      <x:c r="D1000" t="str">
        <x:v>MID-BLOCK</x:v>
      </x:c>
      <x:c r="E1000" t="str">
        <x:v>{"f":70}</x:v>
      </x:c>
      <x:c r="F1000" t="str">
        <x:v>BLOCK</x:v>
      </x:c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 t="str">
        <x:v>BLOCK</x:v>
      </x:c>
      <x:c r="T1000" t="str">
        <x:v>BLOCK</x:v>
      </x:c>
      <x:c r="U1000" s="28" t="str">
        <x:f>"BLOCK"</x:f>
        <x:v>BLOCK</x:v>
      </x:c>
      <x:c r="V1000" s="32" t="n">
        <x:f>IF(AND(ISNUMBER(S1000),ISNUMBER(U1000)),ABS(S1000-U1000),IF(S1000=U1000,0,1))</x:f>
        <x:v>0</x:v>
      </x:c>
      <x:c r="W1000" s="30" t="str">
        <x:v>PASS</x:v>
      </x:c>
      <x:c r="X1000" s="28" t="str">
        <x:f>IF(V1000&lt;=1E-9,"PASS","FAIL")</x:f>
        <x:v>PASS</x:v>
      </x:c>
      <x:c r="Y1000" t="str">
        <x:v>NO AUTO INTERPOLATION</x:v>
      </x:c>
      <x:c r="Z1000" t="str">
        <x:v>Bảng 15 βi: tiêu chuẩn không ghi nội suy cho giá trị 70; cần mốc đúng bảng hoặc nhập hệ số có provenance.</x:v>
      </x:c>
    </x:row>
    <x:row r="1001">
      <x:c r="A1001" t="str">
        <x:v>G0998</x:v>
      </x:c>
      <x:c r="B1001" t="str">
        <x:v>Bảng 15</x:v>
      </x:c>
      <x:c r="C1001" t="str">
        <x:v>side:electric:sand</x:v>
      </x:c>
      <x:c r="D1001" t="str">
        <x:v>MID-BLOCK</x:v>
      </x:c>
      <x:c r="E1001" t="str">
        <x:v>{"f":90}</x:v>
      </x:c>
      <x:c r="F1001" t="str">
        <x:v>BLOCK</x:v>
      </x:c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 t="str">
        <x:v>BLOCK</x:v>
      </x:c>
      <x:c r="T1001" t="str">
        <x:v>BLOCK</x:v>
      </x:c>
      <x:c r="U1001" s="28" t="str">
        <x:f>"BLOCK"</x:f>
        <x:v>BLOCK</x:v>
      </x:c>
      <x:c r="V1001" s="32" t="n">
        <x:f>IF(AND(ISNUMBER(S1001),ISNUMBER(U1001)),ABS(S1001-U1001),IF(S1001=U1001,0,1))</x:f>
        <x:v>0</x:v>
      </x:c>
      <x:c r="W1001" s="30" t="str">
        <x:v>PASS</x:v>
      </x:c>
      <x:c r="X1001" s="28" t="str">
        <x:f>IF(V1001&lt;=1E-9,"PASS","FAIL")</x:f>
        <x:v>PASS</x:v>
      </x:c>
      <x:c r="Y1001" t="str">
        <x:v>NO AUTO INTERPOLATION</x:v>
      </x:c>
      <x:c r="Z1001" t="str">
        <x:v>Bảng 15 βi: tiêu chuẩn không ghi nội suy cho giá trị 90; cần mốc đúng bảng hoặc nhập hệ số có provenance.</x:v>
      </x:c>
    </x:row>
    <x:row r="1002">
      <x:c r="A1002" t="str">
        <x:v>G0999</x:v>
      </x:c>
      <x:c r="B1002" t="str">
        <x:v>Bảng 15</x:v>
      </x:c>
      <x:c r="C1002" t="str">
        <x:v>side:electric:sand</x:v>
      </x:c>
      <x:c r="D1002" t="str">
        <x:v>MID-BLOCK</x:v>
      </x:c>
      <x:c r="E1002" t="str">
        <x:v>{"f":110}</x:v>
      </x:c>
      <x:c r="F1002" t="str">
        <x:v>BLOCK</x:v>
      </x:c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 t="str">
        <x:v>BLOCK</x:v>
      </x:c>
      <x:c r="T1002" t="str">
        <x:v>BLOCK</x:v>
      </x:c>
      <x:c r="U1002" s="28" t="str">
        <x:f>"BLOCK"</x:f>
        <x:v>BLOCK</x:v>
      </x:c>
      <x:c r="V1002" s="32" t="n">
        <x:f>IF(AND(ISNUMBER(S1002),ISNUMBER(U1002)),ABS(S1002-U1002),IF(S1002=U1002,0,1))</x:f>
        <x:v>0</x:v>
      </x:c>
      <x:c r="W1002" s="30" t="str">
        <x:v>PASS</x:v>
      </x:c>
      <x:c r="X1002" s="28" t="str">
        <x:f>IF(V1002&lt;=1E-9,"PASS","FAIL")</x:f>
        <x:v>PASS</x:v>
      </x:c>
      <x:c r="Y1002" t="str">
        <x:v>NO AUTO INTERPOLATION</x:v>
      </x:c>
      <x:c r="Z1002" t="str">
        <x:v>Bảng 15 βi: tiêu chuẩn không ghi nội suy cho giá trị 110; cần mốc đúng bảng hoặc nhập hệ số có provenance.</x:v>
      </x:c>
    </x:row>
    <x:row r="1003">
      <x:c r="A1003" t="str">
        <x:v>G1000</x:v>
      </x:c>
      <x:c r="B1003" t="str">
        <x:v>Bảng 15</x:v>
      </x:c>
      <x:c r="C1003" t="str">
        <x:v>side:electric:sand</x:v>
      </x:c>
      <x:c r="D1003" t="str">
        <x:v>LOW-EDGE</x:v>
      </x:c>
      <x:c r="E1003" t="str">
        <x:v>{"f":10}</x:v>
      </x:c>
      <x:c r="F1003" t="str">
        <x:v>EDGE-BAND</x:v>
      </x:c>
      <x:c r="G1003"/>
      <x:c r="H1003"/>
      <x:c r="I1003"/>
      <x:c r="J1003"/>
      <x:c r="K1003"/>
      <x:c r="L1003"/>
      <x:c r="M1003" t="n">
        <x:v>0.75</x:v>
      </x:c>
      <x:c r="N1003"/>
      <x:c r="O1003"/>
      <x:c r="P1003"/>
      <x:c r="Q1003"/>
      <x:c r="R1003"/>
      <x:c r="S1003" t="n">
        <x:v>0.75</x:v>
      </x:c>
      <x:c r="T1003" t="n">
        <x:v>0.75</x:v>
      </x:c>
      <x:c r="U1003" s="28" t="n">
        <x:f>T1003</x:f>
        <x:v>0.75</x:v>
      </x:c>
      <x:c r="V1003" s="32" t="n">
        <x:f>IF(AND(ISNUMBER(S1003),ISNUMBER(U1003)),ABS(S1003-U1003),IF(S1003=U1003,0,1))</x:f>
        <x:v>0</x:v>
      </x:c>
      <x:c r="W1003" s="30" t="str">
        <x:v>PASS</x:v>
      </x:c>
      <x:c r="X1003" s="28" t="str">
        <x:f>IF(V1003&lt;=1E-9,"PASS","FAIL")</x:f>
        <x:v>PASS</x:v>
      </x:c>
      <x:c r="Y1003" t="str">
        <x:v>≤ first</x:v>
      </x:c>
      <x:c r="Z1003" t="str"/>
    </x:row>
    <x:row r="1004">
      <x:c r="A1004" t="str">
        <x:v>G1001</x:v>
      </x:c>
      <x:c r="B1004" t="str">
        <x:v>Bảng 15</x:v>
      </x:c>
      <x:c r="C1004" t="str">
        <x:v>side:electric:sand</x:v>
      </x:c>
      <x:c r="D1004" t="str">
        <x:v>HIGH-EDGE</x:v>
      </x:c>
      <x:c r="E1004" t="str">
        <x:v>{"f":150}</x:v>
      </x:c>
      <x:c r="F1004" t="str">
        <x:v>EDGE-BAND</x:v>
      </x:c>
      <x:c r="G1004"/>
      <x:c r="H1004"/>
      <x:c r="I1004"/>
      <x:c r="J1004"/>
      <x:c r="K1004"/>
      <x:c r="L1004"/>
      <x:c r="M1004" t="n">
        <x:v>0.4</x:v>
      </x:c>
      <x:c r="N1004"/>
      <x:c r="O1004"/>
      <x:c r="P1004"/>
      <x:c r="Q1004"/>
      <x:c r="R1004"/>
      <x:c r="S1004" t="n">
        <x:v>0.4</x:v>
      </x:c>
      <x:c r="T1004" t="n">
        <x:v>0.4</x:v>
      </x:c>
      <x:c r="U1004" s="28" t="n">
        <x:f>T1004</x:f>
        <x:v>0.4</x:v>
      </x:c>
      <x:c r="V1004" s="32" t="n">
        <x:f>IF(AND(ISNUMBER(S1004),ISNUMBER(U1004)),ABS(S1004-U1004),IF(S1004=U1004,0,1))</x:f>
        <x:v>0</x:v>
      </x:c>
      <x:c r="W1004" s="30" t="str">
        <x:v>PASS</x:v>
      </x:c>
      <x:c r="X1004" s="28" t="str">
        <x:f>IF(V1004&lt;=1E-9,"PASS","FAIL")</x:f>
        <x:v>PASS</x:v>
      </x:c>
      <x:c r="Y1004" t="str">
        <x:v>≥ last</x:v>
      </x:c>
      <x:c r="Z1004" t="str"/>
    </x:row>
    <x:row r="1005">
      <x:c r="A1005" t="str">
        <x:v>G1002</x:v>
      </x:c>
      <x:c r="B1005" t="str">
        <x:v>Bảng 15</x:v>
      </x:c>
      <x:c r="C1005" t="str">
        <x:v>side:electric:clay</x:v>
      </x:c>
      <x:c r="D1005" t="str">
        <x:v>EXACT</x:v>
      </x:c>
      <x:c r="E1005" t="str">
        <x:v>{"f":20}</x:v>
      </x:c>
      <x:c r="F1005" t="str">
        <x:v>EXACT</x:v>
      </x:c>
      <x:c r="G1005"/>
      <x:c r="H1005"/>
      <x:c r="I1005"/>
      <x:c r="J1005"/>
      <x:c r="K1005"/>
      <x:c r="L1005"/>
      <x:c r="M1005" t="n">
        <x:v>1</x:v>
      </x:c>
      <x:c r="N1005"/>
      <x:c r="O1005"/>
      <x:c r="P1005"/>
      <x:c r="Q1005"/>
      <x:c r="R1005"/>
      <x:c r="S1005" t="n">
        <x:v>1</x:v>
      </x:c>
      <x:c r="T1005" t="n">
        <x:v>1</x:v>
      </x:c>
      <x:c r="U1005" s="28" t="n">
        <x:f>T1005</x:f>
        <x:v>1</x:v>
      </x:c>
      <x:c r="V1005" s="32" t="n">
        <x:f>IF(AND(ISNUMBER(S1005),ISNUMBER(U1005)),ABS(S1005-U1005),IF(S1005=U1005,0,1))</x:f>
        <x:v>0</x:v>
      </x:c>
      <x:c r="W1005" s="30" t="str">
        <x:v>PASS</x:v>
      </x:c>
      <x:c r="X1005" s="28" t="str">
        <x:f>IF(V1005&lt;=1E-9,"PASS","FAIL")</x:f>
        <x:v>PASS</x:v>
      </x:c>
      <x:c r="Y1005" t="str">
        <x:v>tr.57</x:v>
      </x:c>
      <x:c r="Z1005" t="str"/>
    </x:row>
    <x:row r="1006">
      <x:c r="A1006" t="str">
        <x:v>G1003</x:v>
      </x:c>
      <x:c r="B1006" t="str">
        <x:v>Bảng 15</x:v>
      </x:c>
      <x:c r="C1006" t="str">
        <x:v>side:electric:clay</x:v>
      </x:c>
      <x:c r="D1006" t="str">
        <x:v>EXACT</x:v>
      </x:c>
      <x:c r="E1006" t="str">
        <x:v>{"f":40}</x:v>
      </x:c>
      <x:c r="F1006" t="str">
        <x:v>EXACT</x:v>
      </x:c>
      <x:c r="G1006"/>
      <x:c r="H1006"/>
      <x:c r="I1006"/>
      <x:c r="J1006"/>
      <x:c r="K1006"/>
      <x:c r="L1006"/>
      <x:c r="M1006" t="n">
        <x:v>0.75</x:v>
      </x:c>
      <x:c r="N1006"/>
      <x:c r="O1006"/>
      <x:c r="P1006"/>
      <x:c r="Q1006"/>
      <x:c r="R1006"/>
      <x:c r="S1006" t="n">
        <x:v>0.75</x:v>
      </x:c>
      <x:c r="T1006" t="n">
        <x:v>0.75</x:v>
      </x:c>
      <x:c r="U1006" s="28" t="n">
        <x:f>T1006</x:f>
        <x:v>0.75</x:v>
      </x:c>
      <x:c r="V1006" s="32" t="n">
        <x:f>IF(AND(ISNUMBER(S1006),ISNUMBER(U1006)),ABS(S1006-U1006),IF(S1006=U1006,0,1))</x:f>
        <x:v>0</x:v>
      </x:c>
      <x:c r="W1006" s="30" t="str">
        <x:v>PASS</x:v>
      </x:c>
      <x:c r="X1006" s="28" t="str">
        <x:f>IF(V1006&lt;=1E-9,"PASS","FAIL")</x:f>
        <x:v>PASS</x:v>
      </x:c>
      <x:c r="Y1006" t="str">
        <x:v>tr.57</x:v>
      </x:c>
      <x:c r="Z1006" t="str"/>
    </x:row>
    <x:row r="1007">
      <x:c r="A1007" t="str">
        <x:v>G1004</x:v>
      </x:c>
      <x:c r="B1007" t="str">
        <x:v>Bảng 15</x:v>
      </x:c>
      <x:c r="C1007" t="str">
        <x:v>side:electric:clay</x:v>
      </x:c>
      <x:c r="D1007" t="str">
        <x:v>EXACT</x:v>
      </x:c>
      <x:c r="E1007" t="str">
        <x:v>{"f":60}</x:v>
      </x:c>
      <x:c r="F1007" t="str">
        <x:v>EXACT</x:v>
      </x:c>
      <x:c r="G1007"/>
      <x:c r="H1007"/>
      <x:c r="I1007"/>
      <x:c r="J1007"/>
      <x:c r="K1007"/>
      <x:c r="L1007"/>
      <x:c r="M1007" t="n">
        <x:v>0.6</x:v>
      </x:c>
      <x:c r="N1007"/>
      <x:c r="O1007"/>
      <x:c r="P1007"/>
      <x:c r="Q1007"/>
      <x:c r="R1007"/>
      <x:c r="S1007" t="n">
        <x:v>0.6</x:v>
      </x:c>
      <x:c r="T1007" t="n">
        <x:v>0.6</x:v>
      </x:c>
      <x:c r="U1007" s="28" t="n">
        <x:f>T1007</x:f>
        <x:v>0.6</x:v>
      </x:c>
      <x:c r="V1007" s="32" t="n">
        <x:f>IF(AND(ISNUMBER(S1007),ISNUMBER(U1007)),ABS(S1007-U1007),IF(S1007=U1007,0,1))</x:f>
        <x:v>0</x:v>
      </x:c>
      <x:c r="W1007" s="30" t="str">
        <x:v>PASS</x:v>
      </x:c>
      <x:c r="X1007" s="28" t="str">
        <x:f>IF(V1007&lt;=1E-9,"PASS","FAIL")</x:f>
        <x:v>PASS</x:v>
      </x:c>
      <x:c r="Y1007" t="str">
        <x:v>tr.57</x:v>
      </x:c>
      <x:c r="Z1007" t="str"/>
    </x:row>
    <x:row r="1008">
      <x:c r="A1008" t="str">
        <x:v>G1005</x:v>
      </x:c>
      <x:c r="B1008" t="str">
        <x:v>Bảng 15</x:v>
      </x:c>
      <x:c r="C1008" t="str">
        <x:v>side:electric:clay</x:v>
      </x:c>
      <x:c r="D1008" t="str">
        <x:v>EXACT</x:v>
      </x:c>
      <x:c r="E1008" t="str">
        <x:v>{"f":80}</x:v>
      </x:c>
      <x:c r="F1008" t="str">
        <x:v>EXACT</x:v>
      </x:c>
      <x:c r="G1008"/>
      <x:c r="H1008"/>
      <x:c r="I1008"/>
      <x:c r="J1008"/>
      <x:c r="K1008"/>
      <x:c r="L1008"/>
      <x:c r="M1008" t="n">
        <x:v>0.45</x:v>
      </x:c>
      <x:c r="N1008"/>
      <x:c r="O1008"/>
      <x:c r="P1008"/>
      <x:c r="Q1008"/>
      <x:c r="R1008"/>
      <x:c r="S1008" t="n">
        <x:v>0.45</x:v>
      </x:c>
      <x:c r="T1008" t="n">
        <x:v>0.45</x:v>
      </x:c>
      <x:c r="U1008" s="28" t="n">
        <x:f>T1008</x:f>
        <x:v>0.45</x:v>
      </x:c>
      <x:c r="V1008" s="32" t="n">
        <x:f>IF(AND(ISNUMBER(S1008),ISNUMBER(U1008)),ABS(S1008-U1008),IF(S1008=U1008,0,1))</x:f>
        <x:v>0</x:v>
      </x:c>
      <x:c r="W1008" s="30" t="str">
        <x:v>PASS</x:v>
      </x:c>
      <x:c r="X1008" s="28" t="str">
        <x:f>IF(V1008&lt;=1E-9,"PASS","FAIL")</x:f>
        <x:v>PASS</x:v>
      </x:c>
      <x:c r="Y1008" t="str">
        <x:v>tr.57</x:v>
      </x:c>
      <x:c r="Z1008" t="str"/>
    </x:row>
    <x:row r="1009">
      <x:c r="A1009" t="str">
        <x:v>G1006</x:v>
      </x:c>
      <x:c r="B1009" t="str">
        <x:v>Bảng 15</x:v>
      </x:c>
      <x:c r="C1009" t="str">
        <x:v>side:electric:clay</x:v>
      </x:c>
      <x:c r="D1009" t="str">
        <x:v>EXACT</x:v>
      </x:c>
      <x:c r="E1009" t="str">
        <x:v>{"f":100}</x:v>
      </x:c>
      <x:c r="F1009" t="str">
        <x:v>EXACT</x:v>
      </x:c>
      <x:c r="G1009"/>
      <x:c r="H1009"/>
      <x:c r="I1009"/>
      <x:c r="J1009"/>
      <x:c r="K1009"/>
      <x:c r="L1009"/>
      <x:c r="M1009" t="n">
        <x:v>0.4</x:v>
      </x:c>
      <x:c r="N1009"/>
      <x:c r="O1009"/>
      <x:c r="P1009"/>
      <x:c r="Q1009"/>
      <x:c r="R1009"/>
      <x:c r="S1009" t="n">
        <x:v>0.4</x:v>
      </x:c>
      <x:c r="T1009" t="n">
        <x:v>0.4</x:v>
      </x:c>
      <x:c r="U1009" s="28" t="n">
        <x:f>T1009</x:f>
        <x:v>0.4</x:v>
      </x:c>
      <x:c r="V1009" s="32" t="n">
        <x:f>IF(AND(ISNUMBER(S1009),ISNUMBER(U1009)),ABS(S1009-U1009),IF(S1009=U1009,0,1))</x:f>
        <x:v>0</x:v>
      </x:c>
      <x:c r="W1009" s="30" t="str">
        <x:v>PASS</x:v>
      </x:c>
      <x:c r="X1009" s="28" t="str">
        <x:f>IF(V1009&lt;=1E-9,"PASS","FAIL")</x:f>
        <x:v>PASS</x:v>
      </x:c>
      <x:c r="Y1009" t="str">
        <x:v>tr.57</x:v>
      </x:c>
      <x:c r="Z1009" t="str"/>
    </x:row>
    <x:row r="1010">
      <x:c r="A1010" t="str">
        <x:v>G1007</x:v>
      </x:c>
      <x:c r="B1010" t="str">
        <x:v>Bảng 15</x:v>
      </x:c>
      <x:c r="C1010" t="str">
        <x:v>side:electric:clay</x:v>
      </x:c>
      <x:c r="D1010" t="str">
        <x:v>EXACT</x:v>
      </x:c>
      <x:c r="E1010" t="str">
        <x:v>{"f":120}</x:v>
      </x:c>
      <x:c r="F1010" t="str">
        <x:v>EXACT</x:v>
      </x:c>
      <x:c r="G1010"/>
      <x:c r="H1010"/>
      <x:c r="I1010"/>
      <x:c r="J1010"/>
      <x:c r="K1010"/>
      <x:c r="L1010"/>
      <x:c r="M1010" t="n">
        <x:v>0.3</x:v>
      </x:c>
      <x:c r="N1010"/>
      <x:c r="O1010"/>
      <x:c r="P1010"/>
      <x:c r="Q1010"/>
      <x:c r="R1010"/>
      <x:c r="S1010" t="n">
        <x:v>0.3</x:v>
      </x:c>
      <x:c r="T1010" t="n">
        <x:v>0.3</x:v>
      </x:c>
      <x:c r="U1010" s="28" t="n">
        <x:f>T1010</x:f>
        <x:v>0.3</x:v>
      </x:c>
      <x:c r="V1010" s="32" t="n">
        <x:f>IF(AND(ISNUMBER(S1010),ISNUMBER(U1010)),ABS(S1010-U1010),IF(S1010=U1010,0,1))</x:f>
        <x:v>0</x:v>
      </x:c>
      <x:c r="W1010" s="30" t="str">
        <x:v>PASS</x:v>
      </x:c>
      <x:c r="X1010" s="28" t="str">
        <x:f>IF(V1010&lt;=1E-9,"PASS","FAIL")</x:f>
        <x:v>PASS</x:v>
      </x:c>
      <x:c r="Y1010" t="str">
        <x:v>tr.57</x:v>
      </x:c>
      <x:c r="Z1010" t="str"/>
    </x:row>
    <x:row r="1011">
      <x:c r="A1011" t="str">
        <x:v>G1008</x:v>
      </x:c>
      <x:c r="B1011" t="str">
        <x:v>Bảng 15</x:v>
      </x:c>
      <x:c r="C1011" t="str">
        <x:v>side:electric:clay</x:v>
      </x:c>
      <x:c r="D1011" t="str">
        <x:v>MID-BLOCK</x:v>
      </x:c>
      <x:c r="E1011" t="str">
        <x:v>{"f":30}</x:v>
      </x:c>
      <x:c r="F1011" t="str">
        <x:v>BLOCK</x:v>
      </x:c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 t="str">
        <x:v>BLOCK</x:v>
      </x:c>
      <x:c r="T1011" t="str">
        <x:v>BLOCK</x:v>
      </x:c>
      <x:c r="U1011" s="28" t="str">
        <x:f>"BLOCK"</x:f>
        <x:v>BLOCK</x:v>
      </x:c>
      <x:c r="V1011" s="32" t="n">
        <x:f>IF(AND(ISNUMBER(S1011),ISNUMBER(U1011)),ABS(S1011-U1011),IF(S1011=U1011,0,1))</x:f>
        <x:v>0</x:v>
      </x:c>
      <x:c r="W1011" s="30" t="str">
        <x:v>PASS</x:v>
      </x:c>
      <x:c r="X1011" s="28" t="str">
        <x:f>IF(V1011&lt;=1E-9,"PASS","FAIL")</x:f>
        <x:v>PASS</x:v>
      </x:c>
      <x:c r="Y1011" t="str">
        <x:v>NO AUTO INTERPOLATION</x:v>
      </x:c>
      <x:c r="Z1011" t="str">
        <x:v>Bảng 15 βi: tiêu chuẩn không ghi nội suy cho giá trị 30; cần mốc đúng bảng hoặc nhập hệ số có provenance.</x:v>
      </x:c>
    </x:row>
    <x:row r="1012">
      <x:c r="A1012" t="str">
        <x:v>G1009</x:v>
      </x:c>
      <x:c r="B1012" t="str">
        <x:v>Bảng 15</x:v>
      </x:c>
      <x:c r="C1012" t="str">
        <x:v>side:electric:clay</x:v>
      </x:c>
      <x:c r="D1012" t="str">
        <x:v>MID-BLOCK</x:v>
      </x:c>
      <x:c r="E1012" t="str">
        <x:v>{"f":50}</x:v>
      </x:c>
      <x:c r="F1012" t="str">
        <x:v>BLOCK</x:v>
      </x:c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 t="str">
        <x:v>BLOCK</x:v>
      </x:c>
      <x:c r="T1012" t="str">
        <x:v>BLOCK</x:v>
      </x:c>
      <x:c r="U1012" s="28" t="str">
        <x:f>"BLOCK"</x:f>
        <x:v>BLOCK</x:v>
      </x:c>
      <x:c r="V1012" s="32" t="n">
        <x:f>IF(AND(ISNUMBER(S1012),ISNUMBER(U1012)),ABS(S1012-U1012),IF(S1012=U1012,0,1))</x:f>
        <x:v>0</x:v>
      </x:c>
      <x:c r="W1012" s="30" t="str">
        <x:v>PASS</x:v>
      </x:c>
      <x:c r="X1012" s="28" t="str">
        <x:f>IF(V1012&lt;=1E-9,"PASS","FAIL")</x:f>
        <x:v>PASS</x:v>
      </x:c>
      <x:c r="Y1012" t="str">
        <x:v>NO AUTO INTERPOLATION</x:v>
      </x:c>
      <x:c r="Z1012" t="str">
        <x:v>Bảng 15 βi: tiêu chuẩn không ghi nội suy cho giá trị 50; cần mốc đúng bảng hoặc nhập hệ số có provenance.</x:v>
      </x:c>
    </x:row>
    <x:row r="1013">
      <x:c r="A1013" t="str">
        <x:v>G1010</x:v>
      </x:c>
      <x:c r="B1013" t="str">
        <x:v>Bảng 15</x:v>
      </x:c>
      <x:c r="C1013" t="str">
        <x:v>side:electric:clay</x:v>
      </x:c>
      <x:c r="D1013" t="str">
        <x:v>MID-BLOCK</x:v>
      </x:c>
      <x:c r="E1013" t="str">
        <x:v>{"f":70}</x:v>
      </x:c>
      <x:c r="F1013" t="str">
        <x:v>BLOCK</x:v>
      </x:c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 t="str">
        <x:v>BLOCK</x:v>
      </x:c>
      <x:c r="T1013" t="str">
        <x:v>BLOCK</x:v>
      </x:c>
      <x:c r="U1013" s="28" t="str">
        <x:f>"BLOCK"</x:f>
        <x:v>BLOCK</x:v>
      </x:c>
      <x:c r="V1013" s="32" t="n">
        <x:f>IF(AND(ISNUMBER(S1013),ISNUMBER(U1013)),ABS(S1013-U1013),IF(S1013=U1013,0,1))</x:f>
        <x:v>0</x:v>
      </x:c>
      <x:c r="W1013" s="30" t="str">
        <x:v>PASS</x:v>
      </x:c>
      <x:c r="X1013" s="28" t="str">
        <x:f>IF(V1013&lt;=1E-9,"PASS","FAIL")</x:f>
        <x:v>PASS</x:v>
      </x:c>
      <x:c r="Y1013" t="str">
        <x:v>NO AUTO INTERPOLATION</x:v>
      </x:c>
      <x:c r="Z1013" t="str">
        <x:v>Bảng 15 βi: tiêu chuẩn không ghi nội suy cho giá trị 70; cần mốc đúng bảng hoặc nhập hệ số có provenance.</x:v>
      </x:c>
    </x:row>
    <x:row r="1014">
      <x:c r="A1014" t="str">
        <x:v>G1011</x:v>
      </x:c>
      <x:c r="B1014" t="str">
        <x:v>Bảng 15</x:v>
      </x:c>
      <x:c r="C1014" t="str">
        <x:v>side:electric:clay</x:v>
      </x:c>
      <x:c r="D1014" t="str">
        <x:v>MID-BLOCK</x:v>
      </x:c>
      <x:c r="E1014" t="str">
        <x:v>{"f":90}</x:v>
      </x:c>
      <x:c r="F1014" t="str">
        <x:v>BLOCK</x:v>
      </x:c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 t="str">
        <x:v>BLOCK</x:v>
      </x:c>
      <x:c r="T1014" t="str">
        <x:v>BLOCK</x:v>
      </x:c>
      <x:c r="U1014" s="28" t="str">
        <x:f>"BLOCK"</x:f>
        <x:v>BLOCK</x:v>
      </x:c>
      <x:c r="V1014" s="32" t="n">
        <x:f>IF(AND(ISNUMBER(S1014),ISNUMBER(U1014)),ABS(S1014-U1014),IF(S1014=U1014,0,1))</x:f>
        <x:v>0</x:v>
      </x:c>
      <x:c r="W1014" s="30" t="str">
        <x:v>PASS</x:v>
      </x:c>
      <x:c r="X1014" s="28" t="str">
        <x:f>IF(V1014&lt;=1E-9,"PASS","FAIL")</x:f>
        <x:v>PASS</x:v>
      </x:c>
      <x:c r="Y1014" t="str">
        <x:v>NO AUTO INTERPOLATION</x:v>
      </x:c>
      <x:c r="Z1014" t="str">
        <x:v>Bảng 15 βi: tiêu chuẩn không ghi nội suy cho giá trị 90; cần mốc đúng bảng hoặc nhập hệ số có provenance.</x:v>
      </x:c>
    </x:row>
    <x:row r="1015">
      <x:c r="A1015" t="str">
        <x:v>G1012</x:v>
      </x:c>
      <x:c r="B1015" t="str">
        <x:v>Bảng 15</x:v>
      </x:c>
      <x:c r="C1015" t="str">
        <x:v>side:electric:clay</x:v>
      </x:c>
      <x:c r="D1015" t="str">
        <x:v>MID-BLOCK</x:v>
      </x:c>
      <x:c r="E1015" t="str">
        <x:v>{"f":110}</x:v>
      </x:c>
      <x:c r="F1015" t="str">
        <x:v>BLOCK</x:v>
      </x:c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 t="str">
        <x:v>BLOCK</x:v>
      </x:c>
      <x:c r="T1015" t="str">
        <x:v>BLOCK</x:v>
      </x:c>
      <x:c r="U1015" s="28" t="str">
        <x:f>"BLOCK"</x:f>
        <x:v>BLOCK</x:v>
      </x:c>
      <x:c r="V1015" s="32" t="n">
        <x:f>IF(AND(ISNUMBER(S1015),ISNUMBER(U1015)),ABS(S1015-U1015),IF(S1015=U1015,0,1))</x:f>
        <x:v>0</x:v>
      </x:c>
      <x:c r="W1015" s="30" t="str">
        <x:v>PASS</x:v>
      </x:c>
      <x:c r="X1015" s="28" t="str">
        <x:f>IF(V1015&lt;=1E-9,"PASS","FAIL")</x:f>
        <x:v>PASS</x:v>
      </x:c>
      <x:c r="Y1015" t="str">
        <x:v>NO AUTO INTERPOLATION</x:v>
      </x:c>
      <x:c r="Z1015" t="str">
        <x:v>Bảng 15 βi: tiêu chuẩn không ghi nội suy cho giá trị 110; cần mốc đúng bảng hoặc nhập hệ số có provenance.</x:v>
      </x:c>
    </x:row>
    <x:row r="1016">
      <x:c r="A1016" t="str">
        <x:v>G1013</x:v>
      </x:c>
      <x:c r="B1016" t="str">
        <x:v>Bảng 15</x:v>
      </x:c>
      <x:c r="C1016" t="str">
        <x:v>side:electric:clay</x:v>
      </x:c>
      <x:c r="D1016" t="str">
        <x:v>LOW-EDGE</x:v>
      </x:c>
      <x:c r="E1016" t="str">
        <x:v>{"f":10}</x:v>
      </x:c>
      <x:c r="F1016" t="str">
        <x:v>EDGE-BAND</x:v>
      </x:c>
      <x:c r="G1016"/>
      <x:c r="H1016"/>
      <x:c r="I1016"/>
      <x:c r="J1016"/>
      <x:c r="K1016"/>
      <x:c r="L1016"/>
      <x:c r="M1016" t="n">
        <x:v>1</x:v>
      </x:c>
      <x:c r="N1016"/>
      <x:c r="O1016"/>
      <x:c r="P1016"/>
      <x:c r="Q1016"/>
      <x:c r="R1016"/>
      <x:c r="S1016" t="n">
        <x:v>1</x:v>
      </x:c>
      <x:c r="T1016" t="n">
        <x:v>1</x:v>
      </x:c>
      <x:c r="U1016" s="28" t="n">
        <x:f>T1016</x:f>
        <x:v>1</x:v>
      </x:c>
      <x:c r="V1016" s="32" t="n">
        <x:f>IF(AND(ISNUMBER(S1016),ISNUMBER(U1016)),ABS(S1016-U1016),IF(S1016=U1016,0,1))</x:f>
        <x:v>0</x:v>
      </x:c>
      <x:c r="W1016" s="30" t="str">
        <x:v>PASS</x:v>
      </x:c>
      <x:c r="X1016" s="28" t="str">
        <x:f>IF(V1016&lt;=1E-9,"PASS","FAIL")</x:f>
        <x:v>PASS</x:v>
      </x:c>
      <x:c r="Y1016" t="str">
        <x:v>≤ first</x:v>
      </x:c>
      <x:c r="Z1016" t="str"/>
    </x:row>
    <x:row r="1017">
      <x:c r="A1017" t="str">
        <x:v>G1014</x:v>
      </x:c>
      <x:c r="B1017" t="str">
        <x:v>Bảng 15</x:v>
      </x:c>
      <x:c r="C1017" t="str">
        <x:v>side:electric:clay</x:v>
      </x:c>
      <x:c r="D1017" t="str">
        <x:v>HIGH-EDGE</x:v>
      </x:c>
      <x:c r="E1017" t="str">
        <x:v>{"f":150}</x:v>
      </x:c>
      <x:c r="F1017" t="str">
        <x:v>EDGE-BAND</x:v>
      </x:c>
      <x:c r="G1017"/>
      <x:c r="H1017"/>
      <x:c r="I1017"/>
      <x:c r="J1017"/>
      <x:c r="K1017"/>
      <x:c r="L1017"/>
      <x:c r="M1017" t="n">
        <x:v>0.3</x:v>
      </x:c>
      <x:c r="N1017"/>
      <x:c r="O1017"/>
      <x:c r="P1017"/>
      <x:c r="Q1017"/>
      <x:c r="R1017"/>
      <x:c r="S1017" t="n">
        <x:v>0.3</x:v>
      </x:c>
      <x:c r="T1017" t="n">
        <x:v>0.3</x:v>
      </x:c>
      <x:c r="U1017" s="28" t="n">
        <x:f>T1017</x:f>
        <x:v>0.3</x:v>
      </x:c>
      <x:c r="V1017" s="32" t="n">
        <x:f>IF(AND(ISNUMBER(S1017),ISNUMBER(U1017)),ABS(S1017-U1017),IF(S1017=U1017,0,1))</x:f>
        <x:v>0</x:v>
      </x:c>
      <x:c r="W1017" s="30" t="str">
        <x:v>PASS</x:v>
      </x:c>
      <x:c r="X1017" s="28" t="str">
        <x:f>IF(V1017&lt;=1E-9,"PASS","FAIL")</x:f>
        <x:v>PASS</x:v>
      </x:c>
      <x:c r="Y1017" t="str">
        <x:v>≥ last</x:v>
      </x:c>
      <x:c r="Z1017" t="str"/>
    </x:row>
    <x:row r="1018">
      <x:c r="A1018" t="str">
        <x:v>G1015</x:v>
      </x:c>
      <x:c r="B1018" t="str">
        <x:v>Bảng 15</x:v>
      </x:c>
      <x:c r="C1018" t="str">
        <x:v>side:electric:sand:saturated</x:v>
      </x:c>
      <x:c r="D1018" t="str">
        <x:v>RULE x0.5</x:v>
      </x:c>
      <x:c r="E1018" t="str">
        <x:v>{"f":60}</x:v>
      </x:c>
      <x:c r="F1018" t="str">
        <x:v>EXACT</x:v>
      </x:c>
      <x:c r="G1018"/>
      <x:c r="H1018"/>
      <x:c r="I1018"/>
      <x:c r="J1018"/>
      <x:c r="K1018"/>
      <x:c r="L1018"/>
      <x:c r="M1018" t="n">
        <x:v>0.275</x:v>
      </x:c>
      <x:c r="N1018"/>
      <x:c r="O1018"/>
      <x:c r="P1018"/>
      <x:c r="Q1018"/>
      <x:c r="R1018"/>
      <x:c r="S1018" t="n">
        <x:v>0.275</x:v>
      </x:c>
      <x:c r="T1018" t="n">
        <x:v>0.275</x:v>
      </x:c>
      <x:c r="U1018" s="28" t="n">
        <x:f>T1018</x:f>
        <x:v>0.275</x:v>
      </x:c>
      <x:c r="V1018" s="32" t="n">
        <x:f>IF(AND(ISNUMBER(S1018),ISNUMBER(U1018)),ABS(S1018-U1018),IF(S1018=U1018,0,1))</x:f>
        <x:v>0</x:v>
      </x:c>
      <x:c r="W1018" s="30" t="str">
        <x:v>PASS</x:v>
      </x:c>
      <x:c r="X1018" s="28" t="str">
        <x:f>IF(V1018&lt;=1E-9,"PASS","FAIL")</x:f>
        <x:v>PASS</x:v>
      </x:c>
      <x:c r="Y1018" t="str">
        <x:v>Chú thích</x:v>
      </x:c>
      <x:c r="Z1018" t="str"/>
    </x:row>
    <x:row r="1019">
      <x:c r="A1019" t="str">
        <x:v>G1016</x:v>
      </x:c>
      <x:c r="B1019" t="str">
        <x:v>Bảng 16</x:v>
      </x:c>
      <x:c r="C1019" t="str">
        <x:v>qbSand</x:v>
      </x:c>
      <x:c r="D1019" t="str">
        <x:v>EXACT</x:v>
      </x:c>
      <x:c r="E1019" t="str">
        <x:v>{"qc":5000}</x:v>
      </x:c>
      <x:c r="F1019" t="str">
        <x:v>EXACT</x:v>
      </x:c>
      <x:c r="G1019"/>
      <x:c r="H1019"/>
      <x:c r="I1019"/>
      <x:c r="J1019"/>
      <x:c r="K1019"/>
      <x:c r="L1019"/>
      <x:c r="M1019" t="n">
        <x:v>900</x:v>
      </x:c>
      <x:c r="N1019"/>
      <x:c r="O1019"/>
      <x:c r="P1019"/>
      <x:c r="Q1019"/>
      <x:c r="R1019"/>
      <x:c r="S1019" t="n">
        <x:v>900</x:v>
      </x:c>
      <x:c r="T1019" t="n">
        <x:v>900</x:v>
      </x:c>
      <x:c r="U1019" s="28" t="n">
        <x:f>T1019</x:f>
        <x:v>900</x:v>
      </x:c>
      <x:c r="V1019" s="32" t="n">
        <x:f>IF(AND(ISNUMBER(S1019),ISNUMBER(U1019)),ABS(S1019-U1019),IF(S1019=U1019,0,1))</x:f>
        <x:v>0</x:v>
      </x:c>
      <x:c r="W1019" s="30" t="str">
        <x:v>PASS</x:v>
      </x:c>
      <x:c r="X1019" s="28" t="str">
        <x:f>IF(V1019&lt;=1E-9,"PASS","FAIL")</x:f>
        <x:v>PASS</x:v>
      </x:c>
      <x:c r="Y1019" t="str">
        <x:v>tr.58</x:v>
      </x:c>
      <x:c r="Z1019" t="str"/>
    </x:row>
    <x:row r="1020">
      <x:c r="A1020" t="str">
        <x:v>G1017</x:v>
      </x:c>
      <x:c r="B1020" t="str">
        <x:v>Bảng 16</x:v>
      </x:c>
      <x:c r="C1020" t="str">
        <x:v>qbSand</x:v>
      </x:c>
      <x:c r="D1020" t="str">
        <x:v>EXACT</x:v>
      </x:c>
      <x:c r="E1020" t="str">
        <x:v>{"qc":7500}</x:v>
      </x:c>
      <x:c r="F1020" t="str">
        <x:v>EXACT</x:v>
      </x:c>
      <x:c r="G1020"/>
      <x:c r="H1020"/>
      <x:c r="I1020"/>
      <x:c r="J1020"/>
      <x:c r="K1020"/>
      <x:c r="L1020"/>
      <x:c r="M1020" t="n">
        <x:v>1100</x:v>
      </x:c>
      <x:c r="N1020"/>
      <x:c r="O1020"/>
      <x:c r="P1020"/>
      <x:c r="Q1020"/>
      <x:c r="R1020"/>
      <x:c r="S1020" t="n">
        <x:v>1100</x:v>
      </x:c>
      <x:c r="T1020" t="n">
        <x:v>1100</x:v>
      </x:c>
      <x:c r="U1020" s="28" t="n">
        <x:f>T1020</x:f>
        <x:v>1100</x:v>
      </x:c>
      <x:c r="V1020" s="32" t="n">
        <x:f>IF(AND(ISNUMBER(S1020),ISNUMBER(U1020)),ABS(S1020-U1020),IF(S1020=U1020,0,1))</x:f>
        <x:v>0</x:v>
      </x:c>
      <x:c r="W1020" s="30" t="str">
        <x:v>PASS</x:v>
      </x:c>
      <x:c r="X1020" s="28" t="str">
        <x:f>IF(V1020&lt;=1E-9,"PASS","FAIL")</x:f>
        <x:v>PASS</x:v>
      </x:c>
      <x:c r="Y1020" t="str">
        <x:v>tr.58</x:v>
      </x:c>
      <x:c r="Z1020" t="str"/>
    </x:row>
    <x:row r="1021">
      <x:c r="A1021" t="str">
        <x:v>G1018</x:v>
      </x:c>
      <x:c r="B1021" t="str">
        <x:v>Bảng 16</x:v>
      </x:c>
      <x:c r="C1021" t="str">
        <x:v>qbSand</x:v>
      </x:c>
      <x:c r="D1021" t="str">
        <x:v>EXACT</x:v>
      </x:c>
      <x:c r="E1021" t="str">
        <x:v>{"qc":10000}</x:v>
      </x:c>
      <x:c r="F1021" t="str">
        <x:v>EXACT</x:v>
      </x:c>
      <x:c r="G1021"/>
      <x:c r="H1021"/>
      <x:c r="I1021"/>
      <x:c r="J1021"/>
      <x:c r="K1021"/>
      <x:c r="L1021"/>
      <x:c r="M1021" t="n">
        <x:v>1300</x:v>
      </x:c>
      <x:c r="N1021"/>
      <x:c r="O1021"/>
      <x:c r="P1021"/>
      <x:c r="Q1021"/>
      <x:c r="R1021"/>
      <x:c r="S1021" t="n">
        <x:v>1300</x:v>
      </x:c>
      <x:c r="T1021" t="n">
        <x:v>1300</x:v>
      </x:c>
      <x:c r="U1021" s="28" t="n">
        <x:f>T1021</x:f>
        <x:v>1300</x:v>
      </x:c>
      <x:c r="V1021" s="32" t="n">
        <x:f>IF(AND(ISNUMBER(S1021),ISNUMBER(U1021)),ABS(S1021-U1021),IF(S1021=U1021,0,1))</x:f>
        <x:v>0</x:v>
      </x:c>
      <x:c r="W1021" s="30" t="str">
        <x:v>PASS</x:v>
      </x:c>
      <x:c r="X1021" s="28" t="str">
        <x:f>IF(V1021&lt;=1E-9,"PASS","FAIL")</x:f>
        <x:v>PASS</x:v>
      </x:c>
      <x:c r="Y1021" t="str">
        <x:v>tr.58</x:v>
      </x:c>
      <x:c r="Z1021" t="str"/>
    </x:row>
    <x:row r="1022">
      <x:c r="A1022" t="str">
        <x:v>G1019</x:v>
      </x:c>
      <x:c r="B1022" t="str">
        <x:v>Bảng 16</x:v>
      </x:c>
      <x:c r="C1022" t="str">
        <x:v>qbSand</x:v>
      </x:c>
      <x:c r="D1022" t="str">
        <x:v>EXACT</x:v>
      </x:c>
      <x:c r="E1022" t="str">
        <x:v>{"qc":12000}</x:v>
      </x:c>
      <x:c r="F1022" t="str">
        <x:v>EXACT</x:v>
      </x:c>
      <x:c r="G1022"/>
      <x:c r="H1022"/>
      <x:c r="I1022"/>
      <x:c r="J1022"/>
      <x:c r="K1022"/>
      <x:c r="L1022"/>
      <x:c r="M1022" t="n">
        <x:v>1400</x:v>
      </x:c>
      <x:c r="N1022"/>
      <x:c r="O1022"/>
      <x:c r="P1022"/>
      <x:c r="Q1022"/>
      <x:c r="R1022"/>
      <x:c r="S1022" t="n">
        <x:v>1400</x:v>
      </x:c>
      <x:c r="T1022" t="n">
        <x:v>1400</x:v>
      </x:c>
      <x:c r="U1022" s="28" t="n">
        <x:f>T1022</x:f>
        <x:v>1400</x:v>
      </x:c>
      <x:c r="V1022" s="32" t="n">
        <x:f>IF(AND(ISNUMBER(S1022),ISNUMBER(U1022)),ABS(S1022-U1022),IF(S1022=U1022,0,1))</x:f>
        <x:v>0</x:v>
      </x:c>
      <x:c r="W1022" s="30" t="str">
        <x:v>PASS</x:v>
      </x:c>
      <x:c r="X1022" s="28" t="str">
        <x:f>IF(V1022&lt;=1E-9,"PASS","FAIL")</x:f>
        <x:v>PASS</x:v>
      </x:c>
      <x:c r="Y1022" t="str">
        <x:v>tr.58</x:v>
      </x:c>
      <x:c r="Z1022" t="str"/>
    </x:row>
    <x:row r="1023">
      <x:c r="A1023" t="str">
        <x:v>G1020</x:v>
      </x:c>
      <x:c r="B1023" t="str">
        <x:v>Bảng 16</x:v>
      </x:c>
      <x:c r="C1023" t="str">
        <x:v>qbSand</x:v>
      </x:c>
      <x:c r="D1023" t="str">
        <x:v>EXACT</x:v>
      </x:c>
      <x:c r="E1023" t="str">
        <x:v>{"qc":15000}</x:v>
      </x:c>
      <x:c r="F1023" t="str">
        <x:v>EXACT</x:v>
      </x:c>
      <x:c r="G1023"/>
      <x:c r="H1023"/>
      <x:c r="I1023"/>
      <x:c r="J1023"/>
      <x:c r="K1023"/>
      <x:c r="L1023"/>
      <x:c r="M1023" t="n">
        <x:v>1500</x:v>
      </x:c>
      <x:c r="N1023"/>
      <x:c r="O1023"/>
      <x:c r="P1023"/>
      <x:c r="Q1023"/>
      <x:c r="R1023"/>
      <x:c r="S1023" t="n">
        <x:v>1500</x:v>
      </x:c>
      <x:c r="T1023" t="n">
        <x:v>1500</x:v>
      </x:c>
      <x:c r="U1023" s="28" t="n">
        <x:f>T1023</x:f>
        <x:v>1500</x:v>
      </x:c>
      <x:c r="V1023" s="32" t="n">
        <x:f>IF(AND(ISNUMBER(S1023),ISNUMBER(U1023)),ABS(S1023-U1023),IF(S1023=U1023,0,1))</x:f>
        <x:v>0</x:v>
      </x:c>
      <x:c r="W1023" s="30" t="str">
        <x:v>PASS</x:v>
      </x:c>
      <x:c r="X1023" s="28" t="str">
        <x:f>IF(V1023&lt;=1E-9,"PASS","FAIL")</x:f>
        <x:v>PASS</x:v>
      </x:c>
      <x:c r="Y1023" t="str">
        <x:v>tr.58</x:v>
      </x:c>
      <x:c r="Z1023" t="str"/>
    </x:row>
    <x:row r="1024">
      <x:c r="A1024" t="str">
        <x:v>G1021</x:v>
      </x:c>
      <x:c r="B1024" t="str">
        <x:v>Bảng 16</x:v>
      </x:c>
      <x:c r="C1024" t="str">
        <x:v>qbSand</x:v>
      </x:c>
      <x:c r="D1024" t="str">
        <x:v>EXACT</x:v>
      </x:c>
      <x:c r="E1024" t="str">
        <x:v>{"qc":20000}</x:v>
      </x:c>
      <x:c r="F1024" t="str">
        <x:v>EXACT</x:v>
      </x:c>
      <x:c r="G1024"/>
      <x:c r="H1024"/>
      <x:c r="I1024"/>
      <x:c r="J1024"/>
      <x:c r="K1024"/>
      <x:c r="L1024"/>
      <x:c r="M1024" t="n">
        <x:v>2000</x:v>
      </x:c>
      <x:c r="N1024"/>
      <x:c r="O1024"/>
      <x:c r="P1024"/>
      <x:c r="Q1024"/>
      <x:c r="R1024"/>
      <x:c r="S1024" t="n">
        <x:v>2000</x:v>
      </x:c>
      <x:c r="T1024" t="n">
        <x:v>2000</x:v>
      </x:c>
      <x:c r="U1024" s="28" t="n">
        <x:f>T1024</x:f>
        <x:v>2000</x:v>
      </x:c>
      <x:c r="V1024" s="32" t="n">
        <x:f>IF(AND(ISNUMBER(S1024),ISNUMBER(U1024)),ABS(S1024-U1024),IF(S1024=U1024,0,1))</x:f>
        <x:v>0</x:v>
      </x:c>
      <x:c r="W1024" s="30" t="str">
        <x:v>PASS</x:v>
      </x:c>
      <x:c r="X1024" s="28" t="str">
        <x:f>IF(V1024&lt;=1E-9,"PASS","FAIL")</x:f>
        <x:v>PASS</x:v>
      </x:c>
      <x:c r="Y1024" t="str">
        <x:v>tr.58</x:v>
      </x:c>
      <x:c r="Z1024" t="str"/>
    </x:row>
    <x:row r="1025">
      <x:c r="A1025" t="str">
        <x:v>G1022</x:v>
      </x:c>
      <x:c r="B1025" t="str">
        <x:v>Bảng 16</x:v>
      </x:c>
      <x:c r="C1025" t="str">
        <x:v>qbSand</x:v>
      </x:c>
      <x:c r="D1025" t="str">
        <x:v>MID</x:v>
      </x:c>
      <x:c r="E1025" t="str">
        <x:v>{"qc":6250}</x:v>
      </x:c>
      <x:c r="F1025" t="str">
        <x:v>LINEAR-1D</x:v>
      </x:c>
      <x:c r="G1025" t="n">
        <x:v>6250</x:v>
      </x:c>
      <x:c r="H1025"/>
      <x:c r="I1025" t="n">
        <x:v>5000</x:v>
      </x:c>
      <x:c r="J1025" t="n">
        <x:v>7500</x:v>
      </x:c>
      <x:c r="K1025"/>
      <x:c r="L1025"/>
      <x:c r="M1025" t="n">
        <x:v>900</x:v>
      </x:c>
      <x:c r="N1025" t="n">
        <x:v>1100</x:v>
      </x:c>
      <x:c r="O1025"/>
      <x:c r="P1025"/>
      <x:c r="Q1025"/>
      <x:c r="R1025"/>
      <x:c r="S1025" t="n">
        <x:v>1000</x:v>
      </x:c>
      <x:c r="T1025" t="n">
        <x:v>1000</x:v>
      </x:c>
      <x:c r="U1025" s="28" t="n">
        <x:f>M1025+(G1025-I1025)*(N1025-M1025)/(J1025-I1025)</x:f>
        <x:v>1000</x:v>
      </x:c>
      <x:c r="V1025" s="32" t="n">
        <x:f>IF(AND(ISNUMBER(S1025),ISNUMBER(U1025)),ABS(S1025-U1025),IF(S1025=U1025,0,1))</x:f>
        <x:v>0</x:v>
      </x:c>
      <x:c r="W1025" s="30" t="str">
        <x:v>PASS</x:v>
      </x:c>
      <x:c r="X1025" s="28" t="str">
        <x:f>IF(V1025&lt;=1E-9,"PASS","FAIL")</x:f>
        <x:v>PASS</x:v>
      </x:c>
      <x:c r="Y1025" t="str">
        <x:v>Chú thích 1</x:v>
      </x:c>
      <x:c r="Z1025" t="str"/>
    </x:row>
    <x:row r="1026">
      <x:c r="A1026" t="str">
        <x:v>G1023</x:v>
      </x:c>
      <x:c r="B1026" t="str">
        <x:v>Bảng 16</x:v>
      </x:c>
      <x:c r="C1026" t="str">
        <x:v>qbSand</x:v>
      </x:c>
      <x:c r="D1026" t="str">
        <x:v>MID</x:v>
      </x:c>
      <x:c r="E1026" t="str">
        <x:v>{"qc":8750}</x:v>
      </x:c>
      <x:c r="F1026" t="str">
        <x:v>LINEAR-1D</x:v>
      </x:c>
      <x:c r="G1026" t="n">
        <x:v>8750</x:v>
      </x:c>
      <x:c r="H1026"/>
      <x:c r="I1026" t="n">
        <x:v>7500</x:v>
      </x:c>
      <x:c r="J1026" t="n">
        <x:v>10000</x:v>
      </x:c>
      <x:c r="K1026"/>
      <x:c r="L1026"/>
      <x:c r="M1026" t="n">
        <x:v>1100</x:v>
      </x:c>
      <x:c r="N1026" t="n">
        <x:v>1300</x:v>
      </x:c>
      <x:c r="O1026"/>
      <x:c r="P1026"/>
      <x:c r="Q1026"/>
      <x:c r="R1026"/>
      <x:c r="S1026" t="n">
        <x:v>1200</x:v>
      </x:c>
      <x:c r="T1026" t="n">
        <x:v>1200</x:v>
      </x:c>
      <x:c r="U1026" s="28" t="n">
        <x:f>M1026+(G1026-I1026)*(N1026-M1026)/(J1026-I1026)</x:f>
        <x:v>1200</x:v>
      </x:c>
      <x:c r="V1026" s="32" t="n">
        <x:f>IF(AND(ISNUMBER(S1026),ISNUMBER(U1026)),ABS(S1026-U1026),IF(S1026=U1026,0,1))</x:f>
        <x:v>0</x:v>
      </x:c>
      <x:c r="W1026" s="30" t="str">
        <x:v>PASS</x:v>
      </x:c>
      <x:c r="X1026" s="28" t="str">
        <x:f>IF(V1026&lt;=1E-9,"PASS","FAIL")</x:f>
        <x:v>PASS</x:v>
      </x:c>
      <x:c r="Y1026" t="str">
        <x:v>Chú thích 1</x:v>
      </x:c>
      <x:c r="Z1026" t="str"/>
    </x:row>
    <x:row r="1027">
      <x:c r="A1027" t="str">
        <x:v>G1024</x:v>
      </x:c>
      <x:c r="B1027" t="str">
        <x:v>Bảng 16</x:v>
      </x:c>
      <x:c r="C1027" t="str">
        <x:v>qbSand</x:v>
      </x:c>
      <x:c r="D1027" t="str">
        <x:v>MID</x:v>
      </x:c>
      <x:c r="E1027" t="str">
        <x:v>{"qc":11000}</x:v>
      </x:c>
      <x:c r="F1027" t="str">
        <x:v>LINEAR-1D</x:v>
      </x:c>
      <x:c r="G1027" t="n">
        <x:v>11000</x:v>
      </x:c>
      <x:c r="H1027"/>
      <x:c r="I1027" t="n">
        <x:v>10000</x:v>
      </x:c>
      <x:c r="J1027" t="n">
        <x:v>12000</x:v>
      </x:c>
      <x:c r="K1027"/>
      <x:c r="L1027"/>
      <x:c r="M1027" t="n">
        <x:v>1300</x:v>
      </x:c>
      <x:c r="N1027" t="n">
        <x:v>1400</x:v>
      </x:c>
      <x:c r="O1027"/>
      <x:c r="P1027"/>
      <x:c r="Q1027"/>
      <x:c r="R1027"/>
      <x:c r="S1027" t="n">
        <x:v>1350</x:v>
      </x:c>
      <x:c r="T1027" t="n">
        <x:v>1350</x:v>
      </x:c>
      <x:c r="U1027" s="28" t="n">
        <x:f>M1027+(G1027-I1027)*(N1027-M1027)/(J1027-I1027)</x:f>
        <x:v>1350</x:v>
      </x:c>
      <x:c r="V1027" s="32" t="n">
        <x:f>IF(AND(ISNUMBER(S1027),ISNUMBER(U1027)),ABS(S1027-U1027),IF(S1027=U1027,0,1))</x:f>
        <x:v>0</x:v>
      </x:c>
      <x:c r="W1027" s="30" t="str">
        <x:v>PASS</x:v>
      </x:c>
      <x:c r="X1027" s="28" t="str">
        <x:f>IF(V1027&lt;=1E-9,"PASS","FAIL")</x:f>
        <x:v>PASS</x:v>
      </x:c>
      <x:c r="Y1027" t="str">
        <x:v>Chú thích 1</x:v>
      </x:c>
      <x:c r="Z1027" t="str"/>
    </x:row>
    <x:row r="1028">
      <x:c r="A1028" t="str">
        <x:v>G1025</x:v>
      </x:c>
      <x:c r="B1028" t="str">
        <x:v>Bảng 16</x:v>
      </x:c>
      <x:c r="C1028" t="str">
        <x:v>qbSand</x:v>
      </x:c>
      <x:c r="D1028" t="str">
        <x:v>MID</x:v>
      </x:c>
      <x:c r="E1028" t="str">
        <x:v>{"qc":13500}</x:v>
      </x:c>
      <x:c r="F1028" t="str">
        <x:v>LINEAR-1D</x:v>
      </x:c>
      <x:c r="G1028" t="n">
        <x:v>13500</x:v>
      </x:c>
      <x:c r="H1028"/>
      <x:c r="I1028" t="n">
        <x:v>12000</x:v>
      </x:c>
      <x:c r="J1028" t="n">
        <x:v>15000</x:v>
      </x:c>
      <x:c r="K1028"/>
      <x:c r="L1028"/>
      <x:c r="M1028" t="n">
        <x:v>1400</x:v>
      </x:c>
      <x:c r="N1028" t="n">
        <x:v>1500</x:v>
      </x:c>
      <x:c r="O1028"/>
      <x:c r="P1028"/>
      <x:c r="Q1028"/>
      <x:c r="R1028"/>
      <x:c r="S1028" t="n">
        <x:v>1450</x:v>
      </x:c>
      <x:c r="T1028" t="n">
        <x:v>1450</x:v>
      </x:c>
      <x:c r="U1028" s="28" t="n">
        <x:f>M1028+(G1028-I1028)*(N1028-M1028)/(J1028-I1028)</x:f>
        <x:v>1450</x:v>
      </x:c>
      <x:c r="V1028" s="32" t="n">
        <x:f>IF(AND(ISNUMBER(S1028),ISNUMBER(U1028)),ABS(S1028-U1028),IF(S1028=U1028,0,1))</x:f>
        <x:v>0</x:v>
      </x:c>
      <x:c r="W1028" s="30" t="str">
        <x:v>PASS</x:v>
      </x:c>
      <x:c r="X1028" s="28" t="str">
        <x:f>IF(V1028&lt;=1E-9,"PASS","FAIL")</x:f>
        <x:v>PASS</x:v>
      </x:c>
      <x:c r="Y1028" t="str">
        <x:v>Chú thích 1</x:v>
      </x:c>
      <x:c r="Z1028" t="str"/>
    </x:row>
    <x:row r="1029">
      <x:c r="A1029" t="str">
        <x:v>G1026</x:v>
      </x:c>
      <x:c r="B1029" t="str">
        <x:v>Bảng 16</x:v>
      </x:c>
      <x:c r="C1029" t="str">
        <x:v>qbSand</x:v>
      </x:c>
      <x:c r="D1029" t="str">
        <x:v>MID</x:v>
      </x:c>
      <x:c r="E1029" t="str">
        <x:v>{"qc":17500}</x:v>
      </x:c>
      <x:c r="F1029" t="str">
        <x:v>LINEAR-1D</x:v>
      </x:c>
      <x:c r="G1029" t="n">
        <x:v>17500</x:v>
      </x:c>
      <x:c r="H1029"/>
      <x:c r="I1029" t="n">
        <x:v>15000</x:v>
      </x:c>
      <x:c r="J1029" t="n">
        <x:v>20000</x:v>
      </x:c>
      <x:c r="K1029"/>
      <x:c r="L1029"/>
      <x:c r="M1029" t="n">
        <x:v>1500</x:v>
      </x:c>
      <x:c r="N1029" t="n">
        <x:v>2000</x:v>
      </x:c>
      <x:c r="O1029"/>
      <x:c r="P1029"/>
      <x:c r="Q1029"/>
      <x:c r="R1029"/>
      <x:c r="S1029" t="n">
        <x:v>1750</x:v>
      </x:c>
      <x:c r="T1029" t="n">
        <x:v>1750</x:v>
      </x:c>
      <x:c r="U1029" s="28" t="n">
        <x:f>M1029+(G1029-I1029)*(N1029-M1029)/(J1029-I1029)</x:f>
        <x:v>1750</x:v>
      </x:c>
      <x:c r="V1029" s="32" t="n">
        <x:f>IF(AND(ISNUMBER(S1029),ISNUMBER(U1029)),ABS(S1029-U1029),IF(S1029=U1029,0,1))</x:f>
        <x:v>0</x:v>
      </x:c>
      <x:c r="W1029" s="30" t="str">
        <x:v>PASS</x:v>
      </x:c>
      <x:c r="X1029" s="28" t="str">
        <x:f>IF(V1029&lt;=1E-9,"PASS","FAIL")</x:f>
        <x:v>PASS</x:v>
      </x:c>
      <x:c r="Y1029" t="str">
        <x:v>Chú thích 1</x:v>
      </x:c>
      <x:c r="Z1029" t="str"/>
    </x:row>
    <x:row r="1030">
      <x:c r="A1030" t="str">
        <x:v>G1027</x:v>
      </x:c>
      <x:c r="B1030" t="str">
        <x:v>Bảng 16</x:v>
      </x:c>
      <x:c r="C1030" t="str">
        <x:v>qbClay</x:v>
      </x:c>
      <x:c r="D1030" t="str">
        <x:v>EXACT</x:v>
      </x:c>
      <x:c r="E1030" t="str">
        <x:v>{"qc":1000}</x:v>
      </x:c>
      <x:c r="F1030" t="str">
        <x:v>EXACT</x:v>
      </x:c>
      <x:c r="G1030"/>
      <x:c r="H1030"/>
      <x:c r="I1030"/>
      <x:c r="J1030"/>
      <x:c r="K1030"/>
      <x:c r="L1030"/>
      <x:c r="M1030" t="n">
        <x:v>200</x:v>
      </x:c>
      <x:c r="N1030"/>
      <x:c r="O1030"/>
      <x:c r="P1030"/>
      <x:c r="Q1030"/>
      <x:c r="R1030"/>
      <x:c r="S1030" t="n">
        <x:v>200</x:v>
      </x:c>
      <x:c r="T1030" t="n">
        <x:v>200</x:v>
      </x:c>
      <x:c r="U1030" s="28" t="n">
        <x:f>T1030</x:f>
        <x:v>200</x:v>
      </x:c>
      <x:c r="V1030" s="32" t="n">
        <x:f>IF(AND(ISNUMBER(S1030),ISNUMBER(U1030)),ABS(S1030-U1030),IF(S1030=U1030,0,1))</x:f>
        <x:v>0</x:v>
      </x:c>
      <x:c r="W1030" s="30" t="str">
        <x:v>PASS</x:v>
      </x:c>
      <x:c r="X1030" s="28" t="str">
        <x:f>IF(V1030&lt;=1E-9,"PASS","FAIL")</x:f>
        <x:v>PASS</x:v>
      </x:c>
      <x:c r="Y1030" t="str">
        <x:v>tr.58</x:v>
      </x:c>
      <x:c r="Z1030" t="str"/>
    </x:row>
    <x:row r="1031">
      <x:c r="A1031" t="str">
        <x:v>G1028</x:v>
      </x:c>
      <x:c r="B1031" t="str">
        <x:v>Bảng 16</x:v>
      </x:c>
      <x:c r="C1031" t="str">
        <x:v>qbClay</x:v>
      </x:c>
      <x:c r="D1031" t="str">
        <x:v>EXACT</x:v>
      </x:c>
      <x:c r="E1031" t="str">
        <x:v>{"qc":2500}</x:v>
      </x:c>
      <x:c r="F1031" t="str">
        <x:v>EXACT</x:v>
      </x:c>
      <x:c r="G1031"/>
      <x:c r="H1031"/>
      <x:c r="I1031"/>
      <x:c r="J1031"/>
      <x:c r="K1031"/>
      <x:c r="L1031"/>
      <x:c r="M1031" t="n">
        <x:v>580</x:v>
      </x:c>
      <x:c r="N1031"/>
      <x:c r="O1031"/>
      <x:c r="P1031"/>
      <x:c r="Q1031"/>
      <x:c r="R1031"/>
      <x:c r="S1031" t="n">
        <x:v>580</x:v>
      </x:c>
      <x:c r="T1031" t="n">
        <x:v>580</x:v>
      </x:c>
      <x:c r="U1031" s="28" t="n">
        <x:f>T1031</x:f>
        <x:v>580</x:v>
      </x:c>
      <x:c r="V1031" s="32" t="n">
        <x:f>IF(AND(ISNUMBER(S1031),ISNUMBER(U1031)),ABS(S1031-U1031),IF(S1031=U1031,0,1))</x:f>
        <x:v>0</x:v>
      </x:c>
      <x:c r="W1031" s="30" t="str">
        <x:v>PASS</x:v>
      </x:c>
      <x:c r="X1031" s="28" t="str">
        <x:f>IF(V1031&lt;=1E-9,"PASS","FAIL")</x:f>
        <x:v>PASS</x:v>
      </x:c>
      <x:c r="Y1031" t="str">
        <x:v>tr.58</x:v>
      </x:c>
      <x:c r="Z1031" t="str"/>
    </x:row>
    <x:row r="1032">
      <x:c r="A1032" t="str">
        <x:v>G1029</x:v>
      </x:c>
      <x:c r="B1032" t="str">
        <x:v>Bảng 16</x:v>
      </x:c>
      <x:c r="C1032" t="str">
        <x:v>qbClay</x:v>
      </x:c>
      <x:c r="D1032" t="str">
        <x:v>EXACT</x:v>
      </x:c>
      <x:c r="E1032" t="str">
        <x:v>{"qc":5000}</x:v>
      </x:c>
      <x:c r="F1032" t="str">
        <x:v>EXACT</x:v>
      </x:c>
      <x:c r="G1032"/>
      <x:c r="H1032"/>
      <x:c r="I1032"/>
      <x:c r="J1032"/>
      <x:c r="K1032"/>
      <x:c r="L1032"/>
      <x:c r="M1032" t="n">
        <x:v>900</x:v>
      </x:c>
      <x:c r="N1032"/>
      <x:c r="O1032"/>
      <x:c r="P1032"/>
      <x:c r="Q1032"/>
      <x:c r="R1032"/>
      <x:c r="S1032" t="n">
        <x:v>900</x:v>
      </x:c>
      <x:c r="T1032" t="n">
        <x:v>900</x:v>
      </x:c>
      <x:c r="U1032" s="28" t="n">
        <x:f>T1032</x:f>
        <x:v>900</x:v>
      </x:c>
      <x:c r="V1032" s="32" t="n">
        <x:f>IF(AND(ISNUMBER(S1032),ISNUMBER(U1032)),ABS(S1032-U1032),IF(S1032=U1032,0,1))</x:f>
        <x:v>0</x:v>
      </x:c>
      <x:c r="W1032" s="30" t="str">
        <x:v>PASS</x:v>
      </x:c>
      <x:c r="X1032" s="28" t="str">
        <x:f>IF(V1032&lt;=1E-9,"PASS","FAIL")</x:f>
        <x:v>PASS</x:v>
      </x:c>
      <x:c r="Y1032" t="str">
        <x:v>tr.58</x:v>
      </x:c>
      <x:c r="Z1032" t="str"/>
    </x:row>
    <x:row r="1033">
      <x:c r="A1033" t="str">
        <x:v>G1030</x:v>
      </x:c>
      <x:c r="B1033" t="str">
        <x:v>Bảng 16</x:v>
      </x:c>
      <x:c r="C1033" t="str">
        <x:v>qbClay</x:v>
      </x:c>
      <x:c r="D1033" t="str">
        <x:v>EXACT</x:v>
      </x:c>
      <x:c r="E1033" t="str">
        <x:v>{"qc":7500}</x:v>
      </x:c>
      <x:c r="F1033" t="str">
        <x:v>EXACT</x:v>
      </x:c>
      <x:c r="G1033"/>
      <x:c r="H1033"/>
      <x:c r="I1033"/>
      <x:c r="J1033"/>
      <x:c r="K1033"/>
      <x:c r="L1033"/>
      <x:c r="M1033" t="n">
        <x:v>1200</x:v>
      </x:c>
      <x:c r="N1033"/>
      <x:c r="O1033"/>
      <x:c r="P1033"/>
      <x:c r="Q1033"/>
      <x:c r="R1033"/>
      <x:c r="S1033" t="n">
        <x:v>1200</x:v>
      </x:c>
      <x:c r="T1033" t="n">
        <x:v>1200</x:v>
      </x:c>
      <x:c r="U1033" s="28" t="n">
        <x:f>T1033</x:f>
        <x:v>1200</x:v>
      </x:c>
      <x:c r="V1033" s="32" t="n">
        <x:f>IF(AND(ISNUMBER(S1033),ISNUMBER(U1033)),ABS(S1033-U1033),IF(S1033=U1033,0,1))</x:f>
        <x:v>0</x:v>
      </x:c>
      <x:c r="W1033" s="30" t="str">
        <x:v>PASS</x:v>
      </x:c>
      <x:c r="X1033" s="28" t="str">
        <x:f>IF(V1033&lt;=1E-9,"PASS","FAIL")</x:f>
        <x:v>PASS</x:v>
      </x:c>
      <x:c r="Y1033" t="str">
        <x:v>tr.58</x:v>
      </x:c>
      <x:c r="Z1033" t="str"/>
    </x:row>
    <x:row r="1034">
      <x:c r="A1034" t="str">
        <x:v>G1031</x:v>
      </x:c>
      <x:c r="B1034" t="str">
        <x:v>Bảng 16</x:v>
      </x:c>
      <x:c r="C1034" t="str">
        <x:v>qbClay</x:v>
      </x:c>
      <x:c r="D1034" t="str">
        <x:v>EXACT</x:v>
      </x:c>
      <x:c r="E1034" t="str">
        <x:v>{"qc":10000}</x:v>
      </x:c>
      <x:c r="F1034" t="str">
        <x:v>EXACT</x:v>
      </x:c>
      <x:c r="G1034"/>
      <x:c r="H1034"/>
      <x:c r="I1034"/>
      <x:c r="J1034"/>
      <x:c r="K1034"/>
      <x:c r="L1034"/>
      <x:c r="M1034" t="n">
        <x:v>1400</x:v>
      </x:c>
      <x:c r="N1034"/>
      <x:c r="O1034"/>
      <x:c r="P1034"/>
      <x:c r="Q1034"/>
      <x:c r="R1034"/>
      <x:c r="S1034" t="n">
        <x:v>1400</x:v>
      </x:c>
      <x:c r="T1034" t="n">
        <x:v>1400</x:v>
      </x:c>
      <x:c r="U1034" s="28" t="n">
        <x:f>T1034</x:f>
        <x:v>1400</x:v>
      </x:c>
      <x:c r="V1034" s="32" t="n">
        <x:f>IF(AND(ISNUMBER(S1034),ISNUMBER(U1034)),ABS(S1034-U1034),IF(S1034=U1034,0,1))</x:f>
        <x:v>0</x:v>
      </x:c>
      <x:c r="W1034" s="30" t="str">
        <x:v>PASS</x:v>
      </x:c>
      <x:c r="X1034" s="28" t="str">
        <x:f>IF(V1034&lt;=1E-9,"PASS","FAIL")</x:f>
        <x:v>PASS</x:v>
      </x:c>
      <x:c r="Y1034" t="str">
        <x:v>tr.58</x:v>
      </x:c>
      <x:c r="Z1034" t="str"/>
    </x:row>
    <x:row r="1035">
      <x:c r="A1035" t="str">
        <x:v>G1032</x:v>
      </x:c>
      <x:c r="B1035" t="str">
        <x:v>Bảng 16</x:v>
      </x:c>
      <x:c r="C1035" t="str">
        <x:v>qbClay</x:v>
      </x:c>
      <x:c r="D1035" t="str">
        <x:v>MID</x:v>
      </x:c>
      <x:c r="E1035" t="str">
        <x:v>{"qc":1750}</x:v>
      </x:c>
      <x:c r="F1035" t="str">
        <x:v>LINEAR-1D</x:v>
      </x:c>
      <x:c r="G1035" t="n">
        <x:v>1750</x:v>
      </x:c>
      <x:c r="H1035"/>
      <x:c r="I1035" t="n">
        <x:v>1000</x:v>
      </x:c>
      <x:c r="J1035" t="n">
        <x:v>2500</x:v>
      </x:c>
      <x:c r="K1035"/>
      <x:c r="L1035"/>
      <x:c r="M1035" t="n">
        <x:v>200</x:v>
      </x:c>
      <x:c r="N1035" t="n">
        <x:v>580</x:v>
      </x:c>
      <x:c r="O1035"/>
      <x:c r="P1035"/>
      <x:c r="Q1035"/>
      <x:c r="R1035"/>
      <x:c r="S1035" t="n">
        <x:v>390</x:v>
      </x:c>
      <x:c r="T1035" t="n">
        <x:v>390</x:v>
      </x:c>
      <x:c r="U1035" s="28" t="n">
        <x:f>M1035+(G1035-I1035)*(N1035-M1035)/(J1035-I1035)</x:f>
        <x:v>390</x:v>
      </x:c>
      <x:c r="V1035" s="32" t="n">
        <x:f>IF(AND(ISNUMBER(S1035),ISNUMBER(U1035)),ABS(S1035-U1035),IF(S1035=U1035,0,1))</x:f>
        <x:v>0</x:v>
      </x:c>
      <x:c r="W1035" s="30" t="str">
        <x:v>PASS</x:v>
      </x:c>
      <x:c r="X1035" s="28" t="str">
        <x:f>IF(V1035&lt;=1E-9,"PASS","FAIL")</x:f>
        <x:v>PASS</x:v>
      </x:c>
      <x:c r="Y1035" t="str">
        <x:v>Chú thích 1</x:v>
      </x:c>
      <x:c r="Z1035" t="str"/>
    </x:row>
    <x:row r="1036">
      <x:c r="A1036" t="str">
        <x:v>G1033</x:v>
      </x:c>
      <x:c r="B1036" t="str">
        <x:v>Bảng 16</x:v>
      </x:c>
      <x:c r="C1036" t="str">
        <x:v>qbClay</x:v>
      </x:c>
      <x:c r="D1036" t="str">
        <x:v>MID</x:v>
      </x:c>
      <x:c r="E1036" t="str">
        <x:v>{"qc":3750}</x:v>
      </x:c>
      <x:c r="F1036" t="str">
        <x:v>LINEAR-1D</x:v>
      </x:c>
      <x:c r="G1036" t="n">
        <x:v>3750</x:v>
      </x:c>
      <x:c r="H1036"/>
      <x:c r="I1036" t="n">
        <x:v>2500</x:v>
      </x:c>
      <x:c r="J1036" t="n">
        <x:v>5000</x:v>
      </x:c>
      <x:c r="K1036"/>
      <x:c r="L1036"/>
      <x:c r="M1036" t="n">
        <x:v>580</x:v>
      </x:c>
      <x:c r="N1036" t="n">
        <x:v>900</x:v>
      </x:c>
      <x:c r="O1036"/>
      <x:c r="P1036"/>
      <x:c r="Q1036"/>
      <x:c r="R1036"/>
      <x:c r="S1036" t="n">
        <x:v>740</x:v>
      </x:c>
      <x:c r="T1036" t="n">
        <x:v>740</x:v>
      </x:c>
      <x:c r="U1036" s="28" t="n">
        <x:f>M1036+(G1036-I1036)*(N1036-M1036)/(J1036-I1036)</x:f>
        <x:v>740</x:v>
      </x:c>
      <x:c r="V1036" s="32" t="n">
        <x:f>IF(AND(ISNUMBER(S1036),ISNUMBER(U1036)),ABS(S1036-U1036),IF(S1036=U1036,0,1))</x:f>
        <x:v>0</x:v>
      </x:c>
      <x:c r="W1036" s="30" t="str">
        <x:v>PASS</x:v>
      </x:c>
      <x:c r="X1036" s="28" t="str">
        <x:f>IF(V1036&lt;=1E-9,"PASS","FAIL")</x:f>
        <x:v>PASS</x:v>
      </x:c>
      <x:c r="Y1036" t="str">
        <x:v>Chú thích 1</x:v>
      </x:c>
      <x:c r="Z1036" t="str"/>
    </x:row>
    <x:row r="1037">
      <x:c r="A1037" t="str">
        <x:v>G1034</x:v>
      </x:c>
      <x:c r="B1037" t="str">
        <x:v>Bảng 16</x:v>
      </x:c>
      <x:c r="C1037" t="str">
        <x:v>qbClay</x:v>
      </x:c>
      <x:c r="D1037" t="str">
        <x:v>MID</x:v>
      </x:c>
      <x:c r="E1037" t="str">
        <x:v>{"qc":6250}</x:v>
      </x:c>
      <x:c r="F1037" t="str">
        <x:v>LINEAR-1D</x:v>
      </x:c>
      <x:c r="G1037" t="n">
        <x:v>6250</x:v>
      </x:c>
      <x:c r="H1037"/>
      <x:c r="I1037" t="n">
        <x:v>5000</x:v>
      </x:c>
      <x:c r="J1037" t="n">
        <x:v>7500</x:v>
      </x:c>
      <x:c r="K1037"/>
      <x:c r="L1037"/>
      <x:c r="M1037" t="n">
        <x:v>900</x:v>
      </x:c>
      <x:c r="N1037" t="n">
        <x:v>1200</x:v>
      </x:c>
      <x:c r="O1037"/>
      <x:c r="P1037"/>
      <x:c r="Q1037"/>
      <x:c r="R1037"/>
      <x:c r="S1037" t="n">
        <x:v>1050</x:v>
      </x:c>
      <x:c r="T1037" t="n">
        <x:v>1050</x:v>
      </x:c>
      <x:c r="U1037" s="28" t="n">
        <x:f>M1037+(G1037-I1037)*(N1037-M1037)/(J1037-I1037)</x:f>
        <x:v>1050</x:v>
      </x:c>
      <x:c r="V1037" s="32" t="n">
        <x:f>IF(AND(ISNUMBER(S1037),ISNUMBER(U1037)),ABS(S1037-U1037),IF(S1037=U1037,0,1))</x:f>
        <x:v>0</x:v>
      </x:c>
      <x:c r="W1037" s="30" t="str">
        <x:v>PASS</x:v>
      </x:c>
      <x:c r="X1037" s="28" t="str">
        <x:f>IF(V1037&lt;=1E-9,"PASS","FAIL")</x:f>
        <x:v>PASS</x:v>
      </x:c>
      <x:c r="Y1037" t="str">
        <x:v>Chú thích 1</x:v>
      </x:c>
      <x:c r="Z1037" t="str"/>
    </x:row>
    <x:row r="1038">
      <x:c r="A1038" t="str">
        <x:v>G1035</x:v>
      </x:c>
      <x:c r="B1038" t="str">
        <x:v>Bảng 16</x:v>
      </x:c>
      <x:c r="C1038" t="str">
        <x:v>qbClay</x:v>
      </x:c>
      <x:c r="D1038" t="str">
        <x:v>MID</x:v>
      </x:c>
      <x:c r="E1038" t="str">
        <x:v>{"qc":8750}</x:v>
      </x:c>
      <x:c r="F1038" t="str">
        <x:v>LINEAR-1D</x:v>
      </x:c>
      <x:c r="G1038" t="n">
        <x:v>8750</x:v>
      </x:c>
      <x:c r="H1038"/>
      <x:c r="I1038" t="n">
        <x:v>7500</x:v>
      </x:c>
      <x:c r="J1038" t="n">
        <x:v>10000</x:v>
      </x:c>
      <x:c r="K1038"/>
      <x:c r="L1038"/>
      <x:c r="M1038" t="n">
        <x:v>1200</x:v>
      </x:c>
      <x:c r="N1038" t="n">
        <x:v>1400</x:v>
      </x:c>
      <x:c r="O1038"/>
      <x:c r="P1038"/>
      <x:c r="Q1038"/>
      <x:c r="R1038"/>
      <x:c r="S1038" t="n">
        <x:v>1300</x:v>
      </x:c>
      <x:c r="T1038" t="n">
        <x:v>1300</x:v>
      </x:c>
      <x:c r="U1038" s="28" t="n">
        <x:f>M1038+(G1038-I1038)*(N1038-M1038)/(J1038-I1038)</x:f>
        <x:v>1300</x:v>
      </x:c>
      <x:c r="V1038" s="32" t="n">
        <x:f>IF(AND(ISNUMBER(S1038),ISNUMBER(U1038)),ABS(S1038-U1038),IF(S1038=U1038,0,1))</x:f>
        <x:v>0</x:v>
      </x:c>
      <x:c r="W1038" s="30" t="str">
        <x:v>PASS</x:v>
      </x:c>
      <x:c r="X1038" s="28" t="str">
        <x:f>IF(V1038&lt;=1E-9,"PASS","FAIL")</x:f>
        <x:v>PASS</x:v>
      </x:c>
      <x:c r="Y1038" t="str">
        <x:v>Chú thích 1</x:v>
      </x:c>
      <x:c r="Z1038" t="str"/>
    </x:row>
    <x:row r="1039">
      <x:c r="A1039" t="str">
        <x:v>G1036</x:v>
      </x:c>
      <x:c r="B1039" t="str">
        <x:v>Bảng 16</x:v>
      </x:c>
      <x:c r="C1039" t="str">
        <x:v>fiSand</x:v>
      </x:c>
      <x:c r="D1039" t="str">
        <x:v>EXACT</x:v>
      </x:c>
      <x:c r="E1039" t="str">
        <x:v>{"qc":5000}</x:v>
      </x:c>
      <x:c r="F1039" t="str">
        <x:v>EXACT</x:v>
      </x:c>
      <x:c r="G1039"/>
      <x:c r="H1039"/>
      <x:c r="I1039"/>
      <x:c r="J1039"/>
      <x:c r="K1039"/>
      <x:c r="L1039"/>
      <x:c r="M1039" t="n">
        <x:v>30</x:v>
      </x:c>
      <x:c r="N1039"/>
      <x:c r="O1039"/>
      <x:c r="P1039"/>
      <x:c r="Q1039"/>
      <x:c r="R1039"/>
      <x:c r="S1039" t="n">
        <x:v>30</x:v>
      </x:c>
      <x:c r="T1039" t="n">
        <x:v>30</x:v>
      </x:c>
      <x:c r="U1039" s="28" t="n">
        <x:f>T1039</x:f>
        <x:v>30</x:v>
      </x:c>
      <x:c r="V1039" s="32" t="n">
        <x:f>IF(AND(ISNUMBER(S1039),ISNUMBER(U1039)),ABS(S1039-U1039),IF(S1039=U1039,0,1))</x:f>
        <x:v>0</x:v>
      </x:c>
      <x:c r="W1039" s="30" t="str">
        <x:v>PASS</x:v>
      </x:c>
      <x:c r="X1039" s="28" t="str">
        <x:f>IF(V1039&lt;=1E-9,"PASS","FAIL")</x:f>
        <x:v>PASS</x:v>
      </x:c>
      <x:c r="Y1039" t="str">
        <x:v>tr.58</x:v>
      </x:c>
      <x:c r="Z1039" t="str"/>
    </x:row>
    <x:row r="1040">
      <x:c r="A1040" t="str">
        <x:v>G1037</x:v>
      </x:c>
      <x:c r="B1040" t="str">
        <x:v>Bảng 16</x:v>
      </x:c>
      <x:c r="C1040" t="str">
        <x:v>fiSand</x:v>
      </x:c>
      <x:c r="D1040" t="str">
        <x:v>EXACT</x:v>
      </x:c>
      <x:c r="E1040" t="str">
        <x:v>{"qc":7500}</x:v>
      </x:c>
      <x:c r="F1040" t="str">
        <x:v>EXACT</x:v>
      </x:c>
      <x:c r="G1040"/>
      <x:c r="H1040"/>
      <x:c r="I1040"/>
      <x:c r="J1040"/>
      <x:c r="K1040"/>
      <x:c r="L1040"/>
      <x:c r="M1040" t="n">
        <x:v>40</x:v>
      </x:c>
      <x:c r="N1040"/>
      <x:c r="O1040"/>
      <x:c r="P1040"/>
      <x:c r="Q1040"/>
      <x:c r="R1040"/>
      <x:c r="S1040" t="n">
        <x:v>40</x:v>
      </x:c>
      <x:c r="T1040" t="n">
        <x:v>40</x:v>
      </x:c>
      <x:c r="U1040" s="28" t="n">
        <x:f>T1040</x:f>
        <x:v>40</x:v>
      </x:c>
      <x:c r="V1040" s="32" t="n">
        <x:f>IF(AND(ISNUMBER(S1040),ISNUMBER(U1040)),ABS(S1040-U1040),IF(S1040=U1040,0,1))</x:f>
        <x:v>0</x:v>
      </x:c>
      <x:c r="W1040" s="30" t="str">
        <x:v>PASS</x:v>
      </x:c>
      <x:c r="X1040" s="28" t="str">
        <x:f>IF(V1040&lt;=1E-9,"PASS","FAIL")</x:f>
        <x:v>PASS</x:v>
      </x:c>
      <x:c r="Y1040" t="str">
        <x:v>tr.58</x:v>
      </x:c>
      <x:c r="Z1040" t="str"/>
    </x:row>
    <x:row r="1041">
      <x:c r="A1041" t="str">
        <x:v>G1038</x:v>
      </x:c>
      <x:c r="B1041" t="str">
        <x:v>Bảng 16</x:v>
      </x:c>
      <x:c r="C1041" t="str">
        <x:v>fiSand</x:v>
      </x:c>
      <x:c r="D1041" t="str">
        <x:v>EXACT</x:v>
      </x:c>
      <x:c r="E1041" t="str">
        <x:v>{"qc":10000}</x:v>
      </x:c>
      <x:c r="F1041" t="str">
        <x:v>EXACT</x:v>
      </x:c>
      <x:c r="G1041"/>
      <x:c r="H1041"/>
      <x:c r="I1041"/>
      <x:c r="J1041"/>
      <x:c r="K1041"/>
      <x:c r="L1041"/>
      <x:c r="M1041" t="n">
        <x:v>50</x:v>
      </x:c>
      <x:c r="N1041"/>
      <x:c r="O1041"/>
      <x:c r="P1041"/>
      <x:c r="Q1041"/>
      <x:c r="R1041"/>
      <x:c r="S1041" t="n">
        <x:v>50</x:v>
      </x:c>
      <x:c r="T1041" t="n">
        <x:v>50</x:v>
      </x:c>
      <x:c r="U1041" s="28" t="n">
        <x:f>T1041</x:f>
        <x:v>50</x:v>
      </x:c>
      <x:c r="V1041" s="32" t="n">
        <x:f>IF(AND(ISNUMBER(S1041),ISNUMBER(U1041)),ABS(S1041-U1041),IF(S1041=U1041,0,1))</x:f>
        <x:v>0</x:v>
      </x:c>
      <x:c r="W1041" s="30" t="str">
        <x:v>PASS</x:v>
      </x:c>
      <x:c r="X1041" s="28" t="str">
        <x:f>IF(V1041&lt;=1E-9,"PASS","FAIL")</x:f>
        <x:v>PASS</x:v>
      </x:c>
      <x:c r="Y1041" t="str">
        <x:v>tr.58</x:v>
      </x:c>
      <x:c r="Z1041" t="str"/>
    </x:row>
    <x:row r="1042">
      <x:c r="A1042" t="str">
        <x:v>G1039</x:v>
      </x:c>
      <x:c r="B1042" t="str">
        <x:v>Bảng 16</x:v>
      </x:c>
      <x:c r="C1042" t="str">
        <x:v>fiSand</x:v>
      </x:c>
      <x:c r="D1042" t="str">
        <x:v>EXACT</x:v>
      </x:c>
      <x:c r="E1042" t="str">
        <x:v>{"qc":12000}</x:v>
      </x:c>
      <x:c r="F1042" t="str">
        <x:v>EXACT</x:v>
      </x:c>
      <x:c r="G1042"/>
      <x:c r="H1042"/>
      <x:c r="I1042"/>
      <x:c r="J1042"/>
      <x:c r="K1042"/>
      <x:c r="L1042"/>
      <x:c r="M1042" t="n">
        <x:v>60</x:v>
      </x:c>
      <x:c r="N1042"/>
      <x:c r="O1042"/>
      <x:c r="P1042"/>
      <x:c r="Q1042"/>
      <x:c r="R1042"/>
      <x:c r="S1042" t="n">
        <x:v>60</x:v>
      </x:c>
      <x:c r="T1042" t="n">
        <x:v>60</x:v>
      </x:c>
      <x:c r="U1042" s="28" t="n">
        <x:f>T1042</x:f>
        <x:v>60</x:v>
      </x:c>
      <x:c r="V1042" s="32" t="n">
        <x:f>IF(AND(ISNUMBER(S1042),ISNUMBER(U1042)),ABS(S1042-U1042),IF(S1042=U1042,0,1))</x:f>
        <x:v>0</x:v>
      </x:c>
      <x:c r="W1042" s="30" t="str">
        <x:v>PASS</x:v>
      </x:c>
      <x:c r="X1042" s="28" t="str">
        <x:f>IF(V1042&lt;=1E-9,"PASS","FAIL")</x:f>
        <x:v>PASS</x:v>
      </x:c>
      <x:c r="Y1042" t="str">
        <x:v>tr.58</x:v>
      </x:c>
      <x:c r="Z1042" t="str"/>
    </x:row>
    <x:row r="1043">
      <x:c r="A1043" t="str">
        <x:v>G1040</x:v>
      </x:c>
      <x:c r="B1043" t="str">
        <x:v>Bảng 16</x:v>
      </x:c>
      <x:c r="C1043" t="str">
        <x:v>fiSand</x:v>
      </x:c>
      <x:c r="D1043" t="str">
        <x:v>EXACT</x:v>
      </x:c>
      <x:c r="E1043" t="str">
        <x:v>{"qc":15000}</x:v>
      </x:c>
      <x:c r="F1043" t="str">
        <x:v>EXACT</x:v>
      </x:c>
      <x:c r="G1043"/>
      <x:c r="H1043"/>
      <x:c r="I1043"/>
      <x:c r="J1043"/>
      <x:c r="K1043"/>
      <x:c r="L1043"/>
      <x:c r="M1043" t="n">
        <x:v>70</x:v>
      </x:c>
      <x:c r="N1043"/>
      <x:c r="O1043"/>
      <x:c r="P1043"/>
      <x:c r="Q1043"/>
      <x:c r="R1043"/>
      <x:c r="S1043" t="n">
        <x:v>70</x:v>
      </x:c>
      <x:c r="T1043" t="n">
        <x:v>70</x:v>
      </x:c>
      <x:c r="U1043" s="28" t="n">
        <x:f>T1043</x:f>
        <x:v>70</x:v>
      </x:c>
      <x:c r="V1043" s="32" t="n">
        <x:f>IF(AND(ISNUMBER(S1043),ISNUMBER(U1043)),ABS(S1043-U1043),IF(S1043=U1043,0,1))</x:f>
        <x:v>0</x:v>
      </x:c>
      <x:c r="W1043" s="30" t="str">
        <x:v>PASS</x:v>
      </x:c>
      <x:c r="X1043" s="28" t="str">
        <x:f>IF(V1043&lt;=1E-9,"PASS","FAIL")</x:f>
        <x:v>PASS</x:v>
      </x:c>
      <x:c r="Y1043" t="str">
        <x:v>tr.58</x:v>
      </x:c>
      <x:c r="Z1043" t="str"/>
    </x:row>
    <x:row r="1044">
      <x:c r="A1044" t="str">
        <x:v>G1041</x:v>
      </x:c>
      <x:c r="B1044" t="str">
        <x:v>Bảng 16</x:v>
      </x:c>
      <x:c r="C1044" t="str">
        <x:v>fiSand</x:v>
      </x:c>
      <x:c r="D1044" t="str">
        <x:v>EXACT</x:v>
      </x:c>
      <x:c r="E1044" t="str">
        <x:v>{"qc":20000}</x:v>
      </x:c>
      <x:c r="F1044" t="str">
        <x:v>EXACT</x:v>
      </x:c>
      <x:c r="G1044"/>
      <x:c r="H1044"/>
      <x:c r="I1044"/>
      <x:c r="J1044"/>
      <x:c r="K1044"/>
      <x:c r="L1044"/>
      <x:c r="M1044" t="n">
        <x:v>70</x:v>
      </x:c>
      <x:c r="N1044"/>
      <x:c r="O1044"/>
      <x:c r="P1044"/>
      <x:c r="Q1044"/>
      <x:c r="R1044"/>
      <x:c r="S1044" t="n">
        <x:v>70</x:v>
      </x:c>
      <x:c r="T1044" t="n">
        <x:v>70</x:v>
      </x:c>
      <x:c r="U1044" s="28" t="n">
        <x:f>T1044</x:f>
        <x:v>70</x:v>
      </x:c>
      <x:c r="V1044" s="32" t="n">
        <x:f>IF(AND(ISNUMBER(S1044),ISNUMBER(U1044)),ABS(S1044-U1044),IF(S1044=U1044,0,1))</x:f>
        <x:v>0</x:v>
      </x:c>
      <x:c r="W1044" s="30" t="str">
        <x:v>PASS</x:v>
      </x:c>
      <x:c r="X1044" s="28" t="str">
        <x:f>IF(V1044&lt;=1E-9,"PASS","FAIL")</x:f>
        <x:v>PASS</x:v>
      </x:c>
      <x:c r="Y1044" t="str">
        <x:v>tr.58</x:v>
      </x:c>
      <x:c r="Z1044" t="str"/>
    </x:row>
    <x:row r="1045">
      <x:c r="A1045" t="str">
        <x:v>G1042</x:v>
      </x:c>
      <x:c r="B1045" t="str">
        <x:v>Bảng 16</x:v>
      </x:c>
      <x:c r="C1045" t="str">
        <x:v>fiSand</x:v>
      </x:c>
      <x:c r="D1045" t="str">
        <x:v>MID</x:v>
      </x:c>
      <x:c r="E1045" t="str">
        <x:v>{"qc":6250}</x:v>
      </x:c>
      <x:c r="F1045" t="str">
        <x:v>LINEAR-1D</x:v>
      </x:c>
      <x:c r="G1045" t="n">
        <x:v>6250</x:v>
      </x:c>
      <x:c r="H1045"/>
      <x:c r="I1045" t="n">
        <x:v>5000</x:v>
      </x:c>
      <x:c r="J1045" t="n">
        <x:v>7500</x:v>
      </x:c>
      <x:c r="K1045"/>
      <x:c r="L1045"/>
      <x:c r="M1045" t="n">
        <x:v>30</x:v>
      </x:c>
      <x:c r="N1045" t="n">
        <x:v>40</x:v>
      </x:c>
      <x:c r="O1045"/>
      <x:c r="P1045"/>
      <x:c r="Q1045"/>
      <x:c r="R1045"/>
      <x:c r="S1045" t="n">
        <x:v>35</x:v>
      </x:c>
      <x:c r="T1045" t="n">
        <x:v>35</x:v>
      </x:c>
      <x:c r="U1045" s="28" t="n">
        <x:f>M1045+(G1045-I1045)*(N1045-M1045)/(J1045-I1045)</x:f>
        <x:v>35</x:v>
      </x:c>
      <x:c r="V1045" s="32" t="n">
        <x:f>IF(AND(ISNUMBER(S1045),ISNUMBER(U1045)),ABS(S1045-U1045),IF(S1045=U1045,0,1))</x:f>
        <x:v>0</x:v>
      </x:c>
      <x:c r="W1045" s="30" t="str">
        <x:v>PASS</x:v>
      </x:c>
      <x:c r="X1045" s="28" t="str">
        <x:f>IF(V1045&lt;=1E-9,"PASS","FAIL")</x:f>
        <x:v>PASS</x:v>
      </x:c>
      <x:c r="Y1045" t="str">
        <x:v>Chú thích 1</x:v>
      </x:c>
      <x:c r="Z1045" t="str"/>
    </x:row>
    <x:row r="1046">
      <x:c r="A1046" t="str">
        <x:v>G1043</x:v>
      </x:c>
      <x:c r="B1046" t="str">
        <x:v>Bảng 16</x:v>
      </x:c>
      <x:c r="C1046" t="str">
        <x:v>fiSand</x:v>
      </x:c>
      <x:c r="D1046" t="str">
        <x:v>MID</x:v>
      </x:c>
      <x:c r="E1046" t="str">
        <x:v>{"qc":8750}</x:v>
      </x:c>
      <x:c r="F1046" t="str">
        <x:v>LINEAR-1D</x:v>
      </x:c>
      <x:c r="G1046" t="n">
        <x:v>8750</x:v>
      </x:c>
      <x:c r="H1046"/>
      <x:c r="I1046" t="n">
        <x:v>7500</x:v>
      </x:c>
      <x:c r="J1046" t="n">
        <x:v>10000</x:v>
      </x:c>
      <x:c r="K1046"/>
      <x:c r="L1046"/>
      <x:c r="M1046" t="n">
        <x:v>40</x:v>
      </x:c>
      <x:c r="N1046" t="n">
        <x:v>50</x:v>
      </x:c>
      <x:c r="O1046"/>
      <x:c r="P1046"/>
      <x:c r="Q1046"/>
      <x:c r="R1046"/>
      <x:c r="S1046" t="n">
        <x:v>45</x:v>
      </x:c>
      <x:c r="T1046" t="n">
        <x:v>45</x:v>
      </x:c>
      <x:c r="U1046" s="28" t="n">
        <x:f>M1046+(G1046-I1046)*(N1046-M1046)/(J1046-I1046)</x:f>
        <x:v>45</x:v>
      </x:c>
      <x:c r="V1046" s="32" t="n">
        <x:f>IF(AND(ISNUMBER(S1046),ISNUMBER(U1046)),ABS(S1046-U1046),IF(S1046=U1046,0,1))</x:f>
        <x:v>0</x:v>
      </x:c>
      <x:c r="W1046" s="30" t="str">
        <x:v>PASS</x:v>
      </x:c>
      <x:c r="X1046" s="28" t="str">
        <x:f>IF(V1046&lt;=1E-9,"PASS","FAIL")</x:f>
        <x:v>PASS</x:v>
      </x:c>
      <x:c r="Y1046" t="str">
        <x:v>Chú thích 1</x:v>
      </x:c>
      <x:c r="Z1046" t="str"/>
    </x:row>
    <x:row r="1047">
      <x:c r="A1047" t="str">
        <x:v>G1044</x:v>
      </x:c>
      <x:c r="B1047" t="str">
        <x:v>Bảng 16</x:v>
      </x:c>
      <x:c r="C1047" t="str">
        <x:v>fiSand</x:v>
      </x:c>
      <x:c r="D1047" t="str">
        <x:v>MID</x:v>
      </x:c>
      <x:c r="E1047" t="str">
        <x:v>{"qc":11000}</x:v>
      </x:c>
      <x:c r="F1047" t="str">
        <x:v>LINEAR-1D</x:v>
      </x:c>
      <x:c r="G1047" t="n">
        <x:v>11000</x:v>
      </x:c>
      <x:c r="H1047"/>
      <x:c r="I1047" t="n">
        <x:v>10000</x:v>
      </x:c>
      <x:c r="J1047" t="n">
        <x:v>12000</x:v>
      </x:c>
      <x:c r="K1047"/>
      <x:c r="L1047"/>
      <x:c r="M1047" t="n">
        <x:v>50</x:v>
      </x:c>
      <x:c r="N1047" t="n">
        <x:v>60</x:v>
      </x:c>
      <x:c r="O1047"/>
      <x:c r="P1047"/>
      <x:c r="Q1047"/>
      <x:c r="R1047"/>
      <x:c r="S1047" t="n">
        <x:v>55</x:v>
      </x:c>
      <x:c r="T1047" t="n">
        <x:v>55</x:v>
      </x:c>
      <x:c r="U1047" s="28" t="n">
        <x:f>M1047+(G1047-I1047)*(N1047-M1047)/(J1047-I1047)</x:f>
        <x:v>55</x:v>
      </x:c>
      <x:c r="V1047" s="32" t="n">
        <x:f>IF(AND(ISNUMBER(S1047),ISNUMBER(U1047)),ABS(S1047-U1047),IF(S1047=U1047,0,1))</x:f>
        <x:v>0</x:v>
      </x:c>
      <x:c r="W1047" s="30" t="str">
        <x:v>PASS</x:v>
      </x:c>
      <x:c r="X1047" s="28" t="str">
        <x:f>IF(V1047&lt;=1E-9,"PASS","FAIL")</x:f>
        <x:v>PASS</x:v>
      </x:c>
      <x:c r="Y1047" t="str">
        <x:v>Chú thích 1</x:v>
      </x:c>
      <x:c r="Z1047" t="str"/>
    </x:row>
    <x:row r="1048">
      <x:c r="A1048" t="str">
        <x:v>G1045</x:v>
      </x:c>
      <x:c r="B1048" t="str">
        <x:v>Bảng 16</x:v>
      </x:c>
      <x:c r="C1048" t="str">
        <x:v>fiSand</x:v>
      </x:c>
      <x:c r="D1048" t="str">
        <x:v>MID</x:v>
      </x:c>
      <x:c r="E1048" t="str">
        <x:v>{"qc":13500}</x:v>
      </x:c>
      <x:c r="F1048" t="str">
        <x:v>LINEAR-1D</x:v>
      </x:c>
      <x:c r="G1048" t="n">
        <x:v>13500</x:v>
      </x:c>
      <x:c r="H1048"/>
      <x:c r="I1048" t="n">
        <x:v>12000</x:v>
      </x:c>
      <x:c r="J1048" t="n">
        <x:v>15000</x:v>
      </x:c>
      <x:c r="K1048"/>
      <x:c r="L1048"/>
      <x:c r="M1048" t="n">
        <x:v>60</x:v>
      </x:c>
      <x:c r="N1048" t="n">
        <x:v>70</x:v>
      </x:c>
      <x:c r="O1048"/>
      <x:c r="P1048"/>
      <x:c r="Q1048"/>
      <x:c r="R1048"/>
      <x:c r="S1048" t="n">
        <x:v>65</x:v>
      </x:c>
      <x:c r="T1048" t="n">
        <x:v>65</x:v>
      </x:c>
      <x:c r="U1048" s="28" t="n">
        <x:f>M1048+(G1048-I1048)*(N1048-M1048)/(J1048-I1048)</x:f>
        <x:v>65</x:v>
      </x:c>
      <x:c r="V1048" s="32" t="n">
        <x:f>IF(AND(ISNUMBER(S1048),ISNUMBER(U1048)),ABS(S1048-U1048),IF(S1048=U1048,0,1))</x:f>
        <x:v>0</x:v>
      </x:c>
      <x:c r="W1048" s="30" t="str">
        <x:v>PASS</x:v>
      </x:c>
      <x:c r="X1048" s="28" t="str">
        <x:f>IF(V1048&lt;=1E-9,"PASS","FAIL")</x:f>
        <x:v>PASS</x:v>
      </x:c>
      <x:c r="Y1048" t="str">
        <x:v>Chú thích 1</x:v>
      </x:c>
      <x:c r="Z1048" t="str"/>
    </x:row>
    <x:row r="1049">
      <x:c r="A1049" t="str">
        <x:v>G1046</x:v>
      </x:c>
      <x:c r="B1049" t="str">
        <x:v>Bảng 16</x:v>
      </x:c>
      <x:c r="C1049" t="str">
        <x:v>fiSand</x:v>
      </x:c>
      <x:c r="D1049" t="str">
        <x:v>MID</x:v>
      </x:c>
      <x:c r="E1049" t="str">
        <x:v>{"qc":17500}</x:v>
      </x:c>
      <x:c r="F1049" t="str">
        <x:v>LINEAR-1D</x:v>
      </x:c>
      <x:c r="G1049" t="n">
        <x:v>17500</x:v>
      </x:c>
      <x:c r="H1049"/>
      <x:c r="I1049" t="n">
        <x:v>15000</x:v>
      </x:c>
      <x:c r="J1049" t="n">
        <x:v>20000</x:v>
      </x:c>
      <x:c r="K1049"/>
      <x:c r="L1049"/>
      <x:c r="M1049" t="n">
        <x:v>70</x:v>
      </x:c>
      <x:c r="N1049" t="n">
        <x:v>70</x:v>
      </x:c>
      <x:c r="O1049"/>
      <x:c r="P1049"/>
      <x:c r="Q1049"/>
      <x:c r="R1049"/>
      <x:c r="S1049" t="n">
        <x:v>70</x:v>
      </x:c>
      <x:c r="T1049" t="n">
        <x:v>70</x:v>
      </x:c>
      <x:c r="U1049" s="28" t="n">
        <x:f>M1049+(G1049-I1049)*(N1049-M1049)/(J1049-I1049)</x:f>
        <x:v>70</x:v>
      </x:c>
      <x:c r="V1049" s="32" t="n">
        <x:f>IF(AND(ISNUMBER(S1049),ISNUMBER(U1049)),ABS(S1049-U1049),IF(S1049=U1049,0,1))</x:f>
        <x:v>0</x:v>
      </x:c>
      <x:c r="W1049" s="30" t="str">
        <x:v>PASS</x:v>
      </x:c>
      <x:c r="X1049" s="28" t="str">
        <x:f>IF(V1049&lt;=1E-9,"PASS","FAIL")</x:f>
        <x:v>PASS</x:v>
      </x:c>
      <x:c r="Y1049" t="str">
        <x:v>Chú thích 1</x:v>
      </x:c>
      <x:c r="Z1049" t="str"/>
    </x:row>
    <x:row r="1050">
      <x:c r="A1050" t="str">
        <x:v>G1047</x:v>
      </x:c>
      <x:c r="B1050" t="str">
        <x:v>Bảng 16</x:v>
      </x:c>
      <x:c r="C1050" t="str">
        <x:v>fiClay</x:v>
      </x:c>
      <x:c r="D1050" t="str">
        <x:v>EXACT</x:v>
      </x:c>
      <x:c r="E1050" t="str">
        <x:v>{"qc":1000}</x:v>
      </x:c>
      <x:c r="F1050" t="str">
        <x:v>EXACT</x:v>
      </x:c>
      <x:c r="G1050"/>
      <x:c r="H1050"/>
      <x:c r="I1050"/>
      <x:c r="J1050"/>
      <x:c r="K1050"/>
      <x:c r="L1050"/>
      <x:c r="M1050" t="n">
        <x:v>15</x:v>
      </x:c>
      <x:c r="N1050"/>
      <x:c r="O1050"/>
      <x:c r="P1050"/>
      <x:c r="Q1050"/>
      <x:c r="R1050"/>
      <x:c r="S1050" t="n">
        <x:v>15</x:v>
      </x:c>
      <x:c r="T1050" t="n">
        <x:v>15</x:v>
      </x:c>
      <x:c r="U1050" s="28" t="n">
        <x:f>T1050</x:f>
        <x:v>15</x:v>
      </x:c>
      <x:c r="V1050" s="32" t="n">
        <x:f>IF(AND(ISNUMBER(S1050),ISNUMBER(U1050)),ABS(S1050-U1050),IF(S1050=U1050,0,1))</x:f>
        <x:v>0</x:v>
      </x:c>
      <x:c r="W1050" s="30" t="str">
        <x:v>PASS</x:v>
      </x:c>
      <x:c r="X1050" s="28" t="str">
        <x:f>IF(V1050&lt;=1E-9,"PASS","FAIL")</x:f>
        <x:v>PASS</x:v>
      </x:c>
      <x:c r="Y1050" t="str">
        <x:v>tr.58</x:v>
      </x:c>
      <x:c r="Z1050" t="str"/>
    </x:row>
    <x:row r="1051">
      <x:c r="A1051" t="str">
        <x:v>G1048</x:v>
      </x:c>
      <x:c r="B1051" t="str">
        <x:v>Bảng 16</x:v>
      </x:c>
      <x:c r="C1051" t="str">
        <x:v>fiClay</x:v>
      </x:c>
      <x:c r="D1051" t="str">
        <x:v>EXACT</x:v>
      </x:c>
      <x:c r="E1051" t="str">
        <x:v>{"qc":2500}</x:v>
      </x:c>
      <x:c r="F1051" t="str">
        <x:v>EXACT</x:v>
      </x:c>
      <x:c r="G1051"/>
      <x:c r="H1051"/>
      <x:c r="I1051"/>
      <x:c r="J1051"/>
      <x:c r="K1051"/>
      <x:c r="L1051"/>
      <x:c r="M1051" t="n">
        <x:v>25</x:v>
      </x:c>
      <x:c r="N1051"/>
      <x:c r="O1051"/>
      <x:c r="P1051"/>
      <x:c r="Q1051"/>
      <x:c r="R1051"/>
      <x:c r="S1051" t="n">
        <x:v>25</x:v>
      </x:c>
      <x:c r="T1051" t="n">
        <x:v>25</x:v>
      </x:c>
      <x:c r="U1051" s="28" t="n">
        <x:f>T1051</x:f>
        <x:v>25</x:v>
      </x:c>
      <x:c r="V1051" s="32" t="n">
        <x:f>IF(AND(ISNUMBER(S1051),ISNUMBER(U1051)),ABS(S1051-U1051),IF(S1051=U1051,0,1))</x:f>
        <x:v>0</x:v>
      </x:c>
      <x:c r="W1051" s="30" t="str">
        <x:v>PASS</x:v>
      </x:c>
      <x:c r="X1051" s="28" t="str">
        <x:f>IF(V1051&lt;=1E-9,"PASS","FAIL")</x:f>
        <x:v>PASS</x:v>
      </x:c>
      <x:c r="Y1051" t="str">
        <x:v>tr.58</x:v>
      </x:c>
      <x:c r="Z1051" t="str"/>
    </x:row>
    <x:row r="1052">
      <x:c r="A1052" t="str">
        <x:v>G1049</x:v>
      </x:c>
      <x:c r="B1052" t="str">
        <x:v>Bảng 16</x:v>
      </x:c>
      <x:c r="C1052" t="str">
        <x:v>fiClay</x:v>
      </x:c>
      <x:c r="D1052" t="str">
        <x:v>EXACT</x:v>
      </x:c>
      <x:c r="E1052" t="str">
        <x:v>{"qc":5000}</x:v>
      </x:c>
      <x:c r="F1052" t="str">
        <x:v>EXACT</x:v>
      </x:c>
      <x:c r="G1052"/>
      <x:c r="H1052"/>
      <x:c r="I1052"/>
      <x:c r="J1052"/>
      <x:c r="K1052"/>
      <x:c r="L1052"/>
      <x:c r="M1052" t="n">
        <x:v>35</x:v>
      </x:c>
      <x:c r="N1052"/>
      <x:c r="O1052"/>
      <x:c r="P1052"/>
      <x:c r="Q1052"/>
      <x:c r="R1052"/>
      <x:c r="S1052" t="n">
        <x:v>35</x:v>
      </x:c>
      <x:c r="T1052" t="n">
        <x:v>35</x:v>
      </x:c>
      <x:c r="U1052" s="28" t="n">
        <x:f>T1052</x:f>
        <x:v>35</x:v>
      </x:c>
      <x:c r="V1052" s="32" t="n">
        <x:f>IF(AND(ISNUMBER(S1052),ISNUMBER(U1052)),ABS(S1052-U1052),IF(S1052=U1052,0,1))</x:f>
        <x:v>0</x:v>
      </x:c>
      <x:c r="W1052" s="30" t="str">
        <x:v>PASS</x:v>
      </x:c>
      <x:c r="X1052" s="28" t="str">
        <x:f>IF(V1052&lt;=1E-9,"PASS","FAIL")</x:f>
        <x:v>PASS</x:v>
      </x:c>
      <x:c r="Y1052" t="str">
        <x:v>tr.58</x:v>
      </x:c>
      <x:c r="Z1052" t="str"/>
    </x:row>
    <x:row r="1053">
      <x:c r="A1053" t="str">
        <x:v>G1050</x:v>
      </x:c>
      <x:c r="B1053" t="str">
        <x:v>Bảng 16</x:v>
      </x:c>
      <x:c r="C1053" t="str">
        <x:v>fiClay</x:v>
      </x:c>
      <x:c r="D1053" t="str">
        <x:v>EXACT</x:v>
      </x:c>
      <x:c r="E1053" t="str">
        <x:v>{"qc":7500}</x:v>
      </x:c>
      <x:c r="F1053" t="str">
        <x:v>EXACT</x:v>
      </x:c>
      <x:c r="G1053"/>
      <x:c r="H1053"/>
      <x:c r="I1053"/>
      <x:c r="J1053"/>
      <x:c r="K1053"/>
      <x:c r="L1053"/>
      <x:c r="M1053" t="n">
        <x:v>45</x:v>
      </x:c>
      <x:c r="N1053"/>
      <x:c r="O1053"/>
      <x:c r="P1053"/>
      <x:c r="Q1053"/>
      <x:c r="R1053"/>
      <x:c r="S1053" t="n">
        <x:v>45</x:v>
      </x:c>
      <x:c r="T1053" t="n">
        <x:v>45</x:v>
      </x:c>
      <x:c r="U1053" s="28" t="n">
        <x:f>T1053</x:f>
        <x:v>45</x:v>
      </x:c>
      <x:c r="V1053" s="32" t="n">
        <x:f>IF(AND(ISNUMBER(S1053),ISNUMBER(U1053)),ABS(S1053-U1053),IF(S1053=U1053,0,1))</x:f>
        <x:v>0</x:v>
      </x:c>
      <x:c r="W1053" s="30" t="str">
        <x:v>PASS</x:v>
      </x:c>
      <x:c r="X1053" s="28" t="str">
        <x:f>IF(V1053&lt;=1E-9,"PASS","FAIL")</x:f>
        <x:v>PASS</x:v>
      </x:c>
      <x:c r="Y1053" t="str">
        <x:v>tr.58</x:v>
      </x:c>
      <x:c r="Z1053" t="str"/>
    </x:row>
    <x:row r="1054">
      <x:c r="A1054" t="str">
        <x:v>G1051</x:v>
      </x:c>
      <x:c r="B1054" t="str">
        <x:v>Bảng 16</x:v>
      </x:c>
      <x:c r="C1054" t="str">
        <x:v>fiClay</x:v>
      </x:c>
      <x:c r="D1054" t="str">
        <x:v>EXACT</x:v>
      </x:c>
      <x:c r="E1054" t="str">
        <x:v>{"qc":10000}</x:v>
      </x:c>
      <x:c r="F1054" t="str">
        <x:v>EXACT</x:v>
      </x:c>
      <x:c r="G1054"/>
      <x:c r="H1054"/>
      <x:c r="I1054"/>
      <x:c r="J1054"/>
      <x:c r="K1054"/>
      <x:c r="L1054"/>
      <x:c r="M1054" t="n">
        <x:v>60</x:v>
      </x:c>
      <x:c r="N1054"/>
      <x:c r="O1054"/>
      <x:c r="P1054"/>
      <x:c r="Q1054"/>
      <x:c r="R1054"/>
      <x:c r="S1054" t="n">
        <x:v>60</x:v>
      </x:c>
      <x:c r="T1054" t="n">
        <x:v>60</x:v>
      </x:c>
      <x:c r="U1054" s="28" t="n">
        <x:f>T1054</x:f>
        <x:v>60</x:v>
      </x:c>
      <x:c r="V1054" s="32" t="n">
        <x:f>IF(AND(ISNUMBER(S1054),ISNUMBER(U1054)),ABS(S1054-U1054),IF(S1054=U1054,0,1))</x:f>
        <x:v>0</x:v>
      </x:c>
      <x:c r="W1054" s="30" t="str">
        <x:v>PASS</x:v>
      </x:c>
      <x:c r="X1054" s="28" t="str">
        <x:f>IF(V1054&lt;=1E-9,"PASS","FAIL")</x:f>
        <x:v>PASS</x:v>
      </x:c>
      <x:c r="Y1054" t="str">
        <x:v>tr.58</x:v>
      </x:c>
      <x:c r="Z1054" t="str"/>
    </x:row>
    <x:row r="1055">
      <x:c r="A1055" t="str">
        <x:v>G1052</x:v>
      </x:c>
      <x:c r="B1055" t="str">
        <x:v>Bảng 16</x:v>
      </x:c>
      <x:c r="C1055" t="str">
        <x:v>fiClay</x:v>
      </x:c>
      <x:c r="D1055" t="str">
        <x:v>MID</x:v>
      </x:c>
      <x:c r="E1055" t="str">
        <x:v>{"qc":1750}</x:v>
      </x:c>
      <x:c r="F1055" t="str">
        <x:v>LINEAR-1D</x:v>
      </x:c>
      <x:c r="G1055" t="n">
        <x:v>1750</x:v>
      </x:c>
      <x:c r="H1055"/>
      <x:c r="I1055" t="n">
        <x:v>1000</x:v>
      </x:c>
      <x:c r="J1055" t="n">
        <x:v>2500</x:v>
      </x:c>
      <x:c r="K1055"/>
      <x:c r="L1055"/>
      <x:c r="M1055" t="n">
        <x:v>15</x:v>
      </x:c>
      <x:c r="N1055" t="n">
        <x:v>25</x:v>
      </x:c>
      <x:c r="O1055"/>
      <x:c r="P1055"/>
      <x:c r="Q1055"/>
      <x:c r="R1055"/>
      <x:c r="S1055" t="n">
        <x:v>20</x:v>
      </x:c>
      <x:c r="T1055" t="n">
        <x:v>20</x:v>
      </x:c>
      <x:c r="U1055" s="28" t="n">
        <x:f>M1055+(G1055-I1055)*(N1055-M1055)/(J1055-I1055)</x:f>
        <x:v>20</x:v>
      </x:c>
      <x:c r="V1055" s="32" t="n">
        <x:f>IF(AND(ISNUMBER(S1055),ISNUMBER(U1055)),ABS(S1055-U1055),IF(S1055=U1055,0,1))</x:f>
        <x:v>0</x:v>
      </x:c>
      <x:c r="W1055" s="30" t="str">
        <x:v>PASS</x:v>
      </x:c>
      <x:c r="X1055" s="28" t="str">
        <x:f>IF(V1055&lt;=1E-9,"PASS","FAIL")</x:f>
        <x:v>PASS</x:v>
      </x:c>
      <x:c r="Y1055" t="str">
        <x:v>Chú thích 1</x:v>
      </x:c>
      <x:c r="Z1055" t="str"/>
    </x:row>
    <x:row r="1056">
      <x:c r="A1056" t="str">
        <x:v>G1053</x:v>
      </x:c>
      <x:c r="B1056" t="str">
        <x:v>Bảng 16</x:v>
      </x:c>
      <x:c r="C1056" t="str">
        <x:v>fiClay</x:v>
      </x:c>
      <x:c r="D1056" t="str">
        <x:v>MID</x:v>
      </x:c>
      <x:c r="E1056" t="str">
        <x:v>{"qc":3750}</x:v>
      </x:c>
      <x:c r="F1056" t="str">
        <x:v>LINEAR-1D</x:v>
      </x:c>
      <x:c r="G1056" t="n">
        <x:v>3750</x:v>
      </x:c>
      <x:c r="H1056"/>
      <x:c r="I1056" t="n">
        <x:v>2500</x:v>
      </x:c>
      <x:c r="J1056" t="n">
        <x:v>5000</x:v>
      </x:c>
      <x:c r="K1056"/>
      <x:c r="L1056"/>
      <x:c r="M1056" t="n">
        <x:v>25</x:v>
      </x:c>
      <x:c r="N1056" t="n">
        <x:v>35</x:v>
      </x:c>
      <x:c r="O1056"/>
      <x:c r="P1056"/>
      <x:c r="Q1056"/>
      <x:c r="R1056"/>
      <x:c r="S1056" t="n">
        <x:v>30</x:v>
      </x:c>
      <x:c r="T1056" t="n">
        <x:v>30</x:v>
      </x:c>
      <x:c r="U1056" s="28" t="n">
        <x:f>M1056+(G1056-I1056)*(N1056-M1056)/(J1056-I1056)</x:f>
        <x:v>30</x:v>
      </x:c>
      <x:c r="V1056" s="32" t="n">
        <x:f>IF(AND(ISNUMBER(S1056),ISNUMBER(U1056)),ABS(S1056-U1056),IF(S1056=U1056,0,1))</x:f>
        <x:v>0</x:v>
      </x:c>
      <x:c r="W1056" s="30" t="str">
        <x:v>PASS</x:v>
      </x:c>
      <x:c r="X1056" s="28" t="str">
        <x:f>IF(V1056&lt;=1E-9,"PASS","FAIL")</x:f>
        <x:v>PASS</x:v>
      </x:c>
      <x:c r="Y1056" t="str">
        <x:v>Chú thích 1</x:v>
      </x:c>
      <x:c r="Z1056" t="str"/>
    </x:row>
    <x:row r="1057">
      <x:c r="A1057" t="str">
        <x:v>G1054</x:v>
      </x:c>
      <x:c r="B1057" t="str">
        <x:v>Bảng 16</x:v>
      </x:c>
      <x:c r="C1057" t="str">
        <x:v>fiClay</x:v>
      </x:c>
      <x:c r="D1057" t="str">
        <x:v>MID</x:v>
      </x:c>
      <x:c r="E1057" t="str">
        <x:v>{"qc":6250}</x:v>
      </x:c>
      <x:c r="F1057" t="str">
        <x:v>LINEAR-1D</x:v>
      </x:c>
      <x:c r="G1057" t="n">
        <x:v>6250</x:v>
      </x:c>
      <x:c r="H1057"/>
      <x:c r="I1057" t="n">
        <x:v>5000</x:v>
      </x:c>
      <x:c r="J1057" t="n">
        <x:v>7500</x:v>
      </x:c>
      <x:c r="K1057"/>
      <x:c r="L1057"/>
      <x:c r="M1057" t="n">
        <x:v>35</x:v>
      </x:c>
      <x:c r="N1057" t="n">
        <x:v>45</x:v>
      </x:c>
      <x:c r="O1057"/>
      <x:c r="P1057"/>
      <x:c r="Q1057"/>
      <x:c r="R1057"/>
      <x:c r="S1057" t="n">
        <x:v>40</x:v>
      </x:c>
      <x:c r="T1057" t="n">
        <x:v>40</x:v>
      </x:c>
      <x:c r="U1057" s="28" t="n">
        <x:f>M1057+(G1057-I1057)*(N1057-M1057)/(J1057-I1057)</x:f>
        <x:v>40</x:v>
      </x:c>
      <x:c r="V1057" s="32" t="n">
        <x:f>IF(AND(ISNUMBER(S1057),ISNUMBER(U1057)),ABS(S1057-U1057),IF(S1057=U1057,0,1))</x:f>
        <x:v>0</x:v>
      </x:c>
      <x:c r="W1057" s="30" t="str">
        <x:v>PASS</x:v>
      </x:c>
      <x:c r="X1057" s="28" t="str">
        <x:f>IF(V1057&lt;=1E-9,"PASS","FAIL")</x:f>
        <x:v>PASS</x:v>
      </x:c>
      <x:c r="Y1057" t="str">
        <x:v>Chú thích 1</x:v>
      </x:c>
      <x:c r="Z1057" t="str"/>
    </x:row>
    <x:row r="1058">
      <x:c r="A1058" t="str">
        <x:v>G1055</x:v>
      </x:c>
      <x:c r="B1058" t="str">
        <x:v>Bảng 16</x:v>
      </x:c>
      <x:c r="C1058" t="str">
        <x:v>fiClay</x:v>
      </x:c>
      <x:c r="D1058" t="str">
        <x:v>MID</x:v>
      </x:c>
      <x:c r="E1058" t="str">
        <x:v>{"qc":8750}</x:v>
      </x:c>
      <x:c r="F1058" t="str">
        <x:v>LINEAR-1D</x:v>
      </x:c>
      <x:c r="G1058" t="n">
        <x:v>8750</x:v>
      </x:c>
      <x:c r="H1058"/>
      <x:c r="I1058" t="n">
        <x:v>7500</x:v>
      </x:c>
      <x:c r="J1058" t="n">
        <x:v>10000</x:v>
      </x:c>
      <x:c r="K1058"/>
      <x:c r="L1058"/>
      <x:c r="M1058" t="n">
        <x:v>45</x:v>
      </x:c>
      <x:c r="N1058" t="n">
        <x:v>60</x:v>
      </x:c>
      <x:c r="O1058"/>
      <x:c r="P1058"/>
      <x:c r="Q1058"/>
      <x:c r="R1058"/>
      <x:c r="S1058" t="n">
        <x:v>52.5</x:v>
      </x:c>
      <x:c r="T1058" t="n">
        <x:v>52.5</x:v>
      </x:c>
      <x:c r="U1058" s="28" t="n">
        <x:f>M1058+(G1058-I1058)*(N1058-M1058)/(J1058-I1058)</x:f>
        <x:v>52.5</x:v>
      </x:c>
      <x:c r="V1058" s="32" t="n">
        <x:f>IF(AND(ISNUMBER(S1058),ISNUMBER(U1058)),ABS(S1058-U1058),IF(S1058=U1058,0,1))</x:f>
        <x:v>0</x:v>
      </x:c>
      <x:c r="W1058" s="30" t="str">
        <x:v>PASS</x:v>
      </x:c>
      <x:c r="X1058" s="28" t="str">
        <x:f>IF(V1058&lt;=1E-9,"PASS","FAIL")</x:f>
        <x:v>PASS</x:v>
      </x:c>
      <x:c r="Y1058" t="str">
        <x:v>Chú thích 1</x:v>
      </x:c>
      <x:c r="Z1058" t="str"/>
    </x:row>
    <x:row r="1059">
      <x:c r="A1059" t="str">
        <x:v>G1056</x:v>
      </x:c>
      <x:c r="B1059" t="str">
        <x:v>Bảng 16</x:v>
      </x:c>
      <x:c r="C1059" t="str">
        <x:v>qbSand</x:v>
      </x:c>
      <x:c r="D1059" t="str">
        <x:v>OUTSIDE/NULL</x:v>
      </x:c>
      <x:c r="E1059" t="str">
        <x:v>{"qc":2500}</x:v>
      </x:c>
      <x:c r="F1059" t="str">
        <x:v>BLOCK</x:v>
      </x:c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 t="str">
        <x:v>BLOCK</x:v>
      </x:c>
      <x:c r="T1059" t="str">
        <x:v>BLOCK</x:v>
      </x:c>
      <x:c r="U1059" s="28" t="str">
        <x:f>"BLOCK"</x:f>
        <x:v>BLOCK</x:v>
      </x:c>
      <x:c r="V1059" s="32" t="n">
        <x:f>IF(AND(ISNUMBER(S1059),ISNUMBER(U1059)),ABS(S1059-U1059),IF(S1059=U1059,0,1))</x:f>
        <x:v>0</x:v>
      </x:c>
      <x:c r="W1059" s="30" t="str">
        <x:v>PASS</x:v>
      </x:c>
      <x:c r="X1059" s="28" t="str">
        <x:f>IF(V1059&lt;=1E-9,"PASS","FAIL")</x:f>
        <x:v>PASS</x:v>
      </x:c>
      <x:c r="Y1059" t="str">
        <x:v>NO EXTRAPOLATION / null</x:v>
      </x:c>
      <x:c r="Z1059" t="str">
        <x:v>Bảng 16 qbSand: ô tại 2500 không có giá trị; không nội suy qua ô trống.</x:v>
      </x:c>
    </x:row>
    <x:row r="1060">
      <x:c r="A1060" t="str">
        <x:v>G1057</x:v>
      </x:c>
      <x:c r="B1060" t="str">
        <x:v>Bảng 16</x:v>
      </x:c>
      <x:c r="C1060" t="str">
        <x:v>qbClay</x:v>
      </x:c>
      <x:c r="D1060" t="str">
        <x:v>OUTSIDE/NULL</x:v>
      </x:c>
      <x:c r="E1060" t="str">
        <x:v>{"qc":13000}</x:v>
      </x:c>
      <x:c r="F1060" t="str">
        <x:v>BLOCK</x:v>
      </x:c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 t="str">
        <x:v>BLOCK</x:v>
      </x:c>
      <x:c r="T1060" t="str">
        <x:v>BLOCK</x:v>
      </x:c>
      <x:c r="U1060" s="28" t="str">
        <x:f>"BLOCK"</x:f>
        <x:v>BLOCK</x:v>
      </x:c>
      <x:c r="V1060" s="32" t="n">
        <x:f>IF(AND(ISNUMBER(S1060),ISNUMBER(U1060)),ABS(S1060-U1060),IF(S1060=U1060,0,1))</x:f>
        <x:v>0</x:v>
      </x:c>
      <x:c r="W1060" s="30" t="str">
        <x:v>PASS</x:v>
      </x:c>
      <x:c r="X1060" s="28" t="str">
        <x:f>IF(V1060&lt;=1E-9,"PASS","FAIL")</x:f>
        <x:v>PASS</x:v>
      </x:c>
      <x:c r="Y1060" t="str">
        <x:v>NO EXTRAPOLATION / null</x:v>
      </x:c>
      <x:c r="Z1060" t="str">
        <x:v>Bảng 16 qbClay: khoảng 12000–15000 có ô trống; không được nội suy.</x:v>
      </x:c>
    </x:row>
    <x:row r="1061">
      <x:c r="A1061" t="str">
        <x:v>G1058</x:v>
      </x:c>
      <x:c r="B1061" t="str">
        <x:v>Bảng 16</x:v>
      </x:c>
      <x:c r="C1061" t="str">
        <x:v>fiSand</x:v>
      </x:c>
      <x:c r="D1061" t="str">
        <x:v>OUTSIDE/NULL</x:v>
      </x:c>
      <x:c r="E1061" t="str">
        <x:v>{"qc":2500}</x:v>
      </x:c>
      <x:c r="F1061" t="str">
        <x:v>BLOCK</x:v>
      </x:c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 t="str">
        <x:v>BLOCK</x:v>
      </x:c>
      <x:c r="T1061" t="str">
        <x:v>BLOCK</x:v>
      </x:c>
      <x:c r="U1061" s="28" t="str">
        <x:f>"BLOCK"</x:f>
        <x:v>BLOCK</x:v>
      </x:c>
      <x:c r="V1061" s="32" t="n">
        <x:f>IF(AND(ISNUMBER(S1061),ISNUMBER(U1061)),ABS(S1061-U1061),IF(S1061=U1061,0,1))</x:f>
        <x:v>0</x:v>
      </x:c>
      <x:c r="W1061" s="30" t="str">
        <x:v>PASS</x:v>
      </x:c>
      <x:c r="X1061" s="28" t="str">
        <x:f>IF(V1061&lt;=1E-9,"PASS","FAIL")</x:f>
        <x:v>PASS</x:v>
      </x:c>
      <x:c r="Y1061" t="str">
        <x:v>NO EXTRAPOLATION / null</x:v>
      </x:c>
      <x:c r="Z1061" t="str">
        <x:v>Bảng 16 fiSand: ô tại 2500 không có giá trị; không nội suy qua ô trống.</x:v>
      </x:c>
    </x:row>
    <x:row r="1062">
      <x:c r="A1062" t="str">
        <x:v>G1059</x:v>
      </x:c>
      <x:c r="B1062" t="str">
        <x:v>Bảng 16</x:v>
      </x:c>
      <x:c r="C1062" t="str">
        <x:v>fiClay</x:v>
      </x:c>
      <x:c r="D1062" t="str">
        <x:v>OUTSIDE/NULL</x:v>
      </x:c>
      <x:c r="E1062" t="str">
        <x:v>{"qc":13000}</x:v>
      </x:c>
      <x:c r="F1062" t="str">
        <x:v>BLOCK</x:v>
      </x:c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 t="str">
        <x:v>BLOCK</x:v>
      </x:c>
      <x:c r="T1062" t="str">
        <x:v>BLOCK</x:v>
      </x:c>
      <x:c r="U1062" s="28" t="str">
        <x:f>"BLOCK"</x:f>
        <x:v>BLOCK</x:v>
      </x:c>
      <x:c r="V1062" s="32" t="n">
        <x:f>IF(AND(ISNUMBER(S1062),ISNUMBER(U1062)),ABS(S1062-U1062),IF(S1062=U1062,0,1))</x:f>
        <x:v>0</x:v>
      </x:c>
      <x:c r="W1062" s="30" t="str">
        <x:v>PASS</x:v>
      </x:c>
      <x:c r="X1062" s="28" t="str">
        <x:f>IF(V1062&lt;=1E-9,"PASS","FAIL")</x:f>
        <x:v>PASS</x:v>
      </x:c>
      <x:c r="Y1062" t="str">
        <x:v>NO EXTRAPOLATION / null</x:v>
      </x:c>
      <x:c r="Z1062" t="str">
        <x:v>Bảng 16 fiClay: khoảng 12000–15000 có ô trống; không được nội suy.</x:v>
      </x:c>
    </x:row>
    <x:row r="1063">
      <x:c r="A1063" t="str">
        <x:v>G1060</x:v>
      </x:c>
      <x:c r="B1063" t="str">
        <x:v>Bảng 16</x:v>
      </x:c>
      <x:c r="C1063" t="str">
        <x:v>qbSand</x:v>
      </x:c>
      <x:c r="D1063" t="str">
        <x:v>OUTSIDE/NULL</x:v>
      </x:c>
      <x:c r="E1063" t="str">
        <x:v>{"qc":21000}</x:v>
      </x:c>
      <x:c r="F1063" t="str">
        <x:v>BLOCK</x:v>
      </x:c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 t="str">
        <x:v>BLOCK</x:v>
      </x:c>
      <x:c r="T1063" t="str">
        <x:v>BLOCK</x:v>
      </x:c>
      <x:c r="U1063" s="28" t="str">
        <x:f>"BLOCK"</x:f>
        <x:v>BLOCK</x:v>
      </x:c>
      <x:c r="V1063" s="32" t="n">
        <x:f>IF(AND(ISNUMBER(S1063),ISNUMBER(U1063)),ABS(S1063-U1063),IF(S1063=U1063,0,1))</x:f>
        <x:v>0</x:v>
      </x:c>
      <x:c r="W1063" s="30" t="str">
        <x:v>PASS</x:v>
      </x:c>
      <x:c r="X1063" s="28" t="str">
        <x:f>IF(V1063&lt;=1E-9,"PASS","FAIL")</x:f>
        <x:v>PASS</x:v>
      </x:c>
      <x:c r="Y1063" t="str">
        <x:v>NO EXTRAPOLATION / null</x:v>
      </x:c>
      <x:c r="Z1063" t="str">
        <x:v>Bảng 16 qbSand: 21000 lớn hơn phạm vi bảng (20000). Không ngoại suy.</x:v>
      </x:c>
    </x:row>
    <x:row r="1064">
      <x:c r="A1064" t="str">
        <x:v>G1061</x:v>
      </x:c>
      <x:c r="B1064" t="str">
        <x:v>Bảng 16</x:v>
      </x:c>
      <x:c r="C1064" t="str">
        <x:v>qbClay</x:v>
      </x:c>
      <x:c r="D1064" t="str">
        <x:v>OUTSIDE/NULL</x:v>
      </x:c>
      <x:c r="E1064" t="str">
        <x:v>{"qc":500}</x:v>
      </x:c>
      <x:c r="F1064" t="str">
        <x:v>BLOCK</x:v>
      </x:c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 t="str">
        <x:v>BLOCK</x:v>
      </x:c>
      <x:c r="T1064" t="str">
        <x:v>BLOCK</x:v>
      </x:c>
      <x:c r="U1064" s="28" t="str">
        <x:f>"BLOCK"</x:f>
        <x:v>BLOCK</x:v>
      </x:c>
      <x:c r="V1064" s="32" t="n">
        <x:f>IF(AND(ISNUMBER(S1064),ISNUMBER(U1064)),ABS(S1064-U1064),IF(S1064=U1064,0,1))</x:f>
        <x:v>0</x:v>
      </x:c>
      <x:c r="W1064" s="30" t="str">
        <x:v>PASS</x:v>
      </x:c>
      <x:c r="X1064" s="28" t="str">
        <x:f>IF(V1064&lt;=1E-9,"PASS","FAIL")</x:f>
        <x:v>PASS</x:v>
      </x:c>
      <x:c r="Y1064" t="str">
        <x:v>NO EXTRAPOLATION / null</x:v>
      </x:c>
      <x:c r="Z1064" t="str">
        <x:v>Bảng 16 qbClay: 500 nhỏ hơn phạm vi bảng (1000). Không ngoại suy.</x:v>
      </x:c>
    </x:row>
    <x:row r="1065">
      <x:c r="A1065" t="str">
        <x:v>G1062</x:v>
      </x:c>
      <x:c r="B1065" t="str">
        <x:v>Bảng 17</x:v>
      </x:c>
      <x:c r="C1065" t="str">
        <x:v>m_v</x:v>
      </x:c>
      <x:c r="D1065" t="str">
        <x:v>EXACT</x:v>
      </x:c>
      <x:c r="E1065" t="str">
        <x:v>{"nu":0}</x:v>
      </x:c>
      <x:c r="F1065" t="str">
        <x:v>EXACT</x:v>
      </x:c>
      <x:c r="G1065"/>
      <x:c r="H1065"/>
      <x:c r="I1065"/>
      <x:c r="J1065"/>
      <x:c r="K1065"/>
      <x:c r="L1065"/>
      <x:c r="M1065" t="n">
        <x:v>1.345</x:v>
      </x:c>
      <x:c r="N1065"/>
      <x:c r="O1065"/>
      <x:c r="P1065"/>
      <x:c r="Q1065"/>
      <x:c r="R1065"/>
      <x:c r="S1065" t="n">
        <x:v>1.345</x:v>
      </x:c>
      <x:c r="T1065" t="n">
        <x:v>1.345</x:v>
      </x:c>
      <x:c r="U1065" s="28" t="n">
        <x:f>T1065</x:f>
        <x:v>1.345</x:v>
      </x:c>
      <x:c r="V1065" s="32" t="n">
        <x:f>IF(AND(ISNUMBER(S1065),ISNUMBER(U1065)),ABS(S1065-U1065),IF(S1065=U1065,0,1))</x:f>
        <x:v>0</x:v>
      </x:c>
      <x:c r="W1065" s="30" t="str">
        <x:v>PASS</x:v>
      </x:c>
      <x:c r="X1065" s="28" t="str">
        <x:f>IF(V1065&lt;=1E-9,"PASS","FAIL")</x:f>
        <x:v>PASS</x:v>
      </x:c>
      <x:c r="Y1065" t="str">
        <x:v>tr.60</x:v>
      </x:c>
      <x:c r="Z1065" t="str"/>
    </x:row>
    <x:row r="1066">
      <x:c r="A1066" t="str">
        <x:v>G1063</x:v>
      </x:c>
      <x:c r="B1066" t="str">
        <x:v>Bảng 17</x:v>
      </x:c>
      <x:c r="C1066" t="str">
        <x:v>k_v</x:v>
      </x:c>
      <x:c r="D1066" t="str">
        <x:v>FORMULA</x:v>
      </x:c>
      <x:c r="E1066" t="str">
        <x:v>{"nu":0}</x:v>
      </x:c>
      <x:c r="F1066" t="str">
        <x:v>FORMULA-KV</x:v>
      </x:c>
      <x:c r="G1066" t="n">
        <x:v>0</x:v>
      </x:c>
      <x:c r="H1066"/>
      <x:c r="I1066"/>
      <x:c r="J1066"/>
      <x:c r="K1066"/>
      <x:c r="L1066"/>
      <x:c r="M1066"/>
      <x:c r="N1066"/>
      <x:c r="O1066"/>
      <x:c r="P1066"/>
      <x:c r="Q1066"/>
      <x:c r="R1066"/>
      <x:c r="S1066" t="n">
        <x:v>2.82</x:v>
      </x:c>
      <x:c r="T1066" t="n">
        <x:v>2.82</x:v>
      </x:c>
      <x:c r="U1066" s="28" t="n">
        <x:f>2.82-3.78*G1066+2.18*G1066^2</x:f>
        <x:v>2.82</x:v>
      </x:c>
      <x:c r="V1066" s="32" t="n">
        <x:f>IF(AND(ISNUMBER(S1066),ISNUMBER(U1066)),ABS(S1066-U1066),IF(S1066=U1066,0,1))</x:f>
        <x:v>0</x:v>
      </x:c>
      <x:c r="W1066" s="30" t="str">
        <x:v>PASS</x:v>
      </x:c>
      <x:c r="X1066" s="28" t="str">
        <x:f>IF(V1066&lt;=1E-9,"PASS","FAIL")</x:f>
        <x:v>PASS</x:v>
      </x:c>
      <x:c r="Y1066" t="str">
        <x:v>CT (33)</x:v>
      </x:c>
      <x:c r="Z1066" t="str"/>
    </x:row>
    <x:row r="1067">
      <x:c r="A1067" t="str">
        <x:v>G1064</x:v>
      </x:c>
      <x:c r="B1067" t="str">
        <x:v>Bảng 17</x:v>
      </x:c>
      <x:c r="C1067" t="str">
        <x:v>zeta0</x:v>
      </x:c>
      <x:c r="D1067" t="str">
        <x:v>FORMULA</x:v>
      </x:c>
      <x:c r="E1067" t="str">
        <x:v>{"nu":0}</x:v>
      </x:c>
      <x:c r="F1067" t="str">
        <x:v>FORMULA-ZETA</x:v>
      </x:c>
      <x:c r="G1067" t="n">
        <x:v>0</x:v>
      </x:c>
      <x:c r="H1067"/>
      <x:c r="I1067"/>
      <x:c r="J1067"/>
      <x:c r="K1067"/>
      <x:c r="L1067"/>
      <x:c r="M1067"/>
      <x:c r="N1067"/>
      <x:c r="O1067"/>
      <x:c r="P1067"/>
      <x:c r="Q1067"/>
      <x:c r="R1067"/>
      <x:c r="S1067" t="n">
        <x:v>0.45511961331341877</x:v>
      </x:c>
      <x:c r="T1067" t="n">
        <x:v>0.45511961331341877</x:v>
      </x:c>
      <x:c r="U1067" s="28" t="n">
        <x:f>IF(ABS(G1067-0.5)&lt;1E-12,0.25,(1-2*G1067)/(2*LN(3-4*G1067)))</x:f>
        <x:v>0.45511961331341866</x:v>
      </x:c>
      <x:c r="V1067" s="32" t="n">
        <x:f>IF(AND(ISNUMBER(S1067),ISNUMBER(U1067)),ABS(S1067-U1067),IF(S1067=U1067,0,1))</x:f>
        <x:v>1.1102230246251565e-16</x:v>
      </x:c>
      <x:c r="W1067" s="30" t="str">
        <x:v>PASS</x:v>
      </x:c>
      <x:c r="X1067" s="28" t="str">
        <x:f>IF(V1067&lt;=1E-9,"PASS","FAIL")</x:f>
        <x:v>PASS</x:v>
      </x:c>
      <x:c r="Y1067" t="str">
        <x:v>CT (34)</x:v>
      </x:c>
      <x:c r="Z1067" t="str"/>
    </x:row>
    <x:row r="1068">
      <x:c r="A1068" t="str">
        <x:v>G1065</x:v>
      </x:c>
      <x:c r="B1068" t="str">
        <x:v>Bảng 17</x:v>
      </x:c>
      <x:c r="C1068" t="str">
        <x:v>m_v</x:v>
      </x:c>
      <x:c r="D1068" t="str">
        <x:v>EXACT</x:v>
      </x:c>
      <x:c r="E1068" t="str">
        <x:v>{"nu":0.05}</x:v>
      </x:c>
      <x:c r="F1068" t="str">
        <x:v>EXACT</x:v>
      </x:c>
      <x:c r="G1068"/>
      <x:c r="H1068"/>
      <x:c r="I1068"/>
      <x:c r="J1068"/>
      <x:c r="K1068"/>
      <x:c r="L1068"/>
      <x:c r="M1068" t="n">
        <x:v>1.373</x:v>
      </x:c>
      <x:c r="N1068"/>
      <x:c r="O1068"/>
      <x:c r="P1068"/>
      <x:c r="Q1068"/>
      <x:c r="R1068"/>
      <x:c r="S1068" t="n">
        <x:v>1.373</x:v>
      </x:c>
      <x:c r="T1068" t="n">
        <x:v>1.373</x:v>
      </x:c>
      <x:c r="U1068" s="28" t="n">
        <x:f>T1068</x:f>
        <x:v>1.373</x:v>
      </x:c>
      <x:c r="V1068" s="32" t="n">
        <x:f>IF(AND(ISNUMBER(S1068),ISNUMBER(U1068)),ABS(S1068-U1068),IF(S1068=U1068,0,1))</x:f>
        <x:v>0</x:v>
      </x:c>
      <x:c r="W1068" s="30" t="str">
        <x:v>PASS</x:v>
      </x:c>
      <x:c r="X1068" s="28" t="str">
        <x:f>IF(V1068&lt;=1E-9,"PASS","FAIL")</x:f>
        <x:v>PASS</x:v>
      </x:c>
      <x:c r="Y1068" t="str">
        <x:v>tr.60</x:v>
      </x:c>
      <x:c r="Z1068" t="str"/>
    </x:row>
    <x:row r="1069">
      <x:c r="A1069" t="str">
        <x:v>G1066</x:v>
      </x:c>
      <x:c r="B1069" t="str">
        <x:v>Bảng 17</x:v>
      </x:c>
      <x:c r="C1069" t="str">
        <x:v>k_v</x:v>
      </x:c>
      <x:c r="D1069" t="str">
        <x:v>FORMULA</x:v>
      </x:c>
      <x:c r="E1069" t="str">
        <x:v>{"nu":0.05}</x:v>
      </x:c>
      <x:c r="F1069" t="str">
        <x:v>FORMULA-KV</x:v>
      </x:c>
      <x:c r="G1069" t="n">
        <x:v>0.05</x:v>
      </x:c>
      <x:c r="H1069"/>
      <x:c r="I1069"/>
      <x:c r="J1069"/>
      <x:c r="K1069"/>
      <x:c r="L1069"/>
      <x:c r="M1069"/>
      <x:c r="N1069"/>
      <x:c r="O1069"/>
      <x:c r="P1069"/>
      <x:c r="Q1069"/>
      <x:c r="R1069"/>
      <x:c r="S1069" t="n">
        <x:v>2.63645</x:v>
      </x:c>
      <x:c r="T1069" t="n">
        <x:v>2.63645</x:v>
      </x:c>
      <x:c r="U1069" s="28" t="n">
        <x:f>2.82-3.78*G1069+2.18*G1069^2</x:f>
        <x:v>2.63645</x:v>
      </x:c>
      <x:c r="V1069" s="32" t="n">
        <x:f>IF(AND(ISNUMBER(S1069),ISNUMBER(U1069)),ABS(S1069-U1069),IF(S1069=U1069,0,1))</x:f>
        <x:v>0</x:v>
      </x:c>
      <x:c r="W1069" s="30" t="str">
        <x:v>PASS</x:v>
      </x:c>
      <x:c r="X1069" s="28" t="str">
        <x:f>IF(V1069&lt;=1E-9,"PASS","FAIL")</x:f>
        <x:v>PASS</x:v>
      </x:c>
      <x:c r="Y1069" t="str">
        <x:v>CT (33)</x:v>
      </x:c>
      <x:c r="Z1069" t="str"/>
    </x:row>
    <x:row r="1070">
      <x:c r="A1070" t="str">
        <x:v>G1067</x:v>
      </x:c>
      <x:c r="B1070" t="str">
        <x:v>Bảng 17</x:v>
      </x:c>
      <x:c r="C1070" t="str">
        <x:v>zeta0</x:v>
      </x:c>
      <x:c r="D1070" t="str">
        <x:v>FORMULA</x:v>
      </x:c>
      <x:c r="E1070" t="str">
        <x:v>{"nu":0.05}</x:v>
      </x:c>
      <x:c r="F1070" t="str">
        <x:v>FORMULA-ZETA</x:v>
      </x:c>
      <x:c r="G1070" t="n">
        <x:v>0.05</x:v>
      </x:c>
      <x:c r="H1070"/>
      <x:c r="I1070"/>
      <x:c r="J1070"/>
      <x:c r="K1070"/>
      <x:c r="L1070"/>
      <x:c r="M1070"/>
      <x:c r="N1070"/>
      <x:c r="O1070"/>
      <x:c r="P1070"/>
      <x:c r="Q1070"/>
      <x:c r="R1070"/>
      <x:c r="S1070" t="n">
        <x:v>0.43705469466765506</x:v>
      </x:c>
      <x:c r="T1070" t="n">
        <x:v>0.43705469466765506</x:v>
      </x:c>
      <x:c r="U1070" s="28" t="n">
        <x:f>IF(ABS(G1070-0.5)&lt;1E-12,0.25,(1-2*G1070)/(2*LN(3-4*G1070)))</x:f>
        <x:v>0.43705469466765506</x:v>
      </x:c>
      <x:c r="V1070" s="32" t="n">
        <x:f>IF(AND(ISNUMBER(S1070),ISNUMBER(U1070)),ABS(S1070-U1070),IF(S1070=U1070,0,1))</x:f>
        <x:v>0</x:v>
      </x:c>
      <x:c r="W1070" s="30" t="str">
        <x:v>PASS</x:v>
      </x:c>
      <x:c r="X1070" s="28" t="str">
        <x:f>IF(V1070&lt;=1E-9,"PASS","FAIL")</x:f>
        <x:v>PASS</x:v>
      </x:c>
      <x:c r="Y1070" t="str">
        <x:v>CT (34)</x:v>
      </x:c>
      <x:c r="Z1070" t="str"/>
    </x:row>
    <x:row r="1071">
      <x:c r="A1071" t="str">
        <x:v>G1068</x:v>
      </x:c>
      <x:c r="B1071" t="str">
        <x:v>Bảng 17</x:v>
      </x:c>
      <x:c r="C1071" t="str">
        <x:v>m_v</x:v>
      </x:c>
      <x:c r="D1071" t="str">
        <x:v>EXACT</x:v>
      </x:c>
      <x:c r="E1071" t="str">
        <x:v>{"nu":0.1}</x:v>
      </x:c>
      <x:c r="F1071" t="str">
        <x:v>EXACT</x:v>
      </x:c>
      <x:c r="G1071"/>
      <x:c r="H1071"/>
      <x:c r="I1071"/>
      <x:c r="J1071"/>
      <x:c r="K1071"/>
      <x:c r="L1071"/>
      <x:c r="M1071" t="n">
        <x:v>1.405</x:v>
      </x:c>
      <x:c r="N1071"/>
      <x:c r="O1071"/>
      <x:c r="P1071"/>
      <x:c r="Q1071"/>
      <x:c r="R1071"/>
      <x:c r="S1071" t="n">
        <x:v>1.405</x:v>
      </x:c>
      <x:c r="T1071" t="n">
        <x:v>1.405</x:v>
      </x:c>
      <x:c r="U1071" s="28" t="n">
        <x:f>T1071</x:f>
        <x:v>1.405</x:v>
      </x:c>
      <x:c r="V1071" s="32" t="n">
        <x:f>IF(AND(ISNUMBER(S1071),ISNUMBER(U1071)),ABS(S1071-U1071),IF(S1071=U1071,0,1))</x:f>
        <x:v>0</x:v>
      </x:c>
      <x:c r="W1071" s="30" t="str">
        <x:v>PASS</x:v>
      </x:c>
      <x:c r="X1071" s="28" t="str">
        <x:f>IF(V1071&lt;=1E-9,"PASS","FAIL")</x:f>
        <x:v>PASS</x:v>
      </x:c>
      <x:c r="Y1071" t="str">
        <x:v>tr.60</x:v>
      </x:c>
      <x:c r="Z1071" t="str"/>
    </x:row>
    <x:row r="1072">
      <x:c r="A1072" t="str">
        <x:v>G1069</x:v>
      </x:c>
      <x:c r="B1072" t="str">
        <x:v>Bảng 17</x:v>
      </x:c>
      <x:c r="C1072" t="str">
        <x:v>k_v</x:v>
      </x:c>
      <x:c r="D1072" t="str">
        <x:v>FORMULA</x:v>
      </x:c>
      <x:c r="E1072" t="str">
        <x:v>{"nu":0.1}</x:v>
      </x:c>
      <x:c r="F1072" t="str">
        <x:v>FORMULA-KV</x:v>
      </x:c>
      <x:c r="G1072" t="n">
        <x:v>0.1</x:v>
      </x:c>
      <x:c r="H1072"/>
      <x:c r="I1072"/>
      <x:c r="J1072"/>
      <x:c r="K1072"/>
      <x:c r="L1072"/>
      <x:c r="M1072"/>
      <x:c r="N1072"/>
      <x:c r="O1072"/>
      <x:c r="P1072"/>
      <x:c r="Q1072"/>
      <x:c r="R1072"/>
      <x:c r="S1072" t="n">
        <x:v>2.4637999999999995</x:v>
      </x:c>
      <x:c r="T1072" t="n">
        <x:v>2.4637999999999995</x:v>
      </x:c>
      <x:c r="U1072" s="28" t="n">
        <x:f>2.82-3.78*G1072+2.18*G1072^2</x:f>
        <x:v>2.4637999999999995</x:v>
      </x:c>
      <x:c r="V1072" s="32" t="n">
        <x:f>IF(AND(ISNUMBER(S1072),ISNUMBER(U1072)),ABS(S1072-U1072),IF(S1072=U1072,0,1))</x:f>
        <x:v>0</x:v>
      </x:c>
      <x:c r="W1072" s="30" t="str">
        <x:v>PASS</x:v>
      </x:c>
      <x:c r="X1072" s="28" t="str">
        <x:f>IF(V1072&lt;=1E-9,"PASS","FAIL")</x:f>
        <x:v>PASS</x:v>
      </x:c>
      <x:c r="Y1072" t="str">
        <x:v>CT (33)</x:v>
      </x:c>
      <x:c r="Z1072" t="str"/>
    </x:row>
    <x:row r="1073">
      <x:c r="A1073" t="str">
        <x:v>G1070</x:v>
      </x:c>
      <x:c r="B1073" t="str">
        <x:v>Bảng 17</x:v>
      </x:c>
      <x:c r="C1073" t="str">
        <x:v>zeta0</x:v>
      </x:c>
      <x:c r="D1073" t="str">
        <x:v>FORMULA</x:v>
      </x:c>
      <x:c r="E1073" t="str">
        <x:v>{"nu":0.1}</x:v>
      </x:c>
      <x:c r="F1073" t="str">
        <x:v>FORMULA-ZETA</x:v>
      </x:c>
      <x:c r="G1073" t="n">
        <x:v>0.1</x:v>
      </x:c>
      <x:c r="H1073"/>
      <x:c r="I1073"/>
      <x:c r="J1073"/>
      <x:c r="K1073"/>
      <x:c r="L1073"/>
      <x:c r="M1073"/>
      <x:c r="N1073"/>
      <x:c r="O1073"/>
      <x:c r="P1073"/>
      <x:c r="Q1073"/>
      <x:c r="R1073"/>
      <x:c r="S1073" t="n">
        <x:v>0.41862397575835886</x:v>
      </x:c>
      <x:c r="T1073" t="n">
        <x:v>0.41862397575835886</x:v>
      </x:c>
      <x:c r="U1073" s="28" t="n">
        <x:f>IF(ABS(G1073-0.5)&lt;1E-12,0.25,(1-2*G1073)/(2*LN(3-4*G1073)))</x:f>
        <x:v>0.4186239757583589</x:v>
      </x:c>
      <x:c r="V1073" s="32" t="n">
        <x:f>IF(AND(ISNUMBER(S1073),ISNUMBER(U1073)),ABS(S1073-U1073),IF(S1073=U1073,0,1))</x:f>
        <x:v>5.551115123125783e-17</x:v>
      </x:c>
      <x:c r="W1073" s="30" t="str">
        <x:v>PASS</x:v>
      </x:c>
      <x:c r="X1073" s="28" t="str">
        <x:f>IF(V1073&lt;=1E-9,"PASS","FAIL")</x:f>
        <x:v>PASS</x:v>
      </x:c>
      <x:c r="Y1073" t="str">
        <x:v>CT (34)</x:v>
      </x:c>
      <x:c r="Z1073" t="str"/>
    </x:row>
    <x:row r="1074">
      <x:c r="A1074" t="str">
        <x:v>G1071</x:v>
      </x:c>
      <x:c r="B1074" t="str">
        <x:v>Bảng 17</x:v>
      </x:c>
      <x:c r="C1074" t="str">
        <x:v>m_v</x:v>
      </x:c>
      <x:c r="D1074" t="str">
        <x:v>EXACT</x:v>
      </x:c>
      <x:c r="E1074" t="str">
        <x:v>{"nu":0.15}</x:v>
      </x:c>
      <x:c r="F1074" t="str">
        <x:v>EXACT</x:v>
      </x:c>
      <x:c r="G1074"/>
      <x:c r="H1074"/>
      <x:c r="I1074"/>
      <x:c r="J1074"/>
      <x:c r="K1074"/>
      <x:c r="L1074"/>
      <x:c r="M1074" t="n">
        <x:v>1.446</x:v>
      </x:c>
      <x:c r="N1074"/>
      <x:c r="O1074"/>
      <x:c r="P1074"/>
      <x:c r="Q1074"/>
      <x:c r="R1074"/>
      <x:c r="S1074" t="n">
        <x:v>1.446</x:v>
      </x:c>
      <x:c r="T1074" t="n">
        <x:v>1.446</x:v>
      </x:c>
      <x:c r="U1074" s="28" t="n">
        <x:f>T1074</x:f>
        <x:v>1.446</x:v>
      </x:c>
      <x:c r="V1074" s="32" t="n">
        <x:f>IF(AND(ISNUMBER(S1074),ISNUMBER(U1074)),ABS(S1074-U1074),IF(S1074=U1074,0,1))</x:f>
        <x:v>0</x:v>
      </x:c>
      <x:c r="W1074" s="30" t="str">
        <x:v>PASS</x:v>
      </x:c>
      <x:c r="X1074" s="28" t="str">
        <x:f>IF(V1074&lt;=1E-9,"PASS","FAIL")</x:f>
        <x:v>PASS</x:v>
      </x:c>
      <x:c r="Y1074" t="str">
        <x:v>tr.60</x:v>
      </x:c>
      <x:c r="Z1074" t="str"/>
    </x:row>
    <x:row r="1075">
      <x:c r="A1075" t="str">
        <x:v>G1072</x:v>
      </x:c>
      <x:c r="B1075" t="str">
        <x:v>Bảng 17</x:v>
      </x:c>
      <x:c r="C1075" t="str">
        <x:v>k_v</x:v>
      </x:c>
      <x:c r="D1075" t="str">
        <x:v>FORMULA</x:v>
      </x:c>
      <x:c r="E1075" t="str">
        <x:v>{"nu":0.15}</x:v>
      </x:c>
      <x:c r="F1075" t="str">
        <x:v>FORMULA-KV</x:v>
      </x:c>
      <x:c r="G1075" t="n">
        <x:v>0.15</x:v>
      </x:c>
      <x:c r="H1075"/>
      <x:c r="I1075"/>
      <x:c r="J1075"/>
      <x:c r="K1075"/>
      <x:c r="L1075"/>
      <x:c r="M1075"/>
      <x:c r="N1075"/>
      <x:c r="O1075"/>
      <x:c r="P1075"/>
      <x:c r="Q1075"/>
      <x:c r="R1075"/>
      <x:c r="S1075" t="n">
        <x:v>2.30205</x:v>
      </x:c>
      <x:c r="T1075" t="n">
        <x:v>2.30205</x:v>
      </x:c>
      <x:c r="U1075" s="28" t="n">
        <x:f>2.82-3.78*G1075+2.18*G1075^2</x:f>
        <x:v>2.30205</x:v>
      </x:c>
      <x:c r="V1075" s="32" t="n">
        <x:f>IF(AND(ISNUMBER(S1075),ISNUMBER(U1075)),ABS(S1075-U1075),IF(S1075=U1075,0,1))</x:f>
        <x:v>0</x:v>
      </x:c>
      <x:c r="W1075" s="30" t="str">
        <x:v>PASS</x:v>
      </x:c>
      <x:c r="X1075" s="28" t="str">
        <x:f>IF(V1075&lt;=1E-9,"PASS","FAIL")</x:f>
        <x:v>PASS</x:v>
      </x:c>
      <x:c r="Y1075" t="str">
        <x:v>CT (33)</x:v>
      </x:c>
      <x:c r="Z1075" t="str"/>
    </x:row>
    <x:row r="1076">
      <x:c r="A1076" t="str">
        <x:v>G1073</x:v>
      </x:c>
      <x:c r="B1076" t="str">
        <x:v>Bảng 17</x:v>
      </x:c>
      <x:c r="C1076" t="str">
        <x:v>zeta0</x:v>
      </x:c>
      <x:c r="D1076" t="str">
        <x:v>FORMULA</x:v>
      </x:c>
      <x:c r="E1076" t="str">
        <x:v>{"nu":0.15}</x:v>
      </x:c>
      <x:c r="F1076" t="str">
        <x:v>FORMULA-ZETA</x:v>
      </x:c>
      <x:c r="G1076" t="n">
        <x:v>0.15</x:v>
      </x:c>
      <x:c r="H1076"/>
      <x:c r="I1076"/>
      <x:c r="J1076"/>
      <x:c r="K1076"/>
      <x:c r="L1076"/>
      <x:c r="M1076"/>
      <x:c r="N1076"/>
      <x:c r="O1076"/>
      <x:c r="P1076"/>
      <x:c r="Q1076"/>
      <x:c r="R1076"/>
      <x:c r="S1076" t="n">
        <x:v>0.39978583479505314</x:v>
      </x:c>
      <x:c r="T1076" t="n">
        <x:v>0.39978583479505314</x:v>
      </x:c>
      <x:c r="U1076" s="28" t="n">
        <x:f>IF(ABS(G1076-0.5)&lt;1E-12,0.25,(1-2*G1076)/(2*LN(3-4*G1076)))</x:f>
        <x:v>0.39978583479505314</x:v>
      </x:c>
      <x:c r="V1076" s="32" t="n">
        <x:f>IF(AND(ISNUMBER(S1076),ISNUMBER(U1076)),ABS(S1076-U1076),IF(S1076=U1076,0,1))</x:f>
        <x:v>0</x:v>
      </x:c>
      <x:c r="W1076" s="30" t="str">
        <x:v>PASS</x:v>
      </x:c>
      <x:c r="X1076" s="28" t="str">
        <x:f>IF(V1076&lt;=1E-9,"PASS","FAIL")</x:f>
        <x:v>PASS</x:v>
      </x:c>
      <x:c r="Y1076" t="str">
        <x:v>CT (34)</x:v>
      </x:c>
      <x:c r="Z1076" t="str"/>
    </x:row>
    <x:row r="1077">
      <x:c r="A1077" t="str">
        <x:v>G1074</x:v>
      </x:c>
      <x:c r="B1077" t="str">
        <x:v>Bảng 17</x:v>
      </x:c>
      <x:c r="C1077" t="str">
        <x:v>m_v</x:v>
      </x:c>
      <x:c r="D1077" t="str">
        <x:v>EXACT</x:v>
      </x:c>
      <x:c r="E1077" t="str">
        <x:v>{"nu":0.2}</x:v>
      </x:c>
      <x:c r="F1077" t="str">
        <x:v>EXACT</x:v>
      </x:c>
      <x:c r="G1077"/>
      <x:c r="H1077"/>
      <x:c r="I1077"/>
      <x:c r="J1077"/>
      <x:c r="K1077"/>
      <x:c r="L1077"/>
      <x:c r="M1077" t="n">
        <x:v>1.491</x:v>
      </x:c>
      <x:c r="N1077"/>
      <x:c r="O1077"/>
      <x:c r="P1077"/>
      <x:c r="Q1077"/>
      <x:c r="R1077"/>
      <x:c r="S1077" t="n">
        <x:v>1.491</x:v>
      </x:c>
      <x:c r="T1077" t="n">
        <x:v>1.491</x:v>
      </x:c>
      <x:c r="U1077" s="28" t="n">
        <x:f>T1077</x:f>
        <x:v>1.491</x:v>
      </x:c>
      <x:c r="V1077" s="32" t="n">
        <x:f>IF(AND(ISNUMBER(S1077),ISNUMBER(U1077)),ABS(S1077-U1077),IF(S1077=U1077,0,1))</x:f>
        <x:v>0</x:v>
      </x:c>
      <x:c r="W1077" s="30" t="str">
        <x:v>PASS</x:v>
      </x:c>
      <x:c r="X1077" s="28" t="str">
        <x:f>IF(V1077&lt;=1E-9,"PASS","FAIL")</x:f>
        <x:v>PASS</x:v>
      </x:c>
      <x:c r="Y1077" t="str">
        <x:v>tr.60</x:v>
      </x:c>
      <x:c r="Z1077" t="str"/>
    </x:row>
    <x:row r="1078">
      <x:c r="A1078" t="str">
        <x:v>G1075</x:v>
      </x:c>
      <x:c r="B1078" t="str">
        <x:v>Bảng 17</x:v>
      </x:c>
      <x:c r="C1078" t="str">
        <x:v>k_v</x:v>
      </x:c>
      <x:c r="D1078" t="str">
        <x:v>FORMULA</x:v>
      </x:c>
      <x:c r="E1078" t="str">
        <x:v>{"nu":0.2}</x:v>
      </x:c>
      <x:c r="F1078" t="str">
        <x:v>FORMULA-KV</x:v>
      </x:c>
      <x:c r="G1078" t="n">
        <x:v>0.2</x:v>
      </x:c>
      <x:c r="H1078"/>
      <x:c r="I1078"/>
      <x:c r="J1078"/>
      <x:c r="K1078"/>
      <x:c r="L1078"/>
      <x:c r="M1078"/>
      <x:c r="N1078"/>
      <x:c r="O1078"/>
      <x:c r="P1078"/>
      <x:c r="Q1078"/>
      <x:c r="R1078"/>
      <x:c r="S1078" t="n">
        <x:v>2.1512000000000002</x:v>
      </x:c>
      <x:c r="T1078" t="n">
        <x:v>2.1512000000000002</x:v>
      </x:c>
      <x:c r="U1078" s="28" t="n">
        <x:f>2.82-3.78*G1078+2.18*G1078^2</x:f>
        <x:v>2.1512000000000002</x:v>
      </x:c>
      <x:c r="V1078" s="32" t="n">
        <x:f>IF(AND(ISNUMBER(S1078),ISNUMBER(U1078)),ABS(S1078-U1078),IF(S1078=U1078,0,1))</x:f>
        <x:v>0</x:v>
      </x:c>
      <x:c r="W1078" s="30" t="str">
        <x:v>PASS</x:v>
      </x:c>
      <x:c r="X1078" s="28" t="str">
        <x:f>IF(V1078&lt;=1E-9,"PASS","FAIL")</x:f>
        <x:v>PASS</x:v>
      </x:c>
      <x:c r="Y1078" t="str">
        <x:v>CT (33)</x:v>
      </x:c>
      <x:c r="Z1078" t="str"/>
    </x:row>
    <x:row r="1079">
      <x:c r="A1079" t="str">
        <x:v>G1076</x:v>
      </x:c>
      <x:c r="B1079" t="str">
        <x:v>Bảng 17</x:v>
      </x:c>
      <x:c r="C1079" t="str">
        <x:v>zeta0</x:v>
      </x:c>
      <x:c r="D1079" t="str">
        <x:v>FORMULA</x:v>
      </x:c>
      <x:c r="E1079" t="str">
        <x:v>{"nu":0.2}</x:v>
      </x:c>
      <x:c r="F1079" t="str">
        <x:v>FORMULA-ZETA</x:v>
      </x:c>
      <x:c r="G1079" t="n">
        <x:v>0.2</x:v>
      </x:c>
      <x:c r="H1079"/>
      <x:c r="I1079"/>
      <x:c r="J1079"/>
      <x:c r="K1079"/>
      <x:c r="L1079"/>
      <x:c r="M1079"/>
      <x:c r="N1079"/>
      <x:c r="O1079"/>
      <x:c r="P1079"/>
      <x:c r="Q1079"/>
      <x:c r="R1079"/>
      <x:c r="S1079" t="n">
        <x:v>0.38048982111270907</x:v>
      </x:c>
      <x:c r="T1079" t="n">
        <x:v>0.38048982111270907</x:v>
      </x:c>
      <x:c r="U1079" s="28" t="n">
        <x:f>IF(ABS(G1079-0.5)&lt;1E-12,0.25,(1-2*G1079)/(2*LN(3-4*G1079)))</x:f>
        <x:v>0.38048982111270907</x:v>
      </x:c>
      <x:c r="V1079" s="32" t="n">
        <x:f>IF(AND(ISNUMBER(S1079),ISNUMBER(U1079)),ABS(S1079-U1079),IF(S1079=U1079,0,1))</x:f>
        <x:v>0</x:v>
      </x:c>
      <x:c r="W1079" s="30" t="str">
        <x:v>PASS</x:v>
      </x:c>
      <x:c r="X1079" s="28" t="str">
        <x:f>IF(V1079&lt;=1E-9,"PASS","FAIL")</x:f>
        <x:v>PASS</x:v>
      </x:c>
      <x:c r="Y1079" t="str">
        <x:v>CT (34)</x:v>
      </x:c>
      <x:c r="Z1079" t="str"/>
    </x:row>
    <x:row r="1080">
      <x:c r="A1080" t="str">
        <x:v>G1077</x:v>
      </x:c>
      <x:c r="B1080" t="str">
        <x:v>Bảng 17</x:v>
      </x:c>
      <x:c r="C1080" t="str">
        <x:v>m_v</x:v>
      </x:c>
      <x:c r="D1080" t="str">
        <x:v>EXACT</x:v>
      </x:c>
      <x:c r="E1080" t="str">
        <x:v>{"nu":0.25}</x:v>
      </x:c>
      <x:c r="F1080" t="str">
        <x:v>EXACT</x:v>
      </x:c>
      <x:c r="G1080"/>
      <x:c r="H1080"/>
      <x:c r="I1080"/>
      <x:c r="J1080"/>
      <x:c r="K1080"/>
      <x:c r="L1080"/>
      <x:c r="M1080" t="n">
        <x:v>1.54</x:v>
      </x:c>
      <x:c r="N1080"/>
      <x:c r="O1080"/>
      <x:c r="P1080"/>
      <x:c r="Q1080"/>
      <x:c r="R1080"/>
      <x:c r="S1080" t="n">
        <x:v>1.54</x:v>
      </x:c>
      <x:c r="T1080" t="n">
        <x:v>1.54</x:v>
      </x:c>
      <x:c r="U1080" s="28" t="n">
        <x:f>T1080</x:f>
        <x:v>1.54</x:v>
      </x:c>
      <x:c r="V1080" s="32" t="n">
        <x:f>IF(AND(ISNUMBER(S1080),ISNUMBER(U1080)),ABS(S1080-U1080),IF(S1080=U1080,0,1))</x:f>
        <x:v>0</x:v>
      </x:c>
      <x:c r="W1080" s="30" t="str">
        <x:v>PASS</x:v>
      </x:c>
      <x:c r="X1080" s="28" t="str">
        <x:f>IF(V1080&lt;=1E-9,"PASS","FAIL")</x:f>
        <x:v>PASS</x:v>
      </x:c>
      <x:c r="Y1080" t="str">
        <x:v>tr.60</x:v>
      </x:c>
      <x:c r="Z1080" t="str"/>
    </x:row>
    <x:row r="1081">
      <x:c r="A1081" t="str">
        <x:v>G1078</x:v>
      </x:c>
      <x:c r="B1081" t="str">
        <x:v>Bảng 17</x:v>
      </x:c>
      <x:c r="C1081" t="str">
        <x:v>k_v</x:v>
      </x:c>
      <x:c r="D1081" t="str">
        <x:v>FORMULA</x:v>
      </x:c>
      <x:c r="E1081" t="str">
        <x:v>{"nu":0.25}</x:v>
      </x:c>
      <x:c r="F1081" t="str">
        <x:v>FORMULA-KV</x:v>
      </x:c>
      <x:c r="G1081" t="n">
        <x:v>0.25</x:v>
      </x:c>
      <x:c r="H1081"/>
      <x:c r="I1081"/>
      <x:c r="J1081"/>
      <x:c r="K1081"/>
      <x:c r="L1081"/>
      <x:c r="M1081"/>
      <x:c r="N1081"/>
      <x:c r="O1081"/>
      <x:c r="P1081"/>
      <x:c r="Q1081"/>
      <x:c r="R1081"/>
      <x:c r="S1081" t="n">
        <x:v>2.01125</x:v>
      </x:c>
      <x:c r="T1081" t="n">
        <x:v>2.01125</x:v>
      </x:c>
      <x:c r="U1081" s="28" t="n">
        <x:f>2.82-3.78*G1081+2.18*G1081^2</x:f>
        <x:v>2.01125</x:v>
      </x:c>
      <x:c r="V1081" s="32" t="n">
        <x:f>IF(AND(ISNUMBER(S1081),ISNUMBER(U1081)),ABS(S1081-U1081),IF(S1081=U1081,0,1))</x:f>
        <x:v>0</x:v>
      </x:c>
      <x:c r="W1081" s="30" t="str">
        <x:v>PASS</x:v>
      </x:c>
      <x:c r="X1081" s="28" t="str">
        <x:f>IF(V1081&lt;=1E-9,"PASS","FAIL")</x:f>
        <x:v>PASS</x:v>
      </x:c>
      <x:c r="Y1081" t="str">
        <x:v>CT (33)</x:v>
      </x:c>
      <x:c r="Z1081" t="str"/>
    </x:row>
    <x:row r="1082">
      <x:c r="A1082" t="str">
        <x:v>G1079</x:v>
      </x:c>
      <x:c r="B1082" t="str">
        <x:v>Bảng 17</x:v>
      </x:c>
      <x:c r="C1082" t="str">
        <x:v>zeta0</x:v>
      </x:c>
      <x:c r="D1082" t="str">
        <x:v>FORMULA</x:v>
      </x:c>
      <x:c r="E1082" t="str">
        <x:v>{"nu":0.25}</x:v>
      </x:c>
      <x:c r="F1082" t="str">
        <x:v>FORMULA-ZETA</x:v>
      </x:c>
      <x:c r="G1082" t="n">
        <x:v>0.25</x:v>
      </x:c>
      <x:c r="H1082"/>
      <x:c r="I1082"/>
      <x:c r="J1082"/>
      <x:c r="K1082"/>
      <x:c r="L1082"/>
      <x:c r="M1082"/>
      <x:c r="N1082"/>
      <x:c r="O1082"/>
      <x:c r="P1082"/>
      <x:c r="Q1082"/>
      <x:c r="R1082"/>
      <x:c r="S1082" t="n">
        <x:v>0.36067376022224085</x:v>
      </x:c>
      <x:c r="T1082" t="n">
        <x:v>0.36067376022224085</x:v>
      </x:c>
      <x:c r="U1082" s="28" t="n">
        <x:f>IF(ABS(G1082-0.5)&lt;1E-12,0.25,(1-2*G1082)/(2*LN(3-4*G1082)))</x:f>
        <x:v>0.36067376022224085</x:v>
      </x:c>
      <x:c r="V1082" s="32" t="n">
        <x:f>IF(AND(ISNUMBER(S1082),ISNUMBER(U1082)),ABS(S1082-U1082),IF(S1082=U1082,0,1))</x:f>
        <x:v>0</x:v>
      </x:c>
      <x:c r="W1082" s="30" t="str">
        <x:v>PASS</x:v>
      </x:c>
      <x:c r="X1082" s="28" t="str">
        <x:f>IF(V1082&lt;=1E-9,"PASS","FAIL")</x:f>
        <x:v>PASS</x:v>
      </x:c>
      <x:c r="Y1082" t="str">
        <x:v>CT (34)</x:v>
      </x:c>
      <x:c r="Z1082" t="str"/>
    </x:row>
    <x:row r="1083">
      <x:c r="A1083" t="str">
        <x:v>G1080</x:v>
      </x:c>
      <x:c r="B1083" t="str">
        <x:v>Bảng 17</x:v>
      </x:c>
      <x:c r="C1083" t="str">
        <x:v>m_v</x:v>
      </x:c>
      <x:c r="D1083" t="str">
        <x:v>EXACT</x:v>
      </x:c>
      <x:c r="E1083" t="str">
        <x:v>{"nu":0.3}</x:v>
      </x:c>
      <x:c r="F1083" t="str">
        <x:v>EXACT</x:v>
      </x:c>
      <x:c r="G1083"/>
      <x:c r="H1083"/>
      <x:c r="I1083"/>
      <x:c r="J1083"/>
      <x:c r="K1083"/>
      <x:c r="L1083"/>
      <x:c r="M1083" t="n">
        <x:v>1.607</x:v>
      </x:c>
      <x:c r="N1083"/>
      <x:c r="O1083"/>
      <x:c r="P1083"/>
      <x:c r="Q1083"/>
      <x:c r="R1083"/>
      <x:c r="S1083" t="n">
        <x:v>1.607</x:v>
      </x:c>
      <x:c r="T1083" t="n">
        <x:v>1.607</x:v>
      </x:c>
      <x:c r="U1083" s="28" t="n">
        <x:f>T1083</x:f>
        <x:v>1.607</x:v>
      </x:c>
      <x:c r="V1083" s="32" t="n">
        <x:f>IF(AND(ISNUMBER(S1083),ISNUMBER(U1083)),ABS(S1083-U1083),IF(S1083=U1083,0,1))</x:f>
        <x:v>0</x:v>
      </x:c>
      <x:c r="W1083" s="30" t="str">
        <x:v>PASS</x:v>
      </x:c>
      <x:c r="X1083" s="28" t="str">
        <x:f>IF(V1083&lt;=1E-9,"PASS","FAIL")</x:f>
        <x:v>PASS</x:v>
      </x:c>
      <x:c r="Y1083" t="str">
        <x:v>tr.60</x:v>
      </x:c>
      <x:c r="Z1083" t="str"/>
    </x:row>
    <x:row r="1084">
      <x:c r="A1084" t="str">
        <x:v>G1081</x:v>
      </x:c>
      <x:c r="B1084" t="str">
        <x:v>Bảng 17</x:v>
      </x:c>
      <x:c r="C1084" t="str">
        <x:v>k_v</x:v>
      </x:c>
      <x:c r="D1084" t="str">
        <x:v>FORMULA</x:v>
      </x:c>
      <x:c r="E1084" t="str">
        <x:v>{"nu":0.3}</x:v>
      </x:c>
      <x:c r="F1084" t="str">
        <x:v>FORMULA-KV</x:v>
      </x:c>
      <x:c r="G1084" t="n">
        <x:v>0.3</x:v>
      </x:c>
      <x:c r="H1084"/>
      <x:c r="I1084"/>
      <x:c r="J1084"/>
      <x:c r="K1084"/>
      <x:c r="L1084"/>
      <x:c r="M1084"/>
      <x:c r="N1084"/>
      <x:c r="O1084"/>
      <x:c r="P1084"/>
      <x:c r="Q1084"/>
      <x:c r="R1084"/>
      <x:c r="S1084" t="n">
        <x:v>1.8821999999999999</x:v>
      </x:c>
      <x:c r="T1084" t="n">
        <x:v>1.8821999999999999</x:v>
      </x:c>
      <x:c r="U1084" s="28" t="n">
        <x:f>2.82-3.78*G1084+2.18*G1084^2</x:f>
        <x:v>1.8821999999999999</x:v>
      </x:c>
      <x:c r="V1084" s="32" t="n">
        <x:f>IF(AND(ISNUMBER(S1084),ISNUMBER(U1084)),ABS(S1084-U1084),IF(S1084=U1084,0,1))</x:f>
        <x:v>0</x:v>
      </x:c>
      <x:c r="W1084" s="30" t="str">
        <x:v>PASS</x:v>
      </x:c>
      <x:c r="X1084" s="28" t="str">
        <x:f>IF(V1084&lt;=1E-9,"PASS","FAIL")</x:f>
        <x:v>PASS</x:v>
      </x:c>
      <x:c r="Y1084" t="str">
        <x:v>CT (33)</x:v>
      </x:c>
      <x:c r="Z1084" t="str"/>
    </x:row>
    <x:row r="1085">
      <x:c r="A1085" t="str">
        <x:v>G1082</x:v>
      </x:c>
      <x:c r="B1085" t="str">
        <x:v>Bảng 17</x:v>
      </x:c>
      <x:c r="C1085" t="str">
        <x:v>zeta0</x:v>
      </x:c>
      <x:c r="D1085" t="str">
        <x:v>FORMULA</x:v>
      </x:c>
      <x:c r="E1085" t="str">
        <x:v>{"nu":0.3}</x:v>
      </x:c>
      <x:c r="F1085" t="str">
        <x:v>FORMULA-ZETA</x:v>
      </x:c>
      <x:c r="G1085" t="n">
        <x:v>0.3</x:v>
      </x:c>
      <x:c r="H1085"/>
      <x:c r="I1085"/>
      <x:c r="J1085"/>
      <x:c r="K1085"/>
      <x:c r="L1085"/>
      <x:c r="M1085"/>
      <x:c r="N1085"/>
      <x:c r="O1085"/>
      <x:c r="P1085"/>
      <x:c r="Q1085"/>
      <x:c r="R1085"/>
      <x:c r="S1085" t="n">
        <x:v>0.34025950560362733</x:v>
      </x:c>
      <x:c r="T1085" t="n">
        <x:v>0.34025950560362733</x:v>
      </x:c>
      <x:c r="U1085" s="28" t="n">
        <x:f>IF(ABS(G1085-0.5)&lt;1E-12,0.25,(1-2*G1085)/(2*LN(3-4*G1085)))</x:f>
        <x:v>0.34025950560362733</x:v>
      </x:c>
      <x:c r="V1085" s="32" t="n">
        <x:f>IF(AND(ISNUMBER(S1085),ISNUMBER(U1085)),ABS(S1085-U1085),IF(S1085=U1085,0,1))</x:f>
        <x:v>0</x:v>
      </x:c>
      <x:c r="W1085" s="30" t="str">
        <x:v>PASS</x:v>
      </x:c>
      <x:c r="X1085" s="28" t="str">
        <x:f>IF(V1085&lt;=1E-9,"PASS","FAIL")</x:f>
        <x:v>PASS</x:v>
      </x:c>
      <x:c r="Y1085" t="str">
        <x:v>CT (34)</x:v>
      </x:c>
      <x:c r="Z1085" t="str"/>
    </x:row>
    <x:row r="1086">
      <x:c r="A1086" t="str">
        <x:v>G1083</x:v>
      </x:c>
      <x:c r="B1086" t="str">
        <x:v>Bảng 17</x:v>
      </x:c>
      <x:c r="C1086" t="str">
        <x:v>m_v</x:v>
      </x:c>
      <x:c r="D1086" t="str">
        <x:v>EXACT</x:v>
      </x:c>
      <x:c r="E1086" t="str">
        <x:v>{"nu":0.35}</x:v>
      </x:c>
      <x:c r="F1086" t="str">
        <x:v>EXACT</x:v>
      </x:c>
      <x:c r="G1086"/>
      <x:c r="H1086"/>
      <x:c r="I1086"/>
      <x:c r="J1086"/>
      <x:c r="K1086"/>
      <x:c r="L1086"/>
      <x:c r="M1086" t="n">
        <x:v>1.685</x:v>
      </x:c>
      <x:c r="N1086"/>
      <x:c r="O1086"/>
      <x:c r="P1086"/>
      <x:c r="Q1086"/>
      <x:c r="R1086"/>
      <x:c r="S1086" t="n">
        <x:v>1.685</x:v>
      </x:c>
      <x:c r="T1086" t="n">
        <x:v>1.685</x:v>
      </x:c>
      <x:c r="U1086" s="28" t="n">
        <x:f>T1086</x:f>
        <x:v>1.685</x:v>
      </x:c>
      <x:c r="V1086" s="32" t="n">
        <x:f>IF(AND(ISNUMBER(S1086),ISNUMBER(U1086)),ABS(S1086-U1086),IF(S1086=U1086,0,1))</x:f>
        <x:v>0</x:v>
      </x:c>
      <x:c r="W1086" s="30" t="str">
        <x:v>PASS</x:v>
      </x:c>
      <x:c r="X1086" s="28" t="str">
        <x:f>IF(V1086&lt;=1E-9,"PASS","FAIL")</x:f>
        <x:v>PASS</x:v>
      </x:c>
      <x:c r="Y1086" t="str">
        <x:v>tr.60</x:v>
      </x:c>
      <x:c r="Z1086" t="str"/>
    </x:row>
    <x:row r="1087">
      <x:c r="A1087" t="str">
        <x:v>G1084</x:v>
      </x:c>
      <x:c r="B1087" t="str">
        <x:v>Bảng 17</x:v>
      </x:c>
      <x:c r="C1087" t="str">
        <x:v>k_v</x:v>
      </x:c>
      <x:c r="D1087" t="str">
        <x:v>FORMULA</x:v>
      </x:c>
      <x:c r="E1087" t="str">
        <x:v>{"nu":0.35}</x:v>
      </x:c>
      <x:c r="F1087" t="str">
        <x:v>FORMULA-KV</x:v>
      </x:c>
      <x:c r="G1087" t="n">
        <x:v>0.35</x:v>
      </x:c>
      <x:c r="H1087"/>
      <x:c r="I1087"/>
      <x:c r="J1087"/>
      <x:c r="K1087"/>
      <x:c r="L1087"/>
      <x:c r="M1087"/>
      <x:c r="N1087"/>
      <x:c r="O1087"/>
      <x:c r="P1087"/>
      <x:c r="Q1087"/>
      <x:c r="R1087"/>
      <x:c r="S1087" t="n">
        <x:v>1.76405</x:v>
      </x:c>
      <x:c r="T1087" t="n">
        <x:v>1.76405</x:v>
      </x:c>
      <x:c r="U1087" s="28" t="n">
        <x:f>2.82-3.78*G1087+2.18*G1087^2</x:f>
        <x:v>1.76405</x:v>
      </x:c>
      <x:c r="V1087" s="32" t="n">
        <x:f>IF(AND(ISNUMBER(S1087),ISNUMBER(U1087)),ABS(S1087-U1087),IF(S1087=U1087,0,1))</x:f>
        <x:v>0</x:v>
      </x:c>
      <x:c r="W1087" s="30" t="str">
        <x:v>PASS</x:v>
      </x:c>
      <x:c r="X1087" s="28" t="str">
        <x:f>IF(V1087&lt;=1E-9,"PASS","FAIL")</x:f>
        <x:v>PASS</x:v>
      </x:c>
      <x:c r="Y1087" t="str">
        <x:v>CT (33)</x:v>
      </x:c>
      <x:c r="Z1087" t="str"/>
    </x:row>
    <x:row r="1088">
      <x:c r="A1088" t="str">
        <x:v>G1085</x:v>
      </x:c>
      <x:c r="B1088" t="str">
        <x:v>Bảng 17</x:v>
      </x:c>
      <x:c r="C1088" t="str">
        <x:v>zeta0</x:v>
      </x:c>
      <x:c r="D1088" t="str">
        <x:v>FORMULA</x:v>
      </x:c>
      <x:c r="E1088" t="str">
        <x:v>{"nu":0.35}</x:v>
      </x:c>
      <x:c r="F1088" t="str">
        <x:v>FORMULA-ZETA</x:v>
      </x:c>
      <x:c r="G1088" t="n">
        <x:v>0.35</x:v>
      </x:c>
      <x:c r="H1088"/>
      <x:c r="I1088"/>
      <x:c r="J1088"/>
      <x:c r="K1088"/>
      <x:c r="L1088"/>
      <x:c r="M1088"/>
      <x:c r="N1088"/>
      <x:c r="O1088"/>
      <x:c r="P1088"/>
      <x:c r="Q1088"/>
      <x:c r="R1088"/>
      <x:c r="S1088" t="n">
        <x:v>0.31914647178516653</x:v>
      </x:c>
      <x:c r="T1088" t="n">
        <x:v>0.31914647178516653</x:v>
      </x:c>
      <x:c r="U1088" s="28" t="n">
        <x:f>IF(ABS(G1088-0.5)&lt;1E-12,0.25,(1-2*G1088)/(2*LN(3-4*G1088)))</x:f>
        <x:v>0.3191464717851665</x:v>
      </x:c>
      <x:c r="V1088" s="32" t="n">
        <x:f>IF(AND(ISNUMBER(S1088),ISNUMBER(U1088)),ABS(S1088-U1088),IF(S1088=U1088,0,1))</x:f>
        <x:v>5.551115123125783e-17</x:v>
      </x:c>
      <x:c r="W1088" s="30" t="str">
        <x:v>PASS</x:v>
      </x:c>
      <x:c r="X1088" s="28" t="str">
        <x:f>IF(V1088&lt;=1E-9,"PASS","FAIL")</x:f>
        <x:v>PASS</x:v>
      </x:c>
      <x:c r="Y1088" t="str">
        <x:v>CT (34)</x:v>
      </x:c>
      <x:c r="Z1088" t="str"/>
    </x:row>
    <x:row r="1089">
      <x:c r="A1089" t="str">
        <x:v>G1086</x:v>
      </x:c>
      <x:c r="B1089" t="str">
        <x:v>Bảng 17</x:v>
      </x:c>
      <x:c r="C1089" t="str">
        <x:v>m_v</x:v>
      </x:c>
      <x:c r="D1089" t="str">
        <x:v>EXACT</x:v>
      </x:c>
      <x:c r="E1089" t="str">
        <x:v>{"nu":0.4}</x:v>
      </x:c>
      <x:c r="F1089" t="str">
        <x:v>EXACT</x:v>
      </x:c>
      <x:c r="G1089"/>
      <x:c r="H1089"/>
      <x:c r="I1089"/>
      <x:c r="J1089"/>
      <x:c r="K1089"/>
      <x:c r="L1089"/>
      <x:c r="M1089" t="n">
        <x:v>1.786</x:v>
      </x:c>
      <x:c r="N1089"/>
      <x:c r="O1089"/>
      <x:c r="P1089"/>
      <x:c r="Q1089"/>
      <x:c r="R1089"/>
      <x:c r="S1089" t="n">
        <x:v>1.786</x:v>
      </x:c>
      <x:c r="T1089" t="n">
        <x:v>1.786</x:v>
      </x:c>
      <x:c r="U1089" s="28" t="n">
        <x:f>T1089</x:f>
        <x:v>1.786</x:v>
      </x:c>
      <x:c r="V1089" s="32" t="n">
        <x:f>IF(AND(ISNUMBER(S1089),ISNUMBER(U1089)),ABS(S1089-U1089),IF(S1089=U1089,0,1))</x:f>
        <x:v>0</x:v>
      </x:c>
      <x:c r="W1089" s="30" t="str">
        <x:v>PASS</x:v>
      </x:c>
      <x:c r="X1089" s="28" t="str">
        <x:f>IF(V1089&lt;=1E-9,"PASS","FAIL")</x:f>
        <x:v>PASS</x:v>
      </x:c>
      <x:c r="Y1089" t="str">
        <x:v>tr.60</x:v>
      </x:c>
      <x:c r="Z1089" t="str"/>
    </x:row>
    <x:row r="1090">
      <x:c r="A1090" t="str">
        <x:v>G1087</x:v>
      </x:c>
      <x:c r="B1090" t="str">
        <x:v>Bảng 17</x:v>
      </x:c>
      <x:c r="C1090" t="str">
        <x:v>k_v</x:v>
      </x:c>
      <x:c r="D1090" t="str">
        <x:v>FORMULA</x:v>
      </x:c>
      <x:c r="E1090" t="str">
        <x:v>{"nu":0.4}</x:v>
      </x:c>
      <x:c r="F1090" t="str">
        <x:v>FORMULA-KV</x:v>
      </x:c>
      <x:c r="G1090" t="n">
        <x:v>0.4</x:v>
      </x:c>
      <x:c r="H1090"/>
      <x:c r="I1090"/>
      <x:c r="J1090"/>
      <x:c r="K1090"/>
      <x:c r="L1090"/>
      <x:c r="M1090"/>
      <x:c r="N1090"/>
      <x:c r="O1090"/>
      <x:c r="P1090"/>
      <x:c r="Q1090"/>
      <x:c r="R1090"/>
      <x:c r="S1090" t="n">
        <x:v>1.6567999999999998</x:v>
      </x:c>
      <x:c r="T1090" t="n">
        <x:v>1.6567999999999998</x:v>
      </x:c>
      <x:c r="U1090" s="28" t="n">
        <x:f>2.82-3.78*G1090+2.18*G1090^2</x:f>
        <x:v>1.6568</x:v>
      </x:c>
      <x:c r="V1090" s="32" t="n">
        <x:f>IF(AND(ISNUMBER(S1090),ISNUMBER(U1090)),ABS(S1090-U1090),IF(S1090=U1090,0,1))</x:f>
        <x:v>2.220446049250313e-16</x:v>
      </x:c>
      <x:c r="W1090" s="30" t="str">
        <x:v>PASS</x:v>
      </x:c>
      <x:c r="X1090" s="28" t="str">
        <x:f>IF(V1090&lt;=1E-9,"PASS","FAIL")</x:f>
        <x:v>PASS</x:v>
      </x:c>
      <x:c r="Y1090" t="str">
        <x:v>CT (33)</x:v>
      </x:c>
      <x:c r="Z1090" t="str"/>
    </x:row>
    <x:row r="1091">
      <x:c r="A1091" t="str">
        <x:v>G1088</x:v>
      </x:c>
      <x:c r="B1091" t="str">
        <x:v>Bảng 17</x:v>
      </x:c>
      <x:c r="C1091" t="str">
        <x:v>zeta0</x:v>
      </x:c>
      <x:c r="D1091" t="str">
        <x:v>FORMULA</x:v>
      </x:c>
      <x:c r="E1091" t="str">
        <x:v>{"nu":0.4}</x:v>
      </x:c>
      <x:c r="F1091" t="str">
        <x:v>FORMULA-ZETA</x:v>
      </x:c>
      <x:c r="G1091" t="n">
        <x:v>0.4</x:v>
      </x:c>
      <x:c r="H1091"/>
      <x:c r="I1091"/>
      <x:c r="J1091"/>
      <x:c r="K1091"/>
      <x:c r="L1091"/>
      <x:c r="M1091"/>
      <x:c r="N1091"/>
      <x:c r="O1091"/>
      <x:c r="P1091"/>
      <x:c r="Q1091"/>
      <x:c r="R1091"/>
      <x:c r="S1091" t="n">
        <x:v>0.29720134119884617</x:v>
      </x:c>
      <x:c r="T1091" t="n">
        <x:v>0.29720134119884617</x:v>
      </x:c>
      <x:c r="U1091" s="28" t="n">
        <x:f>IF(ABS(G1091-0.5)&lt;1E-12,0.25,(1-2*G1091)/(2*LN(3-4*G1091)))</x:f>
        <x:v>0.2972013411988461</x:v>
      </x:c>
      <x:c r="V1091" s="32" t="n">
        <x:f>IF(AND(ISNUMBER(S1091),ISNUMBER(U1091)),ABS(S1091-U1091),IF(S1091=U1091,0,1))</x:f>
        <x:v>5.551115123125783e-17</x:v>
      </x:c>
      <x:c r="W1091" s="30" t="str">
        <x:v>PASS</x:v>
      </x:c>
      <x:c r="X1091" s="28" t="str">
        <x:f>IF(V1091&lt;=1E-9,"PASS","FAIL")</x:f>
        <x:v>PASS</x:v>
      </x:c>
      <x:c r="Y1091" t="str">
        <x:v>CT (34)</x:v>
      </x:c>
      <x:c r="Z1091" t="str"/>
    </x:row>
    <x:row r="1092">
      <x:c r="A1092" t="str">
        <x:v>G1089</x:v>
      </x:c>
      <x:c r="B1092" t="str">
        <x:v>Bảng 17</x:v>
      </x:c>
      <x:c r="C1092" t="str">
        <x:v>m_v</x:v>
      </x:c>
      <x:c r="D1092" t="str">
        <x:v>EXACT</x:v>
      </x:c>
      <x:c r="E1092" t="str">
        <x:v>{"nu":0.45}</x:v>
      </x:c>
      <x:c r="F1092" t="str">
        <x:v>EXACT</x:v>
      </x:c>
      <x:c r="G1092"/>
      <x:c r="H1092"/>
      <x:c r="I1092"/>
      <x:c r="J1092"/>
      <x:c r="K1092"/>
      <x:c r="L1092"/>
      <x:c r="M1092" t="n">
        <x:v>1.916</x:v>
      </x:c>
      <x:c r="N1092"/>
      <x:c r="O1092"/>
      <x:c r="P1092"/>
      <x:c r="Q1092"/>
      <x:c r="R1092"/>
      <x:c r="S1092" t="n">
        <x:v>1.916</x:v>
      </x:c>
      <x:c r="T1092" t="n">
        <x:v>1.916</x:v>
      </x:c>
      <x:c r="U1092" s="28" t="n">
        <x:f>T1092</x:f>
        <x:v>1.916</x:v>
      </x:c>
      <x:c r="V1092" s="32" t="n">
        <x:f>IF(AND(ISNUMBER(S1092),ISNUMBER(U1092)),ABS(S1092-U1092),IF(S1092=U1092,0,1))</x:f>
        <x:v>0</x:v>
      </x:c>
      <x:c r="W1092" s="30" t="str">
        <x:v>PASS</x:v>
      </x:c>
      <x:c r="X1092" s="28" t="str">
        <x:f>IF(V1092&lt;=1E-9,"PASS","FAIL")</x:f>
        <x:v>PASS</x:v>
      </x:c>
      <x:c r="Y1092" t="str">
        <x:v>tr.60</x:v>
      </x:c>
      <x:c r="Z1092" t="str"/>
    </x:row>
    <x:row r="1093">
      <x:c r="A1093" t="str">
        <x:v>G1090</x:v>
      </x:c>
      <x:c r="B1093" t="str">
        <x:v>Bảng 17</x:v>
      </x:c>
      <x:c r="C1093" t="str">
        <x:v>k_v</x:v>
      </x:c>
      <x:c r="D1093" t="str">
        <x:v>FORMULA</x:v>
      </x:c>
      <x:c r="E1093" t="str">
        <x:v>{"nu":0.45}</x:v>
      </x:c>
      <x:c r="F1093" t="str">
        <x:v>FORMULA-KV</x:v>
      </x:c>
      <x:c r="G1093" t="n">
        <x:v>0.45</x:v>
      </x:c>
      <x:c r="H1093"/>
      <x:c r="I1093"/>
      <x:c r="J1093"/>
      <x:c r="K1093"/>
      <x:c r="L1093"/>
      <x:c r="M1093"/>
      <x:c r="N1093"/>
      <x:c r="O1093"/>
      <x:c r="P1093"/>
      <x:c r="Q1093"/>
      <x:c r="R1093"/>
      <x:c r="S1093" t="n">
        <x:v>1.5604500000000001</x:v>
      </x:c>
      <x:c r="T1093" t="n">
        <x:v>1.5604500000000001</x:v>
      </x:c>
      <x:c r="U1093" s="28" t="n">
        <x:f>2.82-3.78*G1093+2.18*G1093^2</x:f>
        <x:v>1.5604500000000001</x:v>
      </x:c>
      <x:c r="V1093" s="32" t="n">
        <x:f>IF(AND(ISNUMBER(S1093),ISNUMBER(U1093)),ABS(S1093-U1093),IF(S1093=U1093,0,1))</x:f>
        <x:v>0</x:v>
      </x:c>
      <x:c r="W1093" s="30" t="str">
        <x:v>PASS</x:v>
      </x:c>
      <x:c r="X1093" s="28" t="str">
        <x:f>IF(V1093&lt;=1E-9,"PASS","FAIL")</x:f>
        <x:v>PASS</x:v>
      </x:c>
      <x:c r="Y1093" t="str">
        <x:v>CT (33)</x:v>
      </x:c>
      <x:c r="Z1093" t="str"/>
    </x:row>
    <x:row r="1094">
      <x:c r="A1094" t="str">
        <x:v>G1091</x:v>
      </x:c>
      <x:c r="B1094" t="str">
        <x:v>Bảng 17</x:v>
      </x:c>
      <x:c r="C1094" t="str">
        <x:v>zeta0</x:v>
      </x:c>
      <x:c r="D1094" t="str">
        <x:v>FORMULA</x:v>
      </x:c>
      <x:c r="E1094" t="str">
        <x:v>{"nu":0.45}</x:v>
      </x:c>
      <x:c r="F1094" t="str">
        <x:v>FORMULA-ZETA</x:v>
      </x:c>
      <x:c r="G1094" t="n">
        <x:v>0.45</x:v>
      </x:c>
      <x:c r="H1094"/>
      <x:c r="I1094"/>
      <x:c r="J1094"/>
      <x:c r="K1094"/>
      <x:c r="L1094"/>
      <x:c r="M1094"/>
      <x:c r="N1094"/>
      <x:c r="O1094"/>
      <x:c r="P1094"/>
      <x:c r="Q1094"/>
      <x:c r="R1094"/>
      <x:c r="S1094" t="n">
        <x:v>0.2742407473873538</x:v>
      </x:c>
      <x:c r="T1094" t="n">
        <x:v>0.2742407473873538</x:v>
      </x:c>
      <x:c r="U1094" s="28" t="n">
        <x:f>IF(ABS(G1094-0.5)&lt;1E-12,0.25,(1-2*G1094)/(2*LN(3-4*G1094)))</x:f>
        <x:v>0.2742407473873538</x:v>
      </x:c>
      <x:c r="V1094" s="32" t="n">
        <x:f>IF(AND(ISNUMBER(S1094),ISNUMBER(U1094)),ABS(S1094-U1094),IF(S1094=U1094,0,1))</x:f>
        <x:v>0</x:v>
      </x:c>
      <x:c r="W1094" s="30" t="str">
        <x:v>PASS</x:v>
      </x:c>
      <x:c r="X1094" s="28" t="str">
        <x:f>IF(V1094&lt;=1E-9,"PASS","FAIL")</x:f>
        <x:v>PASS</x:v>
      </x:c>
      <x:c r="Y1094" t="str">
        <x:v>CT (34)</x:v>
      </x:c>
      <x:c r="Z1094" t="str"/>
    </x:row>
    <x:row r="1095">
      <x:c r="A1095" t="str">
        <x:v>G1092</x:v>
      </x:c>
      <x:c r="B1095" t="str">
        <x:v>Bảng 17</x:v>
      </x:c>
      <x:c r="C1095" t="str">
        <x:v>m_v</x:v>
      </x:c>
      <x:c r="D1095" t="str">
        <x:v>EXACT</x:v>
      </x:c>
      <x:c r="E1095" t="str">
        <x:v>{"nu":0.5}</x:v>
      </x:c>
      <x:c r="F1095" t="str">
        <x:v>EXACT</x:v>
      </x:c>
      <x:c r="G1095"/>
      <x:c r="H1095"/>
      <x:c r="I1095"/>
      <x:c r="J1095"/>
      <x:c r="K1095"/>
      <x:c r="L1095"/>
      <x:c r="M1095" t="n">
        <x:v>2.01</x:v>
      </x:c>
      <x:c r="N1095"/>
      <x:c r="O1095"/>
      <x:c r="P1095"/>
      <x:c r="Q1095"/>
      <x:c r="R1095"/>
      <x:c r="S1095" t="n">
        <x:v>2.01</x:v>
      </x:c>
      <x:c r="T1095" t="n">
        <x:v>2.01</x:v>
      </x:c>
      <x:c r="U1095" s="28" t="n">
        <x:f>T1095</x:f>
        <x:v>2.01</x:v>
      </x:c>
      <x:c r="V1095" s="32" t="n">
        <x:f>IF(AND(ISNUMBER(S1095),ISNUMBER(U1095)),ABS(S1095-U1095),IF(S1095=U1095,0,1))</x:f>
        <x:v>0</x:v>
      </x:c>
      <x:c r="W1095" s="30" t="str">
        <x:v>PASS</x:v>
      </x:c>
      <x:c r="X1095" s="28" t="str">
        <x:f>IF(V1095&lt;=1E-9,"PASS","FAIL")</x:f>
        <x:v>PASS</x:v>
      </x:c>
      <x:c r="Y1095" t="str">
        <x:v>tr.60</x:v>
      </x:c>
      <x:c r="Z1095" t="str"/>
    </x:row>
    <x:row r="1096">
      <x:c r="A1096" t="str">
        <x:v>G1093</x:v>
      </x:c>
      <x:c r="B1096" t="str">
        <x:v>Bảng 17</x:v>
      </x:c>
      <x:c r="C1096" t="str">
        <x:v>k_v</x:v>
      </x:c>
      <x:c r="D1096" t="str">
        <x:v>FORMULA</x:v>
      </x:c>
      <x:c r="E1096" t="str">
        <x:v>{"nu":0.5}</x:v>
      </x:c>
      <x:c r="F1096" t="str">
        <x:v>FORMULA-KV</x:v>
      </x:c>
      <x:c r="G1096" t="n">
        <x:v>0.5</x:v>
      </x:c>
      <x:c r="H1096"/>
      <x:c r="I1096"/>
      <x:c r="J1096"/>
      <x:c r="K1096"/>
      <x:c r="L1096"/>
      <x:c r="M1096"/>
      <x:c r="N1096"/>
      <x:c r="O1096"/>
      <x:c r="P1096"/>
      <x:c r="Q1096"/>
      <x:c r="R1096"/>
      <x:c r="S1096" t="n">
        <x:v>1.475</x:v>
      </x:c>
      <x:c r="T1096" t="n">
        <x:v>1.475</x:v>
      </x:c>
      <x:c r="U1096" s="28" t="n">
        <x:f>2.82-3.78*G1096+2.18*G1096^2</x:f>
        <x:v>1.475</x:v>
      </x:c>
      <x:c r="V1096" s="32" t="n">
        <x:f>IF(AND(ISNUMBER(S1096),ISNUMBER(U1096)),ABS(S1096-U1096),IF(S1096=U1096,0,1))</x:f>
        <x:v>0</x:v>
      </x:c>
      <x:c r="W1096" s="30" t="str">
        <x:v>PASS</x:v>
      </x:c>
      <x:c r="X1096" s="28" t="str">
        <x:f>IF(V1096&lt;=1E-9,"PASS","FAIL")</x:f>
        <x:v>PASS</x:v>
      </x:c>
      <x:c r="Y1096" t="str">
        <x:v>CT (33)</x:v>
      </x:c>
      <x:c r="Z1096" t="str"/>
    </x:row>
    <x:row r="1097">
      <x:c r="A1097" t="str">
        <x:v>G1094</x:v>
      </x:c>
      <x:c r="B1097" t="str">
        <x:v>Bảng 17</x:v>
      </x:c>
      <x:c r="C1097" t="str">
        <x:v>zeta0</x:v>
      </x:c>
      <x:c r="D1097" t="str">
        <x:v>FORMULA</x:v>
      </x:c>
      <x:c r="E1097" t="str">
        <x:v>{"nu":0.5}</x:v>
      </x:c>
      <x:c r="F1097" t="str">
        <x:v>FORMULA-ZETA</x:v>
      </x:c>
      <x:c r="G1097" t="n">
        <x:v>0.5</x:v>
      </x:c>
      <x:c r="H1097"/>
      <x:c r="I1097"/>
      <x:c r="J1097"/>
      <x:c r="K1097"/>
      <x:c r="L1097"/>
      <x:c r="M1097"/>
      <x:c r="N1097"/>
      <x:c r="O1097"/>
      <x:c r="P1097"/>
      <x:c r="Q1097"/>
      <x:c r="R1097"/>
      <x:c r="S1097" t="n">
        <x:v>0.25</x:v>
      </x:c>
      <x:c r="T1097" t="n">
        <x:v>0.25</x:v>
      </x:c>
      <x:c r="U1097" s="28" t="n">
        <x:f>0.25</x:f>
        <x:v>0.25</x:v>
      </x:c>
      <x:c r="V1097" s="32" t="n">
        <x:f>IF(AND(ISNUMBER(S1097),ISNUMBER(U1097)),ABS(S1097-U1097),IF(S1097=U1097,0,1))</x:f>
        <x:v>0</x:v>
      </x:c>
      <x:c r="W1097" s="30" t="str">
        <x:v>PASS</x:v>
      </x:c>
      <x:c r="X1097" s="28" t="str">
        <x:f>IF(V1097&lt;=1E-9,"PASS","FAIL")</x:f>
        <x:v>PASS</x:v>
      </x:c>
      <x:c r="Y1097" t="str">
        <x:v>CT (34)</x:v>
      </x:c>
      <x:c r="Z1097" t="str"/>
    </x:row>
    <x:row r="1098">
      <x:c r="A1098" t="str">
        <x:v>G1095</x:v>
      </x:c>
      <x:c r="B1098" t="str">
        <x:v>Bảng 17</x:v>
      </x:c>
      <x:c r="C1098" t="str">
        <x:v>m_v</x:v>
      </x:c>
      <x:c r="D1098" t="str">
        <x:v>MID</x:v>
      </x:c>
      <x:c r="E1098" t="str">
        <x:v>{"nu":0.025}</x:v>
      </x:c>
      <x:c r="F1098" t="str">
        <x:v>LINEAR-1D</x:v>
      </x:c>
      <x:c r="G1098" t="n">
        <x:v>0.025</x:v>
      </x:c>
      <x:c r="H1098"/>
      <x:c r="I1098" t="n">
        <x:v>0</x:v>
      </x:c>
      <x:c r="J1098" t="n">
        <x:v>0.05</x:v>
      </x:c>
      <x:c r="K1098"/>
      <x:c r="L1098"/>
      <x:c r="M1098" t="n">
        <x:v>1.345</x:v>
      </x:c>
      <x:c r="N1098" t="n">
        <x:v>1.373</x:v>
      </x:c>
      <x:c r="O1098"/>
      <x:c r="P1098"/>
      <x:c r="Q1098"/>
      <x:c r="R1098"/>
      <x:c r="S1098" t="n">
        <x:v>1.359</x:v>
      </x:c>
      <x:c r="T1098" t="n">
        <x:v>1.359</x:v>
      </x:c>
      <x:c r="U1098" s="28" t="n">
        <x:f>M1098+(G1098-I1098)*(N1098-M1098)/(J1098-I1098)</x:f>
        <x:v>1.359</x:v>
      </x:c>
      <x:c r="V1098" s="32" t="n">
        <x:f>IF(AND(ISNUMBER(S1098),ISNUMBER(U1098)),ABS(S1098-U1098),IF(S1098=U1098,0,1))</x:f>
        <x:v>0</x:v>
      </x:c>
      <x:c r="W1098" s="30" t="str">
        <x:v>PASS</x:v>
      </x:c>
      <x:c r="X1098" s="28" t="str">
        <x:f>IF(V1098&lt;=1E-9,"PASS","FAIL")</x:f>
        <x:v>PASS</x:v>
      </x:c>
      <x:c r="Y1098" t="str">
        <x:v>local linear</x:v>
      </x:c>
      <x:c r="Z1098" t="str"/>
    </x:row>
    <x:row r="1099">
      <x:c r="A1099" t="str">
        <x:v>G1096</x:v>
      </x:c>
      <x:c r="B1099" t="str">
        <x:v>Bảng 17</x:v>
      </x:c>
      <x:c r="C1099" t="str">
        <x:v>k_v</x:v>
      </x:c>
      <x:c r="D1099" t="str">
        <x:v>FORMULA-MID</x:v>
      </x:c>
      <x:c r="E1099" t="str">
        <x:v>{"nu":0.025}</x:v>
      </x:c>
      <x:c r="F1099" t="str">
        <x:v>FORMULA-KV</x:v>
      </x:c>
      <x:c r="G1099" t="n">
        <x:v>0.025</x:v>
      </x:c>
      <x:c r="H1099"/>
      <x:c r="I1099"/>
      <x:c r="J1099"/>
      <x:c r="K1099"/>
      <x:c r="L1099"/>
      <x:c r="M1099"/>
      <x:c r="N1099"/>
      <x:c r="O1099"/>
      <x:c r="P1099"/>
      <x:c r="Q1099"/>
      <x:c r="R1099"/>
      <x:c r="S1099" t="n">
        <x:v>2.7268624999999997</x:v>
      </x:c>
      <x:c r="T1099" t="n">
        <x:v>2.7268624999999997</x:v>
      </x:c>
      <x:c r="U1099" s="28" t="n">
        <x:f>2.82-3.78*G1099+2.18*G1099^2</x:f>
        <x:v>2.7268624999999997</x:v>
      </x:c>
      <x:c r="V1099" s="32" t="n">
        <x:f>IF(AND(ISNUMBER(S1099),ISNUMBER(U1099)),ABS(S1099-U1099),IF(S1099=U1099,0,1))</x:f>
        <x:v>0</x:v>
      </x:c>
      <x:c r="W1099" s="30" t="str">
        <x:v>PASS</x:v>
      </x:c>
      <x:c r="X1099" s="28" t="str">
        <x:f>IF(V1099&lt;=1E-9,"PASS","FAIL")</x:f>
        <x:v>PASS</x:v>
      </x:c>
      <x:c r="Y1099" t="str">
        <x:v>CT (33)</x:v>
      </x:c>
      <x:c r="Z1099" t="str"/>
    </x:row>
    <x:row r="1100">
      <x:c r="A1100" t="str">
        <x:v>G1097</x:v>
      </x:c>
      <x:c r="B1100" t="str">
        <x:v>Bảng 17</x:v>
      </x:c>
      <x:c r="C1100" t="str">
        <x:v>zeta0</x:v>
      </x:c>
      <x:c r="D1100" t="str">
        <x:v>FORMULA-MID</x:v>
      </x:c>
      <x:c r="E1100" t="str">
        <x:v>{"nu":0.025}</x:v>
      </x:c>
      <x:c r="F1100" t="str">
        <x:v>FORMULA-ZETA</x:v>
      </x:c>
      <x:c r="G1100" t="n">
        <x:v>0.025</x:v>
      </x:c>
      <x:c r="H1100"/>
      <x:c r="I1100"/>
      <x:c r="J1100"/>
      <x:c r="K1100"/>
      <x:c r="L1100"/>
      <x:c r="M1100"/>
      <x:c r="N1100"/>
      <x:c r="O1100"/>
      <x:c r="P1100"/>
      <x:c r="Q1100"/>
      <x:c r="R1100"/>
      <x:c r="S1100" t="n">
        <x:v>0.4461305625054272</x:v>
      </x:c>
      <x:c r="T1100" t="n">
        <x:v>0.4461305625054272</x:v>
      </x:c>
      <x:c r="U1100" s="28" t="n">
        <x:f>IF(ABS(G1100-0.5)&lt;1E-12,0.25,(1-2*G1100)/(2*LN(3-4*G1100)))</x:f>
        <x:v>0.4461305625054272</x:v>
      </x:c>
      <x:c r="V1100" s="32" t="n">
        <x:f>IF(AND(ISNUMBER(S1100),ISNUMBER(U1100)),ABS(S1100-U1100),IF(S1100=U1100,0,1))</x:f>
        <x:v>0</x:v>
      </x:c>
      <x:c r="W1100" s="30" t="str">
        <x:v>PASS</x:v>
      </x:c>
      <x:c r="X1100" s="28" t="str">
        <x:f>IF(V1100&lt;=1E-9,"PASS","FAIL")</x:f>
        <x:v>PASS</x:v>
      </x:c>
      <x:c r="Y1100" t="str">
        <x:v>CT (34)</x:v>
      </x:c>
      <x:c r="Z1100" t="str"/>
    </x:row>
    <x:row r="1101">
      <x:c r="A1101" t="str">
        <x:v>G1098</x:v>
      </x:c>
      <x:c r="B1101" t="str">
        <x:v>Bảng 17</x:v>
      </x:c>
      <x:c r="C1101" t="str">
        <x:v>m_v</x:v>
      </x:c>
      <x:c r="D1101" t="str">
        <x:v>MID</x:v>
      </x:c>
      <x:c r="E1101" t="str">
        <x:v>{"nu":0.07500000000000001}</x:v>
      </x:c>
      <x:c r="F1101" t="str">
        <x:v>LINEAR-1D</x:v>
      </x:c>
      <x:c r="G1101" t="n">
        <x:v>0.07500000000000001</x:v>
      </x:c>
      <x:c r="H1101"/>
      <x:c r="I1101" t="n">
        <x:v>0.05</x:v>
      </x:c>
      <x:c r="J1101" t="n">
        <x:v>0.1</x:v>
      </x:c>
      <x:c r="K1101"/>
      <x:c r="L1101"/>
      <x:c r="M1101" t="n">
        <x:v>1.373</x:v>
      </x:c>
      <x:c r="N1101" t="n">
        <x:v>1.405</x:v>
      </x:c>
      <x:c r="O1101"/>
      <x:c r="P1101"/>
      <x:c r="Q1101"/>
      <x:c r="R1101"/>
      <x:c r="S1101" t="n">
        <x:v>1.389</x:v>
      </x:c>
      <x:c r="T1101" t="n">
        <x:v>1.389</x:v>
      </x:c>
      <x:c r="U1101" s="28" t="n">
        <x:f>M1101+(G1101-I1101)*(N1101-M1101)/(J1101-I1101)</x:f>
        <x:v>1.389</x:v>
      </x:c>
      <x:c r="V1101" s="32" t="n">
        <x:f>IF(AND(ISNUMBER(S1101),ISNUMBER(U1101)),ABS(S1101-U1101),IF(S1101=U1101,0,1))</x:f>
        <x:v>0</x:v>
      </x:c>
      <x:c r="W1101" s="30" t="str">
        <x:v>PASS</x:v>
      </x:c>
      <x:c r="X1101" s="28" t="str">
        <x:f>IF(V1101&lt;=1E-9,"PASS","FAIL")</x:f>
        <x:v>PASS</x:v>
      </x:c>
      <x:c r="Y1101" t="str">
        <x:v>local linear</x:v>
      </x:c>
      <x:c r="Z1101" t="str"/>
    </x:row>
    <x:row r="1102">
      <x:c r="A1102" t="str">
        <x:v>G1099</x:v>
      </x:c>
      <x:c r="B1102" t="str">
        <x:v>Bảng 17</x:v>
      </x:c>
      <x:c r="C1102" t="str">
        <x:v>k_v</x:v>
      </x:c>
      <x:c r="D1102" t="str">
        <x:v>FORMULA-MID</x:v>
      </x:c>
      <x:c r="E1102" t="str">
        <x:v>{"nu":0.07500000000000001}</x:v>
      </x:c>
      <x:c r="F1102" t="str">
        <x:v>FORMULA-KV</x:v>
      </x:c>
      <x:c r="G1102" t="n">
        <x:v>0.07500000000000001</x:v>
      </x:c>
      <x:c r="H1102"/>
      <x:c r="I1102"/>
      <x:c r="J1102"/>
      <x:c r="K1102"/>
      <x:c r="L1102"/>
      <x:c r="M1102"/>
      <x:c r="N1102"/>
      <x:c r="O1102"/>
      <x:c r="P1102"/>
      <x:c r="Q1102"/>
      <x:c r="R1102"/>
      <x:c r="S1102" t="n">
        <x:v>2.5487624999999996</x:v>
      </x:c>
      <x:c r="T1102" t="n">
        <x:v>2.5487624999999996</x:v>
      </x:c>
      <x:c r="U1102" s="28" t="n">
        <x:f>2.82-3.78*G1102+2.18*G1102^2</x:f>
        <x:v>2.5487624999999996</x:v>
      </x:c>
      <x:c r="V1102" s="32" t="n">
        <x:f>IF(AND(ISNUMBER(S1102),ISNUMBER(U1102)),ABS(S1102-U1102),IF(S1102=U1102,0,1))</x:f>
        <x:v>0</x:v>
      </x:c>
      <x:c r="W1102" s="30" t="str">
        <x:v>PASS</x:v>
      </x:c>
      <x:c r="X1102" s="28" t="str">
        <x:f>IF(V1102&lt;=1E-9,"PASS","FAIL")</x:f>
        <x:v>PASS</x:v>
      </x:c>
      <x:c r="Y1102" t="str">
        <x:v>CT (33)</x:v>
      </x:c>
      <x:c r="Z1102" t="str"/>
    </x:row>
    <x:row r="1103">
      <x:c r="A1103" t="str">
        <x:v>G1100</x:v>
      </x:c>
      <x:c r="B1103" t="str">
        <x:v>Bảng 17</x:v>
      </x:c>
      <x:c r="C1103" t="str">
        <x:v>zeta0</x:v>
      </x:c>
      <x:c r="D1103" t="str">
        <x:v>FORMULA-MID</x:v>
      </x:c>
      <x:c r="E1103" t="str">
        <x:v>{"nu":0.07500000000000001}</x:v>
      </x:c>
      <x:c r="F1103" t="str">
        <x:v>FORMULA-ZETA</x:v>
      </x:c>
      <x:c r="G1103" t="n">
        <x:v>0.07500000000000001</x:v>
      </x:c>
      <x:c r="H1103"/>
      <x:c r="I1103"/>
      <x:c r="J1103"/>
      <x:c r="K1103"/>
      <x:c r="L1103"/>
      <x:c r="M1103"/>
      <x:c r="N1103"/>
      <x:c r="O1103"/>
      <x:c r="P1103"/>
      <x:c r="Q1103"/>
      <x:c r="R1103"/>
      <x:c r="S1103" t="n">
        <x:v>0.42788748185360637</x:v>
      </x:c>
      <x:c r="T1103" t="n">
        <x:v>0.42788748185360637</x:v>
      </x:c>
      <x:c r="U1103" s="28" t="n">
        <x:f>IF(ABS(G1103-0.5)&lt;1E-12,0.25,(1-2*G1103)/(2*LN(3-4*G1103)))</x:f>
        <x:v>0.42788748185360637</x:v>
      </x:c>
      <x:c r="V1103" s="32" t="n">
        <x:f>IF(AND(ISNUMBER(S1103),ISNUMBER(U1103)),ABS(S1103-U1103),IF(S1103=U1103,0,1))</x:f>
        <x:v>0</x:v>
      </x:c>
      <x:c r="W1103" s="30" t="str">
        <x:v>PASS</x:v>
      </x:c>
      <x:c r="X1103" s="28" t="str">
        <x:f>IF(V1103&lt;=1E-9,"PASS","FAIL")</x:f>
        <x:v>PASS</x:v>
      </x:c>
      <x:c r="Y1103" t="str">
        <x:v>CT (34)</x:v>
      </x:c>
      <x:c r="Z1103" t="str"/>
    </x:row>
    <x:row r="1104">
      <x:c r="A1104" t="str">
        <x:v>G1101</x:v>
      </x:c>
      <x:c r="B1104" t="str">
        <x:v>Bảng 17</x:v>
      </x:c>
      <x:c r="C1104" t="str">
        <x:v>m_v</x:v>
      </x:c>
      <x:c r="D1104" t="str">
        <x:v>MID</x:v>
      </x:c>
      <x:c r="E1104" t="str">
        <x:v>{"nu":0.125}</x:v>
      </x:c>
      <x:c r="F1104" t="str">
        <x:v>LINEAR-1D</x:v>
      </x:c>
      <x:c r="G1104" t="n">
        <x:v>0.125</x:v>
      </x:c>
      <x:c r="H1104"/>
      <x:c r="I1104" t="n">
        <x:v>0.1</x:v>
      </x:c>
      <x:c r="J1104" t="n">
        <x:v>0.15</x:v>
      </x:c>
      <x:c r="K1104"/>
      <x:c r="L1104"/>
      <x:c r="M1104" t="n">
        <x:v>1.405</x:v>
      </x:c>
      <x:c r="N1104" t="n">
        <x:v>1.446</x:v>
      </x:c>
      <x:c r="O1104"/>
      <x:c r="P1104"/>
      <x:c r="Q1104"/>
      <x:c r="R1104"/>
      <x:c r="S1104" t="n">
        <x:v>1.4255</x:v>
      </x:c>
      <x:c r="T1104" t="n">
        <x:v>1.4255</x:v>
      </x:c>
      <x:c r="U1104" s="28" t="n">
        <x:f>M1104+(G1104-I1104)*(N1104-M1104)/(J1104-I1104)</x:f>
        <x:v>1.4255</x:v>
      </x:c>
      <x:c r="V1104" s="32" t="n">
        <x:f>IF(AND(ISNUMBER(S1104),ISNUMBER(U1104)),ABS(S1104-U1104),IF(S1104=U1104,0,1))</x:f>
        <x:v>0</x:v>
      </x:c>
      <x:c r="W1104" s="30" t="str">
        <x:v>PASS</x:v>
      </x:c>
      <x:c r="X1104" s="28" t="str">
        <x:f>IF(V1104&lt;=1E-9,"PASS","FAIL")</x:f>
        <x:v>PASS</x:v>
      </x:c>
      <x:c r="Y1104" t="str">
        <x:v>local linear</x:v>
      </x:c>
      <x:c r="Z1104" t="str"/>
    </x:row>
    <x:row r="1105">
      <x:c r="A1105" t="str">
        <x:v>G1102</x:v>
      </x:c>
      <x:c r="B1105" t="str">
        <x:v>Bảng 17</x:v>
      </x:c>
      <x:c r="C1105" t="str">
        <x:v>k_v</x:v>
      </x:c>
      <x:c r="D1105" t="str">
        <x:v>FORMULA-MID</x:v>
      </x:c>
      <x:c r="E1105" t="str">
        <x:v>{"nu":0.125}</x:v>
      </x:c>
      <x:c r="F1105" t="str">
        <x:v>FORMULA-KV</x:v>
      </x:c>
      <x:c r="G1105" t="n">
        <x:v>0.125</x:v>
      </x:c>
      <x:c r="H1105"/>
      <x:c r="I1105"/>
      <x:c r="J1105"/>
      <x:c r="K1105"/>
      <x:c r="L1105"/>
      <x:c r="M1105"/>
      <x:c r="N1105"/>
      <x:c r="O1105"/>
      <x:c r="P1105"/>
      <x:c r="Q1105"/>
      <x:c r="R1105"/>
      <x:c r="S1105" t="n">
        <x:v>2.3815625</x:v>
      </x:c>
      <x:c r="T1105" t="n">
        <x:v>2.3815625</x:v>
      </x:c>
      <x:c r="U1105" s="28" t="n">
        <x:f>2.82-3.78*G1105+2.18*G1105^2</x:f>
        <x:v>2.3815625</x:v>
      </x:c>
      <x:c r="V1105" s="32" t="n">
        <x:f>IF(AND(ISNUMBER(S1105),ISNUMBER(U1105)),ABS(S1105-U1105),IF(S1105=U1105,0,1))</x:f>
        <x:v>0</x:v>
      </x:c>
      <x:c r="W1105" s="30" t="str">
        <x:v>PASS</x:v>
      </x:c>
      <x:c r="X1105" s="28" t="str">
        <x:f>IF(V1105&lt;=1E-9,"PASS","FAIL")</x:f>
        <x:v>PASS</x:v>
      </x:c>
      <x:c r="Y1105" t="str">
        <x:v>CT (33)</x:v>
      </x:c>
      <x:c r="Z1105" t="str"/>
    </x:row>
    <x:row r="1106">
      <x:c r="A1106" t="str">
        <x:v>G1103</x:v>
      </x:c>
      <x:c r="B1106" t="str">
        <x:v>Bảng 17</x:v>
      </x:c>
      <x:c r="C1106" t="str">
        <x:v>zeta0</x:v>
      </x:c>
      <x:c r="D1106" t="str">
        <x:v>FORMULA-MID</x:v>
      </x:c>
      <x:c r="E1106" t="str">
        <x:v>{"nu":0.125}</x:v>
      </x:c>
      <x:c r="F1106" t="str">
        <x:v>FORMULA-ZETA</x:v>
      </x:c>
      <x:c r="G1106" t="n">
        <x:v>0.125</x:v>
      </x:c>
      <x:c r="H1106"/>
      <x:c r="I1106"/>
      <x:c r="J1106"/>
      <x:c r="K1106"/>
      <x:c r="L1106"/>
      <x:c r="M1106"/>
      <x:c r="N1106"/>
      <x:c r="O1106"/>
      <x:c r="P1106"/>
      <x:c r="Q1106"/>
      <x:c r="R1106"/>
      <x:c r="S1106" t="n">
        <x:v>0.4092587504764843</x:v>
      </x:c>
      <x:c r="T1106" t="n">
        <x:v>0.4092587504764843</x:v>
      </x:c>
      <x:c r="U1106" s="28" t="n">
        <x:f>IF(ABS(G1106-0.5)&lt;1E-12,0.25,(1-2*G1106)/(2*LN(3-4*G1106)))</x:f>
        <x:v>0.4092587504764843</x:v>
      </x:c>
      <x:c r="V1106" s="32" t="n">
        <x:f>IF(AND(ISNUMBER(S1106),ISNUMBER(U1106)),ABS(S1106-U1106),IF(S1106=U1106,0,1))</x:f>
        <x:v>0</x:v>
      </x:c>
      <x:c r="W1106" s="30" t="str">
        <x:v>PASS</x:v>
      </x:c>
      <x:c r="X1106" s="28" t="str">
        <x:f>IF(V1106&lt;=1E-9,"PASS","FAIL")</x:f>
        <x:v>PASS</x:v>
      </x:c>
      <x:c r="Y1106" t="str">
        <x:v>CT (34)</x:v>
      </x:c>
      <x:c r="Z1106" t="str"/>
    </x:row>
    <x:row r="1107">
      <x:c r="A1107" t="str">
        <x:v>G1104</x:v>
      </x:c>
      <x:c r="B1107" t="str">
        <x:v>Bảng 17</x:v>
      </x:c>
      <x:c r="C1107" t="str">
        <x:v>m_v</x:v>
      </x:c>
      <x:c r="D1107" t="str">
        <x:v>MID</x:v>
      </x:c>
      <x:c r="E1107" t="str">
        <x:v>{"nu":0.175}</x:v>
      </x:c>
      <x:c r="F1107" t="str">
        <x:v>LINEAR-1D</x:v>
      </x:c>
      <x:c r="G1107" t="n">
        <x:v>0.175</x:v>
      </x:c>
      <x:c r="H1107"/>
      <x:c r="I1107" t="n">
        <x:v>0.15</x:v>
      </x:c>
      <x:c r="J1107" t="n">
        <x:v>0.2</x:v>
      </x:c>
      <x:c r="K1107"/>
      <x:c r="L1107"/>
      <x:c r="M1107" t="n">
        <x:v>1.446</x:v>
      </x:c>
      <x:c r="N1107" t="n">
        <x:v>1.491</x:v>
      </x:c>
      <x:c r="O1107"/>
      <x:c r="P1107"/>
      <x:c r="Q1107"/>
      <x:c r="R1107"/>
      <x:c r="S1107" t="n">
        <x:v>1.4685</x:v>
      </x:c>
      <x:c r="T1107" t="n">
        <x:v>1.4685</x:v>
      </x:c>
      <x:c r="U1107" s="28" t="n">
        <x:f>M1107+(G1107-I1107)*(N1107-M1107)/(J1107-I1107)</x:f>
        <x:v>1.4685</x:v>
      </x:c>
      <x:c r="V1107" s="32" t="n">
        <x:f>IF(AND(ISNUMBER(S1107),ISNUMBER(U1107)),ABS(S1107-U1107),IF(S1107=U1107,0,1))</x:f>
        <x:v>0</x:v>
      </x:c>
      <x:c r="W1107" s="30" t="str">
        <x:v>PASS</x:v>
      </x:c>
      <x:c r="X1107" s="28" t="str">
        <x:f>IF(V1107&lt;=1E-9,"PASS","FAIL")</x:f>
        <x:v>PASS</x:v>
      </x:c>
      <x:c r="Y1107" t="str">
        <x:v>local linear</x:v>
      </x:c>
      <x:c r="Z1107" t="str"/>
    </x:row>
    <x:row r="1108">
      <x:c r="A1108" t="str">
        <x:v>G1105</x:v>
      </x:c>
      <x:c r="B1108" t="str">
        <x:v>Bảng 17</x:v>
      </x:c>
      <x:c r="C1108" t="str">
        <x:v>k_v</x:v>
      </x:c>
      <x:c r="D1108" t="str">
        <x:v>FORMULA-MID</x:v>
      </x:c>
      <x:c r="E1108" t="str">
        <x:v>{"nu":0.175}</x:v>
      </x:c>
      <x:c r="F1108" t="str">
        <x:v>FORMULA-KV</x:v>
      </x:c>
      <x:c r="G1108" t="n">
        <x:v>0.175</x:v>
      </x:c>
      <x:c r="H1108"/>
      <x:c r="I1108"/>
      <x:c r="J1108"/>
      <x:c r="K1108"/>
      <x:c r="L1108"/>
      <x:c r="M1108"/>
      <x:c r="N1108"/>
      <x:c r="O1108"/>
      <x:c r="P1108"/>
      <x:c r="Q1108"/>
      <x:c r="R1108"/>
      <x:c r="S1108" t="n">
        <x:v>2.2252625</x:v>
      </x:c>
      <x:c r="T1108" t="n">
        <x:v>2.2252625</x:v>
      </x:c>
      <x:c r="U1108" s="28" t="n">
        <x:f>2.82-3.78*G1108+2.18*G1108^2</x:f>
        <x:v>2.2252625</x:v>
      </x:c>
      <x:c r="V1108" s="32" t="n">
        <x:f>IF(AND(ISNUMBER(S1108),ISNUMBER(U1108)),ABS(S1108-U1108),IF(S1108=U1108,0,1))</x:f>
        <x:v>0</x:v>
      </x:c>
      <x:c r="W1108" s="30" t="str">
        <x:v>PASS</x:v>
      </x:c>
      <x:c r="X1108" s="28" t="str">
        <x:f>IF(V1108&lt;=1E-9,"PASS","FAIL")</x:f>
        <x:v>PASS</x:v>
      </x:c>
      <x:c r="Y1108" t="str">
        <x:v>CT (33)</x:v>
      </x:c>
      <x:c r="Z1108" t="str"/>
    </x:row>
    <x:row r="1109">
      <x:c r="A1109" t="str">
        <x:v>G1106</x:v>
      </x:c>
      <x:c r="B1109" t="str">
        <x:v>Bảng 17</x:v>
      </x:c>
      <x:c r="C1109" t="str">
        <x:v>zeta0</x:v>
      </x:c>
      <x:c r="D1109" t="str">
        <x:v>FORMULA-MID</x:v>
      </x:c>
      <x:c r="E1109" t="str">
        <x:v>{"nu":0.175}</x:v>
      </x:c>
      <x:c r="F1109" t="str">
        <x:v>FORMULA-ZETA</x:v>
      </x:c>
      <x:c r="G1109" t="n">
        <x:v>0.175</x:v>
      </x:c>
      <x:c r="H1109"/>
      <x:c r="I1109"/>
      <x:c r="J1109"/>
      <x:c r="K1109"/>
      <x:c r="L1109"/>
      <x:c r="M1109"/>
      <x:c r="N1109"/>
      <x:c r="O1109"/>
      <x:c r="P1109"/>
      <x:c r="Q1109"/>
      <x:c r="R1109"/>
      <x:c r="S1109" t="n">
        <x:v>0.39019863158026946</x:v>
      </x:c>
      <x:c r="T1109" t="n">
        <x:v>0.39019863158026946</x:v>
      </x:c>
      <x:c r="U1109" s="28" t="n">
        <x:f>IF(ABS(G1109-0.5)&lt;1E-12,0.25,(1-2*G1109)/(2*LN(3-4*G1109)))</x:f>
        <x:v>0.3901986315802695</x:v>
      </x:c>
      <x:c r="V1109" s="32" t="n">
        <x:f>IF(AND(ISNUMBER(S1109),ISNUMBER(U1109)),ABS(S1109-U1109),IF(S1109=U1109,0,1))</x:f>
        <x:v>5.551115123125783e-17</x:v>
      </x:c>
      <x:c r="W1109" s="30" t="str">
        <x:v>PASS</x:v>
      </x:c>
      <x:c r="X1109" s="28" t="str">
        <x:f>IF(V1109&lt;=1E-9,"PASS","FAIL")</x:f>
        <x:v>PASS</x:v>
      </x:c>
      <x:c r="Y1109" t="str">
        <x:v>CT (34)</x:v>
      </x:c>
      <x:c r="Z1109" t="str"/>
    </x:row>
    <x:row r="1110">
      <x:c r="A1110" t="str">
        <x:v>G1107</x:v>
      </x:c>
      <x:c r="B1110" t="str">
        <x:v>Bảng 17</x:v>
      </x:c>
      <x:c r="C1110" t="str">
        <x:v>m_v</x:v>
      </x:c>
      <x:c r="D1110" t="str">
        <x:v>MID</x:v>
      </x:c>
      <x:c r="E1110" t="str">
        <x:v>{"nu":0.225}</x:v>
      </x:c>
      <x:c r="F1110" t="str">
        <x:v>LINEAR-1D</x:v>
      </x:c>
      <x:c r="G1110" t="n">
        <x:v>0.225</x:v>
      </x:c>
      <x:c r="H1110"/>
      <x:c r="I1110" t="n">
        <x:v>0.2</x:v>
      </x:c>
      <x:c r="J1110" t="n">
        <x:v>0.25</x:v>
      </x:c>
      <x:c r="K1110"/>
      <x:c r="L1110"/>
      <x:c r="M1110" t="n">
        <x:v>1.491</x:v>
      </x:c>
      <x:c r="N1110" t="n">
        <x:v>1.54</x:v>
      </x:c>
      <x:c r="O1110"/>
      <x:c r="P1110"/>
      <x:c r="Q1110"/>
      <x:c r="R1110"/>
      <x:c r="S1110" t="n">
        <x:v>1.5155</x:v>
      </x:c>
      <x:c r="T1110" t="n">
        <x:v>1.5155</x:v>
      </x:c>
      <x:c r="U1110" s="28" t="n">
        <x:f>M1110+(G1110-I1110)*(N1110-M1110)/(J1110-I1110)</x:f>
        <x:v>1.5155</x:v>
      </x:c>
      <x:c r="V1110" s="32" t="n">
        <x:f>IF(AND(ISNUMBER(S1110),ISNUMBER(U1110)),ABS(S1110-U1110),IF(S1110=U1110,0,1))</x:f>
        <x:v>0</x:v>
      </x:c>
      <x:c r="W1110" s="30" t="str">
        <x:v>PASS</x:v>
      </x:c>
      <x:c r="X1110" s="28" t="str">
        <x:f>IF(V1110&lt;=1E-9,"PASS","FAIL")</x:f>
        <x:v>PASS</x:v>
      </x:c>
      <x:c r="Y1110" t="str">
        <x:v>local linear</x:v>
      </x:c>
      <x:c r="Z1110" t="str"/>
    </x:row>
    <x:row r="1111">
      <x:c r="A1111" t="str">
        <x:v>G1108</x:v>
      </x:c>
      <x:c r="B1111" t="str">
        <x:v>Bảng 17</x:v>
      </x:c>
      <x:c r="C1111" t="str">
        <x:v>k_v</x:v>
      </x:c>
      <x:c r="D1111" t="str">
        <x:v>FORMULA-MID</x:v>
      </x:c>
      <x:c r="E1111" t="str">
        <x:v>{"nu":0.225}</x:v>
      </x:c>
      <x:c r="F1111" t="str">
        <x:v>FORMULA-KV</x:v>
      </x:c>
      <x:c r="G1111" t="n">
        <x:v>0.225</x:v>
      </x:c>
      <x:c r="H1111"/>
      <x:c r="I1111"/>
      <x:c r="J1111"/>
      <x:c r="K1111"/>
      <x:c r="L1111"/>
      <x:c r="M1111"/>
      <x:c r="N1111"/>
      <x:c r="O1111"/>
      <x:c r="P1111"/>
      <x:c r="Q1111"/>
      <x:c r="R1111"/>
      <x:c r="S1111" t="n">
        <x:v>2.0798625</x:v>
      </x:c>
      <x:c r="T1111" t="n">
        <x:v>2.0798625</x:v>
      </x:c>
      <x:c r="U1111" s="28" t="n">
        <x:f>2.82-3.78*G1111+2.18*G1111^2</x:f>
        <x:v>2.0798625</x:v>
      </x:c>
      <x:c r="V1111" s="32" t="n">
        <x:f>IF(AND(ISNUMBER(S1111),ISNUMBER(U1111)),ABS(S1111-U1111),IF(S1111=U1111,0,1))</x:f>
        <x:v>0</x:v>
      </x:c>
      <x:c r="W1111" s="30" t="str">
        <x:v>PASS</x:v>
      </x:c>
      <x:c r="X1111" s="28" t="str">
        <x:f>IF(V1111&lt;=1E-9,"PASS","FAIL")</x:f>
        <x:v>PASS</x:v>
      </x:c>
      <x:c r="Y1111" t="str">
        <x:v>CT (33)</x:v>
      </x:c>
      <x:c r="Z1111" t="str"/>
    </x:row>
    <x:row r="1112">
      <x:c r="A1112" t="str">
        <x:v>G1109</x:v>
      </x:c>
      <x:c r="B1112" t="str">
        <x:v>Bảng 17</x:v>
      </x:c>
      <x:c r="C1112" t="str">
        <x:v>zeta0</x:v>
      </x:c>
      <x:c r="D1112" t="str">
        <x:v>FORMULA-MID</x:v>
      </x:c>
      <x:c r="E1112" t="str">
        <x:v>{"nu":0.225}</x:v>
      </x:c>
      <x:c r="F1112" t="str">
        <x:v>FORMULA-ZETA</x:v>
      </x:c>
      <x:c r="G1112" t="n">
        <x:v>0.225</x:v>
      </x:c>
      <x:c r="H1112"/>
      <x:c r="I1112"/>
      <x:c r="J1112"/>
      <x:c r="K1112"/>
      <x:c r="L1112"/>
      <x:c r="M1112"/>
      <x:c r="N1112"/>
      <x:c r="O1112"/>
      <x:c r="P1112"/>
      <x:c r="Q1112"/>
      <x:c r="R1112"/>
      <x:c r="S1112" t="n">
        <x:v>0.3706512442776508</x:v>
      </x:c>
      <x:c r="T1112" t="n">
        <x:v>0.3706512442776508</x:v>
      </x:c>
      <x:c r="U1112" s="28" t="n">
        <x:f>IF(ABS(G1112-0.5)&lt;1E-12,0.25,(1-2*G1112)/(2*LN(3-4*G1112)))</x:f>
        <x:v>0.3706512442776508</x:v>
      </x:c>
      <x:c r="V1112" s="32" t="n">
        <x:f>IF(AND(ISNUMBER(S1112),ISNUMBER(U1112)),ABS(S1112-U1112),IF(S1112=U1112,0,1))</x:f>
        <x:v>0</x:v>
      </x:c>
      <x:c r="W1112" s="30" t="str">
        <x:v>PASS</x:v>
      </x:c>
      <x:c r="X1112" s="28" t="str">
        <x:f>IF(V1112&lt;=1E-9,"PASS","FAIL")</x:f>
        <x:v>PASS</x:v>
      </x:c>
      <x:c r="Y1112" t="str">
        <x:v>CT (34)</x:v>
      </x:c>
      <x:c r="Z1112" t="str"/>
    </x:row>
    <x:row r="1113">
      <x:c r="A1113" t="str">
        <x:v>G1110</x:v>
      </x:c>
      <x:c r="B1113" t="str">
        <x:v>Bảng 17</x:v>
      </x:c>
      <x:c r="C1113" t="str">
        <x:v>m_v</x:v>
      </x:c>
      <x:c r="D1113" t="str">
        <x:v>MID</x:v>
      </x:c>
      <x:c r="E1113" t="str">
        <x:v>{"nu":0.275}</x:v>
      </x:c>
      <x:c r="F1113" t="str">
        <x:v>LINEAR-1D</x:v>
      </x:c>
      <x:c r="G1113" t="n">
        <x:v>0.275</x:v>
      </x:c>
      <x:c r="H1113"/>
      <x:c r="I1113" t="n">
        <x:v>0.25</x:v>
      </x:c>
      <x:c r="J1113" t="n">
        <x:v>0.3</x:v>
      </x:c>
      <x:c r="K1113"/>
      <x:c r="L1113"/>
      <x:c r="M1113" t="n">
        <x:v>1.54</x:v>
      </x:c>
      <x:c r="N1113" t="n">
        <x:v>1.607</x:v>
      </x:c>
      <x:c r="O1113"/>
      <x:c r="P1113"/>
      <x:c r="Q1113"/>
      <x:c r="R1113"/>
      <x:c r="S1113" t="n">
        <x:v>1.5735000000000001</x:v>
      </x:c>
      <x:c r="T1113" t="n">
        <x:v>1.5735000000000001</x:v>
      </x:c>
      <x:c r="U1113" s="28" t="n">
        <x:f>M1113+(G1113-I1113)*(N1113-M1113)/(J1113-I1113)</x:f>
        <x:v>1.5735000000000001</x:v>
      </x:c>
      <x:c r="V1113" s="32" t="n">
        <x:f>IF(AND(ISNUMBER(S1113),ISNUMBER(U1113)),ABS(S1113-U1113),IF(S1113=U1113,0,1))</x:f>
        <x:v>0</x:v>
      </x:c>
      <x:c r="W1113" s="30" t="str">
        <x:v>PASS</x:v>
      </x:c>
      <x:c r="X1113" s="28" t="str">
        <x:f>IF(V1113&lt;=1E-9,"PASS","FAIL")</x:f>
        <x:v>PASS</x:v>
      </x:c>
      <x:c r="Y1113" t="str">
        <x:v>local linear</x:v>
      </x:c>
      <x:c r="Z1113" t="str"/>
    </x:row>
    <x:row r="1114">
      <x:c r="A1114" t="str">
        <x:v>G1111</x:v>
      </x:c>
      <x:c r="B1114" t="str">
        <x:v>Bảng 17</x:v>
      </x:c>
      <x:c r="C1114" t="str">
        <x:v>k_v</x:v>
      </x:c>
      <x:c r="D1114" t="str">
        <x:v>FORMULA-MID</x:v>
      </x:c>
      <x:c r="E1114" t="str">
        <x:v>{"nu":0.275}</x:v>
      </x:c>
      <x:c r="F1114" t="str">
        <x:v>FORMULA-KV</x:v>
      </x:c>
      <x:c r="G1114" t="n">
        <x:v>0.275</x:v>
      </x:c>
      <x:c r="H1114"/>
      <x:c r="I1114"/>
      <x:c r="J1114"/>
      <x:c r="K1114"/>
      <x:c r="L1114"/>
      <x:c r="M1114"/>
      <x:c r="N1114"/>
      <x:c r="O1114"/>
      <x:c r="P1114"/>
      <x:c r="Q1114"/>
      <x:c r="R1114"/>
      <x:c r="S1114" t="n">
        <x:v>1.9453624999999999</x:v>
      </x:c>
      <x:c r="T1114" t="n">
        <x:v>1.9453624999999999</x:v>
      </x:c>
      <x:c r="U1114" s="28" t="n">
        <x:f>2.82-3.78*G1114+2.18*G1114^2</x:f>
        <x:v>1.9453624999999999</x:v>
      </x:c>
      <x:c r="V1114" s="32" t="n">
        <x:f>IF(AND(ISNUMBER(S1114),ISNUMBER(U1114)),ABS(S1114-U1114),IF(S1114=U1114,0,1))</x:f>
        <x:v>0</x:v>
      </x:c>
      <x:c r="W1114" s="30" t="str">
        <x:v>PASS</x:v>
      </x:c>
      <x:c r="X1114" s="28" t="str">
        <x:f>IF(V1114&lt;=1E-9,"PASS","FAIL")</x:f>
        <x:v>PASS</x:v>
      </x:c>
      <x:c r="Y1114" t="str">
        <x:v>CT (33)</x:v>
      </x:c>
      <x:c r="Z1114" t="str"/>
    </x:row>
    <x:row r="1115">
      <x:c r="A1115" t="str">
        <x:v>G1112</x:v>
      </x:c>
      <x:c r="B1115" t="str">
        <x:v>Bảng 17</x:v>
      </x:c>
      <x:c r="C1115" t="str">
        <x:v>zeta0</x:v>
      </x:c>
      <x:c r="D1115" t="str">
        <x:v>FORMULA-MID</x:v>
      </x:c>
      <x:c r="E1115" t="str">
        <x:v>{"nu":0.275}</x:v>
      </x:c>
      <x:c r="F1115" t="str">
        <x:v>FORMULA-ZETA</x:v>
      </x:c>
      <x:c r="G1115" t="n">
        <x:v>0.275</x:v>
      </x:c>
      <x:c r="H1115"/>
      <x:c r="I1115"/>
      <x:c r="J1115"/>
      <x:c r="K1115"/>
      <x:c r="L1115"/>
      <x:c r="M1115"/>
      <x:c r="N1115"/>
      <x:c r="O1115"/>
      <x:c r="P1115"/>
      <x:c r="Q1115"/>
      <x:c r="R1115"/>
      <x:c r="S1115" t="n">
        <x:v>0.3505470712996003</x:v>
      </x:c>
      <x:c r="T1115" t="n">
        <x:v>0.3505470712996003</x:v>
      </x:c>
      <x:c r="U1115" s="28" t="n">
        <x:f>IF(ABS(G1115-0.5)&lt;1E-12,0.25,(1-2*G1115)/(2*LN(3-4*G1115)))</x:f>
        <x:v>0.3505470712996003</x:v>
      </x:c>
      <x:c r="V1115" s="32" t="n">
        <x:f>IF(AND(ISNUMBER(S1115),ISNUMBER(U1115)),ABS(S1115-U1115),IF(S1115=U1115,0,1))</x:f>
        <x:v>0</x:v>
      </x:c>
      <x:c r="W1115" s="30" t="str">
        <x:v>PASS</x:v>
      </x:c>
      <x:c r="X1115" s="28" t="str">
        <x:f>IF(V1115&lt;=1E-9,"PASS","FAIL")</x:f>
        <x:v>PASS</x:v>
      </x:c>
      <x:c r="Y1115" t="str">
        <x:v>CT (34)</x:v>
      </x:c>
      <x:c r="Z1115" t="str"/>
    </x:row>
    <x:row r="1116">
      <x:c r="A1116" t="str">
        <x:v>G1113</x:v>
      </x:c>
      <x:c r="B1116" t="str">
        <x:v>Bảng 17</x:v>
      </x:c>
      <x:c r="C1116" t="str">
        <x:v>m_v</x:v>
      </x:c>
      <x:c r="D1116" t="str">
        <x:v>MID</x:v>
      </x:c>
      <x:c r="E1116" t="str">
        <x:v>{"nu":0.32499999999999996}</x:v>
      </x:c>
      <x:c r="F1116" t="str">
        <x:v>LINEAR-1D</x:v>
      </x:c>
      <x:c r="G1116" t="n">
        <x:v>0.32499999999999996</x:v>
      </x:c>
      <x:c r="H1116"/>
      <x:c r="I1116" t="n">
        <x:v>0.3</x:v>
      </x:c>
      <x:c r="J1116" t="n">
        <x:v>0.35</x:v>
      </x:c>
      <x:c r="K1116"/>
      <x:c r="L1116"/>
      <x:c r="M1116" t="n">
        <x:v>1.607</x:v>
      </x:c>
      <x:c r="N1116" t="n">
        <x:v>1.685</x:v>
      </x:c>
      <x:c r="O1116"/>
      <x:c r="P1116"/>
      <x:c r="Q1116"/>
      <x:c r="R1116"/>
      <x:c r="S1116" t="n">
        <x:v>1.646</x:v>
      </x:c>
      <x:c r="T1116" t="n">
        <x:v>1.646</x:v>
      </x:c>
      <x:c r="U1116" s="28" t="n">
        <x:f>M1116+(G1116-I1116)*(N1116-M1116)/(J1116-I1116)</x:f>
        <x:v>1.646</x:v>
      </x:c>
      <x:c r="V1116" s="32" t="n">
        <x:f>IF(AND(ISNUMBER(S1116),ISNUMBER(U1116)),ABS(S1116-U1116),IF(S1116=U1116,0,1))</x:f>
        <x:v>0</x:v>
      </x:c>
      <x:c r="W1116" s="30" t="str">
        <x:v>PASS</x:v>
      </x:c>
      <x:c r="X1116" s="28" t="str">
        <x:f>IF(V1116&lt;=1E-9,"PASS","FAIL")</x:f>
        <x:v>PASS</x:v>
      </x:c>
      <x:c r="Y1116" t="str">
        <x:v>local linear</x:v>
      </x:c>
      <x:c r="Z1116" t="str"/>
    </x:row>
    <x:row r="1117">
      <x:c r="A1117" t="str">
        <x:v>G1114</x:v>
      </x:c>
      <x:c r="B1117" t="str">
        <x:v>Bảng 17</x:v>
      </x:c>
      <x:c r="C1117" t="str">
        <x:v>k_v</x:v>
      </x:c>
      <x:c r="D1117" t="str">
        <x:v>FORMULA-MID</x:v>
      </x:c>
      <x:c r="E1117" t="str">
        <x:v>{"nu":0.32499999999999996}</x:v>
      </x:c>
      <x:c r="F1117" t="str">
        <x:v>FORMULA-KV</x:v>
      </x:c>
      <x:c r="G1117" t="n">
        <x:v>0.32499999999999996</x:v>
      </x:c>
      <x:c r="H1117"/>
      <x:c r="I1117"/>
      <x:c r="J1117"/>
      <x:c r="K1117"/>
      <x:c r="L1117"/>
      <x:c r="M1117"/>
      <x:c r="N1117"/>
      <x:c r="O1117"/>
      <x:c r="P1117"/>
      <x:c r="Q1117"/>
      <x:c r="R1117"/>
      <x:c r="S1117" t="n">
        <x:v>1.8217625000000002</x:v>
      </x:c>
      <x:c r="T1117" t="n">
        <x:v>1.8217625000000002</x:v>
      </x:c>
      <x:c r="U1117" s="28" t="n">
        <x:f>2.82-3.78*G1117+2.18*G1117^2</x:f>
        <x:v>1.8217625000000002</x:v>
      </x:c>
      <x:c r="V1117" s="32" t="n">
        <x:f>IF(AND(ISNUMBER(S1117),ISNUMBER(U1117)),ABS(S1117-U1117),IF(S1117=U1117,0,1))</x:f>
        <x:v>0</x:v>
      </x:c>
      <x:c r="W1117" s="30" t="str">
        <x:v>PASS</x:v>
      </x:c>
      <x:c r="X1117" s="28" t="str">
        <x:f>IF(V1117&lt;=1E-9,"PASS","FAIL")</x:f>
        <x:v>PASS</x:v>
      </x:c>
      <x:c r="Y1117" t="str">
        <x:v>CT (33)</x:v>
      </x:c>
      <x:c r="Z1117" t="str"/>
    </x:row>
    <x:row r="1118">
      <x:c r="A1118" t="str">
        <x:v>G1115</x:v>
      </x:c>
      <x:c r="B1118" t="str">
        <x:v>Bảng 17</x:v>
      </x:c>
      <x:c r="C1118" t="str">
        <x:v>zeta0</x:v>
      </x:c>
      <x:c r="D1118" t="str">
        <x:v>FORMULA-MID</x:v>
      </x:c>
      <x:c r="E1118" t="str">
        <x:v>{"nu":0.32499999999999996}</x:v>
      </x:c>
      <x:c r="F1118" t="str">
        <x:v>FORMULA-ZETA</x:v>
      </x:c>
      <x:c r="G1118" t="n">
        <x:v>0.32499999999999996</x:v>
      </x:c>
      <x:c r="H1118"/>
      <x:c r="I1118"/>
      <x:c r="J1118"/>
      <x:c r="K1118"/>
      <x:c r="L1118"/>
      <x:c r="M1118"/>
      <x:c r="N1118"/>
      <x:c r="O1118"/>
      <x:c r="P1118"/>
      <x:c r="Q1118"/>
      <x:c r="R1118"/>
      <x:c r="S1118" t="n">
        <x:v>0.3297977438059482</x:v>
      </x:c>
      <x:c r="T1118" t="n">
        <x:v>0.3297977438059482</x:v>
      </x:c>
      <x:c r="U1118" s="28" t="n">
        <x:f>IF(ABS(G1118-0.5)&lt;1E-12,0.25,(1-2*G1118)/(2*LN(3-4*G1118)))</x:f>
        <x:v>0.3297977438059482</x:v>
      </x:c>
      <x:c r="V1118" s="32" t="n">
        <x:f>IF(AND(ISNUMBER(S1118),ISNUMBER(U1118)),ABS(S1118-U1118),IF(S1118=U1118,0,1))</x:f>
        <x:v>0</x:v>
      </x:c>
      <x:c r="W1118" s="30" t="str">
        <x:v>PASS</x:v>
      </x:c>
      <x:c r="X1118" s="28" t="str">
        <x:f>IF(V1118&lt;=1E-9,"PASS","FAIL")</x:f>
        <x:v>PASS</x:v>
      </x:c>
      <x:c r="Y1118" t="str">
        <x:v>CT (34)</x:v>
      </x:c>
      <x:c r="Z1118" t="str"/>
    </x:row>
    <x:row r="1119">
      <x:c r="A1119" t="str">
        <x:v>G1116</x:v>
      </x:c>
      <x:c r="B1119" t="str">
        <x:v>Bảng 17</x:v>
      </x:c>
      <x:c r="C1119" t="str">
        <x:v>m_v</x:v>
      </x:c>
      <x:c r="D1119" t="str">
        <x:v>MID</x:v>
      </x:c>
      <x:c r="E1119" t="str">
        <x:v>{"nu":0.375}</x:v>
      </x:c>
      <x:c r="F1119" t="str">
        <x:v>LINEAR-1D</x:v>
      </x:c>
      <x:c r="G1119" t="n">
        <x:v>0.375</x:v>
      </x:c>
      <x:c r="H1119"/>
      <x:c r="I1119" t="n">
        <x:v>0.35</x:v>
      </x:c>
      <x:c r="J1119" t="n">
        <x:v>0.4</x:v>
      </x:c>
      <x:c r="K1119"/>
      <x:c r="L1119"/>
      <x:c r="M1119" t="n">
        <x:v>1.685</x:v>
      </x:c>
      <x:c r="N1119" t="n">
        <x:v>1.786</x:v>
      </x:c>
      <x:c r="O1119"/>
      <x:c r="P1119"/>
      <x:c r="Q1119"/>
      <x:c r="R1119"/>
      <x:c r="S1119" t="n">
        <x:v>1.7355</x:v>
      </x:c>
      <x:c r="T1119" t="n">
        <x:v>1.7355</x:v>
      </x:c>
      <x:c r="U1119" s="28" t="n">
        <x:f>M1119+(G1119-I1119)*(N1119-M1119)/(J1119-I1119)</x:f>
        <x:v>1.7355</x:v>
      </x:c>
      <x:c r="V1119" s="32" t="n">
        <x:f>IF(AND(ISNUMBER(S1119),ISNUMBER(U1119)),ABS(S1119-U1119),IF(S1119=U1119,0,1))</x:f>
        <x:v>0</x:v>
      </x:c>
      <x:c r="W1119" s="30" t="str">
        <x:v>PASS</x:v>
      </x:c>
      <x:c r="X1119" s="28" t="str">
        <x:f>IF(V1119&lt;=1E-9,"PASS","FAIL")</x:f>
        <x:v>PASS</x:v>
      </x:c>
      <x:c r="Y1119" t="str">
        <x:v>local linear</x:v>
      </x:c>
      <x:c r="Z1119" t="str"/>
    </x:row>
    <x:row r="1120">
      <x:c r="A1120" t="str">
        <x:v>G1117</x:v>
      </x:c>
      <x:c r="B1120" t="str">
        <x:v>Bảng 17</x:v>
      </x:c>
      <x:c r="C1120" t="str">
        <x:v>k_v</x:v>
      </x:c>
      <x:c r="D1120" t="str">
        <x:v>FORMULA-MID</x:v>
      </x:c>
      <x:c r="E1120" t="str">
        <x:v>{"nu":0.375}</x:v>
      </x:c>
      <x:c r="F1120" t="str">
        <x:v>FORMULA-KV</x:v>
      </x:c>
      <x:c r="G1120" t="n">
        <x:v>0.375</x:v>
      </x:c>
      <x:c r="H1120"/>
      <x:c r="I1120"/>
      <x:c r="J1120"/>
      <x:c r="K1120"/>
      <x:c r="L1120"/>
      <x:c r="M1120"/>
      <x:c r="N1120"/>
      <x:c r="O1120"/>
      <x:c r="P1120"/>
      <x:c r="Q1120"/>
      <x:c r="R1120"/>
      <x:c r="S1120" t="n">
        <x:v>1.7090625</x:v>
      </x:c>
      <x:c r="T1120" t="n">
        <x:v>1.7090625</x:v>
      </x:c>
      <x:c r="U1120" s="28" t="n">
        <x:f>2.82-3.78*G1120+2.18*G1120^2</x:f>
        <x:v>1.7090625</x:v>
      </x:c>
      <x:c r="V1120" s="32" t="n">
        <x:f>IF(AND(ISNUMBER(S1120),ISNUMBER(U1120)),ABS(S1120-U1120),IF(S1120=U1120,0,1))</x:f>
        <x:v>0</x:v>
      </x:c>
      <x:c r="W1120" s="30" t="str">
        <x:v>PASS</x:v>
      </x:c>
      <x:c r="X1120" s="28" t="str">
        <x:f>IF(V1120&lt;=1E-9,"PASS","FAIL")</x:f>
        <x:v>PASS</x:v>
      </x:c>
      <x:c r="Y1120" t="str">
        <x:v>CT (33)</x:v>
      </x:c>
      <x:c r="Z1120" t="str"/>
    </x:row>
    <x:row r="1121">
      <x:c r="A1121" t="str">
        <x:v>G1118</x:v>
      </x:c>
      <x:c r="B1121" t="str">
        <x:v>Bảng 17</x:v>
      </x:c>
      <x:c r="C1121" t="str">
        <x:v>zeta0</x:v>
      </x:c>
      <x:c r="D1121" t="str">
        <x:v>FORMULA-MID</x:v>
      </x:c>
      <x:c r="E1121" t="str">
        <x:v>{"nu":0.375}</x:v>
      </x:c>
      <x:c r="F1121" t="str">
        <x:v>FORMULA-ZETA</x:v>
      </x:c>
      <x:c r="G1121" t="n">
        <x:v>0.375</x:v>
      </x:c>
      <x:c r="H1121"/>
      <x:c r="I1121"/>
      <x:c r="J1121"/>
      <x:c r="K1121"/>
      <x:c r="L1121"/>
      <x:c r="M1121"/>
      <x:c r="N1121"/>
      <x:c r="O1121"/>
      <x:c r="P1121"/>
      <x:c r="Q1121"/>
      <x:c r="R1121"/>
      <x:c r="S1121" t="n">
        <x:v>0.30828793279705397</x:v>
      </x:c>
      <x:c r="T1121" t="n">
        <x:v>0.30828793279705397</x:v>
      </x:c>
      <x:c r="U1121" s="28" t="n">
        <x:f>IF(ABS(G1121-0.5)&lt;1E-12,0.25,(1-2*G1121)/(2*LN(3-4*G1121)))</x:f>
        <x:v>0.30828793279705397</x:v>
      </x:c>
      <x:c r="V1121" s="32" t="n">
        <x:f>IF(AND(ISNUMBER(S1121),ISNUMBER(U1121)),ABS(S1121-U1121),IF(S1121=U1121,0,1))</x:f>
        <x:v>0</x:v>
      </x:c>
      <x:c r="W1121" s="30" t="str">
        <x:v>PASS</x:v>
      </x:c>
      <x:c r="X1121" s="28" t="str">
        <x:f>IF(V1121&lt;=1E-9,"PASS","FAIL")</x:f>
        <x:v>PASS</x:v>
      </x:c>
      <x:c r="Y1121" t="str">
        <x:v>CT (34)</x:v>
      </x:c>
      <x:c r="Z1121" t="str"/>
    </x:row>
    <x:row r="1122">
      <x:c r="A1122" t="str">
        <x:v>G1119</x:v>
      </x:c>
      <x:c r="B1122" t="str">
        <x:v>Bảng 17</x:v>
      </x:c>
      <x:c r="C1122" t="str">
        <x:v>m_v</x:v>
      </x:c>
      <x:c r="D1122" t="str">
        <x:v>MID</x:v>
      </x:c>
      <x:c r="E1122" t="str">
        <x:v>{"nu":0.42500000000000004}</x:v>
      </x:c>
      <x:c r="F1122" t="str">
        <x:v>LINEAR-1D</x:v>
      </x:c>
      <x:c r="G1122" t="n">
        <x:v>0.42500000000000004</x:v>
      </x:c>
      <x:c r="H1122"/>
      <x:c r="I1122" t="n">
        <x:v>0.4</x:v>
      </x:c>
      <x:c r="J1122" t="n">
        <x:v>0.45</x:v>
      </x:c>
      <x:c r="K1122"/>
      <x:c r="L1122"/>
      <x:c r="M1122" t="n">
        <x:v>1.786</x:v>
      </x:c>
      <x:c r="N1122" t="n">
        <x:v>1.916</x:v>
      </x:c>
      <x:c r="O1122"/>
      <x:c r="P1122"/>
      <x:c r="Q1122"/>
      <x:c r="R1122"/>
      <x:c r="S1122" t="n">
        <x:v>1.851</x:v>
      </x:c>
      <x:c r="T1122" t="n">
        <x:v>1.851</x:v>
      </x:c>
      <x:c r="U1122" s="28" t="n">
        <x:f>M1122+(G1122-I1122)*(N1122-M1122)/(J1122-I1122)</x:f>
        <x:v>1.851</x:v>
      </x:c>
      <x:c r="V1122" s="32" t="n">
        <x:f>IF(AND(ISNUMBER(S1122),ISNUMBER(U1122)),ABS(S1122-U1122),IF(S1122=U1122,0,1))</x:f>
        <x:v>0</x:v>
      </x:c>
      <x:c r="W1122" s="30" t="str">
        <x:v>PASS</x:v>
      </x:c>
      <x:c r="X1122" s="28" t="str">
        <x:f>IF(V1122&lt;=1E-9,"PASS","FAIL")</x:f>
        <x:v>PASS</x:v>
      </x:c>
      <x:c r="Y1122" t="str">
        <x:v>local linear</x:v>
      </x:c>
      <x:c r="Z1122" t="str"/>
    </x:row>
    <x:row r="1123">
      <x:c r="A1123" t="str">
        <x:v>G1120</x:v>
      </x:c>
      <x:c r="B1123" t="str">
        <x:v>Bảng 17</x:v>
      </x:c>
      <x:c r="C1123" t="str">
        <x:v>k_v</x:v>
      </x:c>
      <x:c r="D1123" t="str">
        <x:v>FORMULA-MID</x:v>
      </x:c>
      <x:c r="E1123" t="str">
        <x:v>{"nu":0.42500000000000004}</x:v>
      </x:c>
      <x:c r="F1123" t="str">
        <x:v>FORMULA-KV</x:v>
      </x:c>
      <x:c r="G1123" t="n">
        <x:v>0.42500000000000004</x:v>
      </x:c>
      <x:c r="H1123"/>
      <x:c r="I1123"/>
      <x:c r="J1123"/>
      <x:c r="K1123"/>
      <x:c r="L1123"/>
      <x:c r="M1123"/>
      <x:c r="N1123"/>
      <x:c r="O1123"/>
      <x:c r="P1123"/>
      <x:c r="Q1123"/>
      <x:c r="R1123"/>
      <x:c r="S1123" t="n">
        <x:v>1.6072625</x:v>
      </x:c>
      <x:c r="T1123" t="n">
        <x:v>1.6072625</x:v>
      </x:c>
      <x:c r="U1123" s="28" t="n">
        <x:f>2.82-3.78*G1123+2.18*G1123^2</x:f>
        <x:v>1.6072625</x:v>
      </x:c>
      <x:c r="V1123" s="32" t="n">
        <x:f>IF(AND(ISNUMBER(S1123),ISNUMBER(U1123)),ABS(S1123-U1123),IF(S1123=U1123,0,1))</x:f>
        <x:v>0</x:v>
      </x:c>
      <x:c r="W1123" s="30" t="str">
        <x:v>PASS</x:v>
      </x:c>
      <x:c r="X1123" s="28" t="str">
        <x:f>IF(V1123&lt;=1E-9,"PASS","FAIL")</x:f>
        <x:v>PASS</x:v>
      </x:c>
      <x:c r="Y1123" t="str">
        <x:v>CT (33)</x:v>
      </x:c>
      <x:c r="Z1123" t="str"/>
    </x:row>
    <x:row r="1124">
      <x:c r="A1124" t="str">
        <x:v>G1121</x:v>
      </x:c>
      <x:c r="B1124" t="str">
        <x:v>Bảng 17</x:v>
      </x:c>
      <x:c r="C1124" t="str">
        <x:v>zeta0</x:v>
      </x:c>
      <x:c r="D1124" t="str">
        <x:v>FORMULA-MID</x:v>
      </x:c>
      <x:c r="E1124" t="str">
        <x:v>{"nu":0.42500000000000004}</x:v>
      </x:c>
      <x:c r="F1124" t="str">
        <x:v>FORMULA-ZETA</x:v>
      </x:c>
      <x:c r="G1124" t="n">
        <x:v>0.42500000000000004</x:v>
      </x:c>
      <x:c r="H1124"/>
      <x:c r="I1124"/>
      <x:c r="J1124"/>
      <x:c r="K1124"/>
      <x:c r="L1124"/>
      <x:c r="M1124"/>
      <x:c r="N1124"/>
      <x:c r="O1124"/>
      <x:c r="P1124"/>
      <x:c r="Q1124"/>
      <x:c r="R1124"/>
      <x:c r="S1124" t="n">
        <x:v>0.28586210150313013</x:v>
      </x:c>
      <x:c r="T1124" t="n">
        <x:v>0.28586210150313013</x:v>
      </x:c>
      <x:c r="U1124" s="28" t="n">
        <x:f>IF(ABS(G1124-0.5)&lt;1E-12,0.25,(1-2*G1124)/(2*LN(3-4*G1124)))</x:f>
        <x:v>0.28586210150313013</x:v>
      </x:c>
      <x:c r="V1124" s="32" t="n">
        <x:f>IF(AND(ISNUMBER(S1124),ISNUMBER(U1124)),ABS(S1124-U1124),IF(S1124=U1124,0,1))</x:f>
        <x:v>0</x:v>
      </x:c>
      <x:c r="W1124" s="30" t="str">
        <x:v>PASS</x:v>
      </x:c>
      <x:c r="X1124" s="28" t="str">
        <x:f>IF(V1124&lt;=1E-9,"PASS","FAIL")</x:f>
        <x:v>PASS</x:v>
      </x:c>
      <x:c r="Y1124" t="str">
        <x:v>CT (34)</x:v>
      </x:c>
      <x:c r="Z1124" t="str"/>
    </x:row>
    <x:row r="1125">
      <x:c r="A1125" t="str">
        <x:v>G1122</x:v>
      </x:c>
      <x:c r="B1125" t="str">
        <x:v>Bảng 17</x:v>
      </x:c>
      <x:c r="C1125" t="str">
        <x:v>m_v</x:v>
      </x:c>
      <x:c r="D1125" t="str">
        <x:v>MID</x:v>
      </x:c>
      <x:c r="E1125" t="str">
        <x:v>{"nu":0.475}</x:v>
      </x:c>
      <x:c r="F1125" t="str">
        <x:v>LINEAR-1D</x:v>
      </x:c>
      <x:c r="G1125" t="n">
        <x:v>0.475</x:v>
      </x:c>
      <x:c r="H1125"/>
      <x:c r="I1125" t="n">
        <x:v>0.45</x:v>
      </x:c>
      <x:c r="J1125" t="n">
        <x:v>0.5</x:v>
      </x:c>
      <x:c r="K1125"/>
      <x:c r="L1125"/>
      <x:c r="M1125" t="n">
        <x:v>1.916</x:v>
      </x:c>
      <x:c r="N1125" t="n">
        <x:v>2.01</x:v>
      </x:c>
      <x:c r="O1125"/>
      <x:c r="P1125"/>
      <x:c r="Q1125"/>
      <x:c r="R1125"/>
      <x:c r="S1125" t="n">
        <x:v>1.9629999999999999</x:v>
      </x:c>
      <x:c r="T1125" t="n">
        <x:v>1.9629999999999999</x:v>
      </x:c>
      <x:c r="U1125" s="28" t="n">
        <x:f>M1125+(G1125-I1125)*(N1125-M1125)/(J1125-I1125)</x:f>
        <x:v>1.9629999999999999</x:v>
      </x:c>
      <x:c r="V1125" s="32" t="n">
        <x:f>IF(AND(ISNUMBER(S1125),ISNUMBER(U1125)),ABS(S1125-U1125),IF(S1125=U1125,0,1))</x:f>
        <x:v>0</x:v>
      </x:c>
      <x:c r="W1125" s="30" t="str">
        <x:v>PASS</x:v>
      </x:c>
      <x:c r="X1125" s="28" t="str">
        <x:f>IF(V1125&lt;=1E-9,"PASS","FAIL")</x:f>
        <x:v>PASS</x:v>
      </x:c>
      <x:c r="Y1125" t="str">
        <x:v>local linear</x:v>
      </x:c>
      <x:c r="Z1125" t="str"/>
    </x:row>
    <x:row r="1126">
      <x:c r="A1126" t="str">
        <x:v>G1123</x:v>
      </x:c>
      <x:c r="B1126" t="str">
        <x:v>Bảng 17</x:v>
      </x:c>
      <x:c r="C1126" t="str">
        <x:v>k_v</x:v>
      </x:c>
      <x:c r="D1126" t="str">
        <x:v>FORMULA-MID</x:v>
      </x:c>
      <x:c r="E1126" t="str">
        <x:v>{"nu":0.475}</x:v>
      </x:c>
      <x:c r="F1126" t="str">
        <x:v>FORMULA-KV</x:v>
      </x:c>
      <x:c r="G1126" t="n">
        <x:v>0.475</x:v>
      </x:c>
      <x:c r="H1126"/>
      <x:c r="I1126"/>
      <x:c r="J1126"/>
      <x:c r="K1126"/>
      <x:c r="L1126"/>
      <x:c r="M1126"/>
      <x:c r="N1126"/>
      <x:c r="O1126"/>
      <x:c r="P1126"/>
      <x:c r="Q1126"/>
      <x:c r="R1126"/>
      <x:c r="S1126" t="n">
        <x:v>1.5163625</x:v>
      </x:c>
      <x:c r="T1126" t="n">
        <x:v>1.5163625</x:v>
      </x:c>
      <x:c r="U1126" s="28" t="n">
        <x:f>2.82-3.78*G1126+2.18*G1126^2</x:f>
        <x:v>1.5163625</x:v>
      </x:c>
      <x:c r="V1126" s="32" t="n">
        <x:f>IF(AND(ISNUMBER(S1126),ISNUMBER(U1126)),ABS(S1126-U1126),IF(S1126=U1126,0,1))</x:f>
        <x:v>0</x:v>
      </x:c>
      <x:c r="W1126" s="30" t="str">
        <x:v>PASS</x:v>
      </x:c>
      <x:c r="X1126" s="28" t="str">
        <x:f>IF(V1126&lt;=1E-9,"PASS","FAIL")</x:f>
        <x:v>PASS</x:v>
      </x:c>
      <x:c r="Y1126" t="str">
        <x:v>CT (33)</x:v>
      </x:c>
      <x:c r="Z1126" t="str"/>
    </x:row>
    <x:row r="1127">
      <x:c r="A1127" t="str">
        <x:v>G1124</x:v>
      </x:c>
      <x:c r="B1127" t="str">
        <x:v>Bảng 17</x:v>
      </x:c>
      <x:c r="C1127" t="str">
        <x:v>zeta0</x:v>
      </x:c>
      <x:c r="D1127" t="str">
        <x:v>FORMULA-MID</x:v>
      </x:c>
      <x:c r="E1127" t="str">
        <x:v>{"nu":0.475}</x:v>
      </x:c>
      <x:c r="F1127" t="str">
        <x:v>FORMULA-ZETA</x:v>
      </x:c>
      <x:c r="G1127" t="n">
        <x:v>0.475</x:v>
      </x:c>
      <x:c r="H1127"/>
      <x:c r="I1127"/>
      <x:c r="J1127"/>
      <x:c r="K1127"/>
      <x:c r="L1127"/>
      <x:c r="M1127"/>
      <x:c r="N1127"/>
      <x:c r="O1127"/>
      <x:c r="P1127"/>
      <x:c r="Q1127"/>
      <x:c r="R1127"/>
      <x:c r="S1127" t="n">
        <x:v>0.2623014671814268</x:v>
      </x:c>
      <x:c r="T1127" t="n">
        <x:v>0.2623014671814268</x:v>
      </x:c>
      <x:c r="U1127" s="28" t="n">
        <x:f>IF(ABS(G1127-0.5)&lt;1E-12,0.25,(1-2*G1127)/(2*LN(3-4*G1127)))</x:f>
        <x:v>0.2623014671814268</x:v>
      </x:c>
      <x:c r="V1127" s="32" t="n">
        <x:f>IF(AND(ISNUMBER(S1127),ISNUMBER(U1127)),ABS(S1127-U1127),IF(S1127=U1127,0,1))</x:f>
        <x:v>0</x:v>
      </x:c>
      <x:c r="W1127" s="30" t="str">
        <x:v>PASS</x:v>
      </x:c>
      <x:c r="X1127" s="28" t="str">
        <x:f>IF(V1127&lt;=1E-9,"PASS","FAIL")</x:f>
        <x:v>PASS</x:v>
      </x:c>
      <x:c r="Y1127" t="str">
        <x:v>CT (34)</x:v>
      </x:c>
      <x:c r="Z1127" t="str"/>
    </x:row>
    <x:row r="1128">
      <x:c r="A1128" t="str">
        <x:v>G1125</x:v>
      </x:c>
      <x:c r="B1128" t="str">
        <x:v>Bảng 17</x:v>
      </x:c>
      <x:c r="C1128" t="str">
        <x:v>m_v</x:v>
      </x:c>
      <x:c r="D1128" t="str">
        <x:v>OUTSIDE</x:v>
      </x:c>
      <x:c r="E1128" t="str">
        <x:v>{"nu":-0.001}</x:v>
      </x:c>
      <x:c r="F1128" t="str">
        <x:v>BLOCK</x:v>
      </x:c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 t="str">
        <x:v>BLOCK</x:v>
      </x:c>
      <x:c r="T1128" t="str">
        <x:v>BLOCK</x:v>
      </x:c>
      <x:c r="U1128" s="28" t="str">
        <x:f>"BLOCK"</x:f>
        <x:v>BLOCK</x:v>
      </x:c>
      <x:c r="V1128" s="32" t="n">
        <x:f>IF(AND(ISNUMBER(S1128),ISNUMBER(U1128)),ABS(S1128-U1128),IF(S1128=U1128,0,1))</x:f>
        <x:v>0</x:v>
      </x:c>
      <x:c r="W1128" s="30" t="str">
        <x:v>PASS</x:v>
      </x:c>
      <x:c r="X1128" s="28" t="str">
        <x:f>IF(V1128&lt;=1E-9,"PASS","FAIL")</x:f>
        <x:v>PASS</x:v>
      </x:c>
      <x:c r="Y1128" t="str">
        <x:v>NO EXTRAPOLATION</x:v>
      </x:c>
      <x:c r="Z1128" t="str">
        <x:v>Bảng 17 m_v: -0.001 nhỏ hơn phạm vi bảng (0). Không ngoại suy.</x:v>
      </x:c>
    </x:row>
    <x:row r="1129">
      <x:c r="A1129" t="str">
        <x:v>G1126</x:v>
      </x:c>
      <x:c r="B1129" t="str">
        <x:v>Bảng 17</x:v>
      </x:c>
      <x:c r="C1129" t="str">
        <x:v>k_v</x:v>
      </x:c>
      <x:c r="D1129" t="str">
        <x:v>OUTSIDE</x:v>
      </x:c>
      <x:c r="E1129" t="str">
        <x:v>{"nu":-0.001}</x:v>
      </x:c>
      <x:c r="F1129" t="str">
        <x:v>BLOCK</x:v>
      </x:c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 t="str">
        <x:v>BLOCK</x:v>
      </x:c>
      <x:c r="T1129" t="str">
        <x:v>BLOCK</x:v>
      </x:c>
      <x:c r="U1129" s="28" t="str">
        <x:f>"BLOCK"</x:f>
        <x:v>BLOCK</x:v>
      </x:c>
      <x:c r="V1129" s="32" t="n">
        <x:f>IF(AND(ISNUMBER(S1129),ISNUMBER(U1129)),ABS(S1129-U1129),IF(S1129=U1129,0,1))</x:f>
        <x:v>0</x:v>
      </x:c>
      <x:c r="W1129" s="30" t="str">
        <x:v>PASS</x:v>
      </x:c>
      <x:c r="X1129" s="28" t="str">
        <x:f>IF(V1129&lt;=1E-9,"PASS","FAIL")</x:f>
        <x:v>PASS</x:v>
      </x:c>
      <x:c r="Y1129" t="str">
        <x:v>NO EXTRAPOLATION</x:v>
      </x:c>
      <x:c r="Z1129" t="str">
        <x:v>Bảng 17/CT (33): ν ngoài 0–0,5.</x:v>
      </x:c>
    </x:row>
    <x:row r="1130">
      <x:c r="A1130" t="str">
        <x:v>G1127</x:v>
      </x:c>
      <x:c r="B1130" t="str">
        <x:v>Bảng 17</x:v>
      </x:c>
      <x:c r="C1130" t="str">
        <x:v>zeta0</x:v>
      </x:c>
      <x:c r="D1130" t="str">
        <x:v>OUTSIDE</x:v>
      </x:c>
      <x:c r="E1130" t="str">
        <x:v>{"nu":-0.001}</x:v>
      </x:c>
      <x:c r="F1130" t="str">
        <x:v>BLOCK</x:v>
      </x:c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 t="str">
        <x:v>BLOCK</x:v>
      </x:c>
      <x:c r="T1130" t="str">
        <x:v>BLOCK</x:v>
      </x:c>
      <x:c r="U1130" s="28" t="str">
        <x:f>"BLOCK"</x:f>
        <x:v>BLOCK</x:v>
      </x:c>
      <x:c r="V1130" s="32" t="n">
        <x:f>IF(AND(ISNUMBER(S1130),ISNUMBER(U1130)),ABS(S1130-U1130),IF(S1130=U1130,0,1))</x:f>
        <x:v>0</x:v>
      </x:c>
      <x:c r="W1130" s="30" t="str">
        <x:v>PASS</x:v>
      </x:c>
      <x:c r="X1130" s="28" t="str">
        <x:f>IF(V1130&lt;=1E-9,"PASS","FAIL")</x:f>
        <x:v>PASS</x:v>
      </x:c>
      <x:c r="Y1130" t="str">
        <x:v>NO EXTRAPOLATION</x:v>
      </x:c>
      <x:c r="Z1130" t="str">
        <x:v>CT (34): ν phải trong [0;0,5].</x:v>
      </x:c>
    </x:row>
    <x:row r="1131">
      <x:c r="A1131" t="str">
        <x:v>G1128</x:v>
      </x:c>
      <x:c r="B1131" t="str">
        <x:v>Bảng 17</x:v>
      </x:c>
      <x:c r="C1131" t="str">
        <x:v>m_v</x:v>
      </x:c>
      <x:c r="D1131" t="str">
        <x:v>OUTSIDE</x:v>
      </x:c>
      <x:c r="E1131" t="str">
        <x:v>{"nu":0.501}</x:v>
      </x:c>
      <x:c r="F1131" t="str">
        <x:v>BLOCK</x:v>
      </x:c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 t="str">
        <x:v>BLOCK</x:v>
      </x:c>
      <x:c r="T1131" t="str">
        <x:v>BLOCK</x:v>
      </x:c>
      <x:c r="U1131" s="28" t="str">
        <x:f>"BLOCK"</x:f>
        <x:v>BLOCK</x:v>
      </x:c>
      <x:c r="V1131" s="32" t="n">
        <x:f>IF(AND(ISNUMBER(S1131),ISNUMBER(U1131)),ABS(S1131-U1131),IF(S1131=U1131,0,1))</x:f>
        <x:v>0</x:v>
      </x:c>
      <x:c r="W1131" s="30" t="str">
        <x:v>PASS</x:v>
      </x:c>
      <x:c r="X1131" s="28" t="str">
        <x:f>IF(V1131&lt;=1E-9,"PASS","FAIL")</x:f>
        <x:v>PASS</x:v>
      </x:c>
      <x:c r="Y1131" t="str">
        <x:v>NO EXTRAPOLATION</x:v>
      </x:c>
      <x:c r="Z1131" t="str">
        <x:v>Bảng 17 m_v: 0.501 lớn hơn phạm vi bảng (0.5). Không ngoại suy.</x:v>
      </x:c>
    </x:row>
    <x:row r="1132">
      <x:c r="A1132" t="str">
        <x:v>G1129</x:v>
      </x:c>
      <x:c r="B1132" t="str">
        <x:v>Bảng 17</x:v>
      </x:c>
      <x:c r="C1132" t="str">
        <x:v>k_v</x:v>
      </x:c>
      <x:c r="D1132" t="str">
        <x:v>OUTSIDE</x:v>
      </x:c>
      <x:c r="E1132" t="str">
        <x:v>{"nu":0.501}</x:v>
      </x:c>
      <x:c r="F1132" t="str">
        <x:v>BLOCK</x:v>
      </x:c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 t="str">
        <x:v>BLOCK</x:v>
      </x:c>
      <x:c r="T1132" t="str">
        <x:v>BLOCK</x:v>
      </x:c>
      <x:c r="U1132" s="28" t="str">
        <x:f>"BLOCK"</x:f>
        <x:v>BLOCK</x:v>
      </x:c>
      <x:c r="V1132" s="32" t="n">
        <x:f>IF(AND(ISNUMBER(S1132),ISNUMBER(U1132)),ABS(S1132-U1132),IF(S1132=U1132,0,1))</x:f>
        <x:v>0</x:v>
      </x:c>
      <x:c r="W1132" s="30" t="str">
        <x:v>PASS</x:v>
      </x:c>
      <x:c r="X1132" s="28" t="str">
        <x:f>IF(V1132&lt;=1E-9,"PASS","FAIL")</x:f>
        <x:v>PASS</x:v>
      </x:c>
      <x:c r="Y1132" t="str">
        <x:v>NO EXTRAPOLATION</x:v>
      </x:c>
      <x:c r="Z1132" t="str">
        <x:v>Bảng 17/CT (33): ν ngoài 0–0,5.</x:v>
      </x:c>
    </x:row>
    <x:row r="1133">
      <x:c r="A1133" t="str">
        <x:v>G1130</x:v>
      </x:c>
      <x:c r="B1133" t="str">
        <x:v>Bảng 17</x:v>
      </x:c>
      <x:c r="C1133" t="str">
        <x:v>zeta0</x:v>
      </x:c>
      <x:c r="D1133" t="str">
        <x:v>OUTSIDE</x:v>
      </x:c>
      <x:c r="E1133" t="str">
        <x:v>{"nu":0.501}</x:v>
      </x:c>
      <x:c r="F1133" t="str">
        <x:v>BLOCK</x:v>
      </x:c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 t="str">
        <x:v>BLOCK</x:v>
      </x:c>
      <x:c r="T1133" t="str">
        <x:v>BLOCK</x:v>
      </x:c>
      <x:c r="U1133" s="28" t="str">
        <x:f>"BLOCK"</x:f>
        <x:v>BLOCK</x:v>
      </x:c>
      <x:c r="V1133" s="32" t="n">
        <x:f>IF(AND(ISNUMBER(S1133),ISNUMBER(U1133)),ABS(S1133-U1133),IF(S1133=U1133,0,1))</x:f>
        <x:v>0</x:v>
      </x:c>
      <x:c r="W1133" s="30" t="str">
        <x:v>PASS</x:v>
      </x:c>
      <x:c r="X1133" s="28" t="str">
        <x:f>IF(V1133&lt;=1E-9,"PASS","FAIL")</x:f>
        <x:v>PASS</x:v>
      </x:c>
      <x:c r="Y1133" t="str">
        <x:v>NO EXTRAPOLATION</x:v>
      </x:c>
      <x:c r="Z1133" t="str">
        <x:v>CT (34): ν phải trong [0;0,5].</x:v>
      </x:c>
    </x:row>
  </x:sheetData>
  <x:mergeCells>
    <x:mergeCell ref="A1:Z1"/>
  </x:mergeCells>
  <x:conditionalFormatting sqref="X4:X1133">
    <x:cfRule type="expression" dxfId="2" priority="1">
      <x:formula>X4="PASS"</x:formula>
    </x:cfRule>
    <x:cfRule type="expression" dxfId="3" priority="2">
      <x:formula>X4="FAIL"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064434b10d42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2" hidden="0" customWidth="1"/>
    <x:col min="5" max="5" width="18" hidden="0" customWidth="1"/>
    <x:col min="6" max="6" width="16" hidden="0" customWidth="1"/>
    <x:col min="7" max="7" width="62" hidden="0" customWidth="1"/>
    <x:col min="8" max="8" width="58" hidden="0" customWidth="1"/>
  </x:cols>
  <x:sheetData>
    <x:row r="1" ht="30" customHeight="1">
      <x:c r="A1" s="6" t="str">
        <x:v>80 · BẢNG 8 · SPARSE-GRID BUG REGRESSION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Case</x:v>
      </x:c>
      <x:c r="B3" s="16" t="str">
        <x:v>Input</x:v>
      </x:c>
      <x:c r="C3" s="16" t="str">
        <x:v>Trước v1.25.4</x:v>
      </x:c>
      <x:c r="D3" s="16" t="str">
        <x:v>Sau v1.25.4</x:v>
      </x:c>
      <x:c r="E3" s="16" t="str">
        <x:v>Expected</x:v>
      </x:c>
      <x:c r="F3" s="16" t="str">
        <x:v>Trạng thái</x:v>
      </x:c>
      <x:c r="G3" s="16" t="str">
        <x:v>Nguyên nhân</x:v>
      </x:c>
      <x:c r="H3" s="16" t="str">
        <x:v>Sửa</x:v>
      </x:c>
    </x:row>
    <x:row r="4">
      <x:c r="A4" t="str">
        <x:v>Exact hợp lệ</x:v>
      </x:c>
      <x:c r="B4" t="str">
        <x:v>z=30; IL=0,3</x:v>
      </x:c>
      <x:c r="C4" t="str">
        <x:v>BLOCK sai</x:v>
      </x:c>
      <x:c r="D4" t="n">
        <x:v>2300</x:v>
      </x:c>
      <x:c r="E4" t="n">
        <x:v>2300</x:v>
      </x:c>
      <x:c r="F4" s="25" t="str">
        <x:v>PASS</x:v>
      </x:c>
      <x:c r="G4" t="str">
        <x:v>Quét cả cột IL không liên quan</x:v>
      </x:c>
      <x:c r="H4" t="str">
        <x:v>Chỉ đánh giá bracket IL được yêu cầu</x:v>
      </x:c>
    </x:row>
    <x:row r="5">
      <x:c r="A5" t="str">
        <x:v>Bilinear hợp lệ</x:v>
      </x:c>
      <x:c r="B5" t="str">
        <x:v>z=35; IL=0,35</x:v>
      </x:c>
      <x:c r="C5" t="str">
        <x:v>BLOCK sai</x:v>
      </x:c>
      <x:c r="D5" t="n">
        <x:v>2450</x:v>
      </x:c>
      <x:c r="E5" t="n">
        <x:v>2450</x:v>
      </x:c>
      <x:c r="F5" s="25" t="str">
        <x:v>PASS</x:v>
      </x:c>
      <x:c r="G5" t="str">
        <x:v>Cột ngoài bracket có ô trống</x:v>
      </x:c>
      <x:c r="H5" t="str">
        <x:v>Chỉ lấy IL=0,3 và 0,4</x:v>
      </x:c>
    </x:row>
    <x:row r="6">
      <x:c r="A6" t="str">
        <x:v>Plateau hợp lệ</x:v>
      </x:c>
      <x:c r="B6" t="str">
        <x:v>z=45; IL=0,3</x:v>
      </x:c>
      <x:c r="C6" t="str">
        <x:v>BLOCK sai</x:v>
      </x:c>
      <x:c r="D6" t="n">
        <x:v>3000</x:v>
      </x:c>
      <x:c r="E6" t="n">
        <x:v>3000</x:v>
      </x:c>
      <x:c r="F6" s="25" t="str">
        <x:v>PASS</x:v>
      </x:c>
      <x:c r="G6" t="str">
        <x:v>Plateau vẫn quét ô trống ngoài bracket</x:v>
      </x:c>
      <x:c r="H6" t="str">
        <x:v>Plateau đúng cột IL</x:v>
      </x:c>
    </x:row>
    <x:row r="7">
      <x:c r="A7" t="str">
        <x:v>Sparse phải BLOCK</x:v>
      </x:c>
      <x:c r="B7" t="str">
        <x:v>z=35; IL=0,55</x:v>
      </x:c>
      <x:c r="C7" t="str">
        <x:v>BLOCK</x:v>
      </x:c>
      <x:c r="D7" t="str">
        <x:v>BLOCK</x:v>
      </x:c>
      <x:c r="E7" t="str">
        <x:v>BLOCK</x:v>
      </x:c>
      <x:c r="F7" s="25" t="str">
        <x:v>PASS</x:v>
      </x:c>
      <x:c r="G7" t="str">
        <x:v>Bracket 0,5–0,6 có ô trống thật</x:v>
      </x:c>
      <x:c r="H7" t="str">
        <x:v>Giữ BLOCK</x:v>
      </x:c>
    </x:row>
    <x:row r="8">
      <x:c r="A8" t="str">
        <x:v>Tổng Bảng 8</x:v>
      </x:c>
      <x:c r="B8" t="str">
        <x:v>121 case</x:v>
      </x:c>
      <x:c r="C8" t="str">
        <x:v>102 PASS / 19 FAIL</x:v>
      </x:c>
      <x:c r="D8" t="str">
        <x:v>121 PASS</x:v>
      </x:c>
      <x:c r="E8" t="n">
        <x:v>121</x:v>
      </x:c>
      <x:c r="F8" s="25" t="str">
        <x:v>PASS</x:v>
      </x:c>
      <x:c r="G8" t="str">
        <x:v>Golden benchmark phát hiện lỗi</x:v>
      </x:c>
      <x:c r="H8" t="str">
        <x:v>Đã khóa regression test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4" hidden="0" customWidth="1"/>
    <x:col min="4" max="4" width="64" hidden="0" customWidth="1"/>
    <x:col min="5" max="5" width="30" hidden="0" customWidth="1"/>
    <x:col min="6" max="6" width="34" hidden="0" customWidth="1"/>
    <x:col min="7" max="7" width="18" hidden="0" customWidth="1"/>
    <x:col min="8" max="8" width="48" hidden="0" customWidth="1"/>
  </x:cols>
  <x:sheetData>
    <x:row r="1" ht="30" customHeight="1">
      <x:c r="A1" s="6" t="str">
        <x:v>90 · POLICY / NGUỒN / RELEASE GATE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Bảng</x:v>
      </x:c>
      <x:c r="B3" s="16" t="str">
        <x:v>Trang</x:v>
      </x:c>
      <x:c r="C3" s="16" t="str">
        <x:v>Policy</x:v>
      </x:c>
      <x:c r="D3" s="16" t="str">
        <x:v>Case</x:v>
      </x:c>
      <x:c r="E3" s="16" t="str">
        <x:v>Ngoài biên</x:v>
      </x:c>
      <x:c r="F3" s="16" t="str">
        <x:v>Nguồn</x:v>
      </x:c>
      <x:c r="G3" s="16" t="str">
        <x:v>Trạng thái</x:v>
      </x:c>
      <x:c r="H3" s="16" t="str">
        <x:v>Ghi chú</x:v>
      </x:c>
    </x:row>
    <x:row r="4">
      <x:c r="A4" t="str">
        <x:v>Bảng 2</x:v>
      </x:c>
      <x:c r="B4" t="str">
        <x:v>32–33</x:v>
      </x:c>
      <x:c r="C4" t="str">
        <x:v>1D/2D + high plateau</x:v>
      </x:c>
      <x:c r="D4" t="n">
        <x:v>247</x:v>
      </x:c>
      <x:c r="E4" t="str">
        <x:v>BLOCK ngoài miền</x:v>
      </x:c>
      <x:c r="F4" t="str">
        <x:v>TCVN 10304:2025 PDF</x:v>
      </x:c>
      <x:c r="G4" s="25" t="str">
        <x:v>PASS</x:v>
      </x:c>
      <x:c r="H4" t="str">
        <x:v>Chú thích 1,4</x:v>
      </x:c>
    </x:row>
    <x:row r="5">
      <x:c r="A5" t="str">
        <x:v>Bảng 3</x:v>
      </x:c>
      <x:c r="B5" t="str">
        <x:v>33–34</x:v>
      </x:c>
      <x:c r="C5" t="str">
        <x:v>1D/2D + low IL plateau</x:v>
      </x:c>
      <x:c r="D5" t="n">
        <x:v>342</x:v>
      </x:c>
      <x:c r="E5" t="str">
        <x:v>BLOCK ngoài z/IL</x:v>
      </x:c>
      <x:c r="F5" t="str">
        <x:v>TCVN 10304:2025 PDF</x:v>
      </x:c>
      <x:c r="G5" s="25" t="str">
        <x:v>PASS</x:v>
      </x:c>
      <x:c r="H5" t="str">
        <x:v>Phân đoạn ≤2m</x:v>
      </x:c>
    </x:row>
    <x:row r="6">
      <x:c r="A6" t="str">
        <x:v>Bảng 4</x:v>
      </x:c>
      <x:c r="B6" t="str">
        <x:v>34–35</x:v>
      </x:c>
      <x:c r="C6" t="str">
        <x:v>DISCRETE</x:v>
      </x:c>
      <x:c r="D6" t="n">
        <x:v>8</x:v>
      </x:c>
      <x:c r="E6" t="str">
        <x:v>Không nội suy</x:v>
      </x:c>
      <x:c r="F6" t="str">
        <x:v>TCVN 10304:2025 PDF</x:v>
      </x:c>
      <x:c r="G6" s="25" t="str">
        <x:v>PASS</x:v>
      </x:c>
      <x:c r="H6" t="str">
        <x:v>Nhánh auto-supported</x:v>
      </x:c>
    </x:row>
    <x:row r="7">
      <x:c r="A7" t="str">
        <x:v>Bảng 6</x:v>
      </x:c>
      <x:c r="B7" t="str">
        <x:v>39</x:v>
      </x:c>
      <x:c r="C7" t="str">
        <x:v>DISCRETE</x:v>
      </x:c>
      <x:c r="D7" t="n">
        <x:v>42</x:v>
      </x:c>
      <x:c r="E7" t="str">
        <x:v>Không nội suy</x:v>
      </x:c>
      <x:c r="F7" t="str">
        <x:v>TCVN 10304:2025 PDF</x:v>
      </x:c>
      <x:c r="G7" s="25" t="str">
        <x:v>PASS</x:v>
      </x:c>
      <x:c r="H7" t="str">
        <x:v>10 phương pháp × 4 nhóm đất</x:v>
      </x:c>
    </x:row>
    <x:row r="8">
      <x:c r="A8" t="str">
        <x:v>Bảng 7</x:v>
      </x:c>
      <x:c r="B8" t="str">
        <x:v>41</x:v>
      </x:c>
      <x:c r="C8" t="str">
        <x:v>1D/2D + plateau</x:v>
      </x:c>
      <x:c r="D8" t="n">
        <x:v>140</x:v>
      </x:c>
      <x:c r="E8" t="str">
        <x:v>BLOCK φ/h/d</x:v>
      </x:c>
      <x:c r="F8" t="str">
        <x:v>TCVN 10304:2025 PDF</x:v>
      </x:c>
      <x:c r="G8" s="25" t="str">
        <x:v>PASS</x:v>
      </x:c>
      <x:c r="H8" t="str">
        <x:v>Chú thích 2</x:v>
      </x:c>
    </x:row>
    <x:row r="9">
      <x:c r="A9" t="str">
        <x:v>Bảng 8</x:v>
      </x:c>
      <x:c r="B9" t="str">
        <x:v>41–42</x:v>
      </x:c>
      <x:c r="C9" t="str">
        <x:v>2D sparse grid</x:v>
      </x:c>
      <x:c r="D9" t="n">
        <x:v>121</x:v>
      </x:c>
      <x:c r="E9" t="str">
        <x:v>BLOCK ô –/ngoài miền</x:v>
      </x:c>
      <x:c r="F9" t="str">
        <x:v>TCVN 10304:2025 PDF</x:v>
      </x:c>
      <x:c r="G9" s="25" t="str">
        <x:v>PASS</x:v>
      </x:c>
      <x:c r="H9" t="str">
        <x:v>Đã sửa sparse-grid</x:v>
      </x:c>
    </x:row>
    <x:row r="10">
      <x:c r="A10" t="str">
        <x:v>Bảng 12</x:v>
      </x:c>
      <x:c r="B10" t="str">
        <x:v>54</x:v>
      </x:c>
      <x:c r="C10" t="str">
        <x:v>DISCRETE + ×1,6</x:v>
      </x:c>
      <x:c r="D10" t="n">
        <x:v>11</x:v>
      </x:c>
      <x:c r="E10" t="str">
        <x:v>Không nội suy</x:v>
      </x:c>
      <x:c r="F10" t="str">
        <x:v>TCVN 10304:2025 PDF</x:v>
      </x:c>
      <x:c r="G10" s="25" t="str">
        <x:v>PASS</x:v>
      </x:c>
      <x:c r="H10" t="str">
        <x:v>Cát chặt</x:v>
      </x:c>
    </x:row>
    <x:row r="11">
      <x:c r="A11" t="str">
        <x:v>Bảng 15</x:v>
      </x:c>
      <x:c r="B11" t="str">
        <x:v>57</x:v>
      </x:c>
      <x:c r="C11" t="str">
        <x:v>EXACT / EDGE-BAND</x:v>
      </x:c>
      <x:c r="D11" t="n">
        <x:v>104</x:v>
      </x:c>
      <x:c r="E11" t="str">
        <x:v>Midpoint BLOCK</x:v>
      </x:c>
      <x:c r="F11" t="str">
        <x:v>TCVN 10304:2025 PDF</x:v>
      </x:c>
      <x:c r="G11" s="25" t="str">
        <x:v>PASS</x:v>
      </x:c>
      <x:c r="H11" t="str">
        <x:v>Không tự nội suy</x:v>
      </x:c>
    </x:row>
    <x:row r="12">
      <x:c r="A12" t="str">
        <x:v>Bảng 16</x:v>
      </x:c>
      <x:c r="B12" t="str">
        <x:v>58</x:v>
      </x:c>
      <x:c r="C12" t="str">
        <x:v>LINEAR-1D numeric</x:v>
      </x:c>
      <x:c r="D12" t="n">
        <x:v>46</x:v>
      </x:c>
      <x:c r="E12" t="str">
        <x:v>Không qua null</x:v>
      </x:c>
      <x:c r="F12" t="str">
        <x:v>TCVN 10304:2025 PDF</x:v>
      </x:c>
      <x:c r="G12" s="25" t="str">
        <x:v>PASS</x:v>
      </x:c>
      <x:c r="H12" t="str">
        <x:v>Chú thích 1</x:v>
      </x:c>
    </x:row>
    <x:row r="13">
      <x:c r="A13" t="str">
        <x:v>Bảng 17</x:v>
      </x:c>
      <x:c r="B13" t="str">
        <x:v>60</x:v>
      </x:c>
      <x:c r="C13" t="str">
        <x:v>FORMULA + local-linear</x:v>
      </x:c>
      <x:c r="D13" t="n">
        <x:v>69</x:v>
      </x:c>
      <x:c r="E13" t="str">
        <x:v>ν ngoài 0–0,5 BLOCK</x:v>
      </x:c>
      <x:c r="F13" t="str">
        <x:v>TCVN 10304:2025 PDF</x:v>
      </x:c>
      <x:c r="G13" s="25" t="str">
        <x:v>PASS</x:v>
      </x:c>
      <x:c r="H13" t="str">
        <x:v>CT (33),(34)</x:v>
      </x:c>
    </x:row>
    <x:row r="16">
      <x:c r="A16" s="16" t="str">
        <x:v>Release gate</x:v>
      </x:c>
      <x:c r="B16" s="16" t="str">
        <x:v>Trạng thái</x:v>
      </x:c>
      <x:c r="C16" s="16" t="str">
        <x:v>Yêu cầu</x:v>
      </x:c>
      <x:c r="D16" s="16" t="str">
        <x:v>Ghi chú</x:v>
      </x:c>
    </x:row>
    <x:row r="17">
      <x:c r="A17" t="str">
        <x:v>Full Table Golden JSON</x:v>
      </x:c>
      <x:c r="B17" s="25" t="str">
        <x:v>PASS</x:v>
      </x:c>
      <x:c r="C17" t="str">
        <x:v>1.130/1.130</x:v>
      </x:c>
      <x:c r="D17" t="str">
        <x:v>Đã chạy bằng source HNL v1.25.4</x:v>
      </x:c>
    </x:row>
    <x:row r="18">
      <x:c r="A18" t="str">
        <x:v>Excel cell-by-cell</x:v>
      </x:c>
      <x:c r="B18" s="25" t="str">
        <x:v>PASS</x:v>
      </x:c>
      <x:c r="C18" t="str">
        <x:v>HNL↔Excel từng dòng</x:v>
      </x:c>
      <x:c r="D18" t="str">
        <x:v>Workbook này</x:v>
      </x:c>
    </x:row>
    <x:row r="19">
      <x:c r="A19" t="str">
        <x:v>npm test</x:v>
      </x:c>
      <x:c r="B19" s="25" t="str">
        <x:v>PASS</x:v>
      </x:c>
      <x:c r="C19" t="str">
        <x:v>275/275</x:v>
      </x:c>
      <x:c r="D19" t="str">
        <x:v>0 FAIL</x:v>
      </x:c>
    </x:row>
    <x:row r="20">
      <x:c r="A20" t="str">
        <x:v>GitHub/Web/Windows</x:v>
      </x:c>
      <x:c r="B20" s="35" t="str">
        <x:v>CHƯA CHẠY</x:v>
      </x:c>
      <x:c r="C20" t="str">
        <x:v>Build sau bước benchmark</x:v>
      </x:c>
      <x:c r="D20" t="str">
        <x:v>Chưa khóa RC</x:v>
      </x:c>
    </x:row>
  </x:sheetData>
  <x:mergeCells>
    <x:mergeCell ref="A1:H1"/>
  </x:mergeCells>
  <x:pageMargins left="0.7" right="0.7" top="0.75" bottom="0.75" header="0.3" footer="0.3"/>
</x:worksheet>
</file>