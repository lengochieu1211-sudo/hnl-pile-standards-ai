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15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d87315505247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TONG_QUAN" sheetId="1" r:id="R24636635f1d2460c"/>
    <x:sheet xmlns:r="http://schemas.openxmlformats.org/officeDocument/2006/relationships" name="01_INPUT" sheetId="2" r:id="Rccfa967329264a83"/>
    <x:sheet xmlns:r="http://schemas.openxmlformats.org/officeDocument/2006/relationships" name="02_VAT_LIEU" sheetId="3" r:id="Rbbdd835385d048fb"/>
    <x:sheet xmlns:r="http://schemas.openxmlformats.org/officeDocument/2006/relationships" name="03_UON" sheetId="4" r:id="R7f6bd4148abc424b"/>
    <x:sheet xmlns:r="http://schemas.openxmlformats.org/officeDocument/2006/relationships" name="04_NEN_LECH_TAM" sheetId="5" r:id="R069fbef7d92648c5"/>
    <x:sheet xmlns:r="http://schemas.openxmlformats.org/officeDocument/2006/relationships" name="05_KIEM_TRA" sheetId="6" r:id="R6ba86a4d68bb4996"/>
    <x:sheet xmlns:r="http://schemas.openxmlformats.org/officeDocument/2006/relationships" name="06_THUYET_MINH" sheetId="7" r:id="R84d2c948ffd34ade"/>
    <x:sheet xmlns:r="http://schemas.openxmlformats.org/officeDocument/2006/relationships" name="07_NGUON" sheetId="8" r:id="R52d6f4eb6feb406c"/>
    <x:sheet xmlns:r="http://schemas.openxmlformats.org/officeDocument/2006/relationships" name="08_LUC_CAT" sheetId="9" r:id="Rc6223498fe214cf2"/>
    <x:sheet xmlns:r="http://schemas.openxmlformats.org/officeDocument/2006/relationships" name="09_XOAN" sheetId="10" r:id="R07d7c6bb6d29408f"/>
    <x:sheet xmlns:r="http://schemas.openxmlformats.org/officeDocument/2006/relationships" name="10_NEN_CUC_BO" sheetId="11" r:id="Rbd3aa7bfeb664fb6"/>
    <x:sheet xmlns:r="http://schemas.openxmlformats.org/officeDocument/2006/relationships" name="11_CHOC_THUNG" sheetId="12" r:id="Rcf6dc16e10de444e"/>
    <x:sheet xmlns:r="http://schemas.openxmlformats.org/officeDocument/2006/relationships" name="12_NUT" sheetId="13" r:id="R3a4198d0df054755"/>
    <x:sheet xmlns:r="http://schemas.openxmlformats.org/officeDocument/2006/relationships" name="13_BIEN_DANG" sheetId="14" r:id="Rc60f7b4158184f19"/>
    <x:sheet xmlns:r="http://schemas.openxmlformats.org/officeDocument/2006/relationships" name="14_UNG_SUAT_TRUOC" sheetId="15" r:id="R769feb897ff54ba4"/>
    <x:sheet xmlns:r="http://schemas.openxmlformats.org/officeDocument/2006/relationships" name="15_BENCHMARK" sheetId="16" r:id="Rd425d6cd069840d3"/>
    <x:sheet xmlns:r="http://schemas.openxmlformats.org/officeDocument/2006/relationships" name="16_BANG_SLS" sheetId="17" r:id="R794f45c72eb147fd"/>
    <x:sheet xmlns:r="http://schemas.openxmlformats.org/officeDocument/2006/relationships" name="17_NEO_NOI" sheetId="18" r:id="Rabf9cb5e664a426d"/>
    <x:sheet xmlns:r="http://schemas.openxmlformats.org/officeDocument/2006/relationships" name="18_TIET_DIEN_TRON" sheetId="19" r:id="Rf84bf3f3e7914c45"/>
    <x:sheet xmlns:r="http://schemas.openxmlformats.org/officeDocument/2006/relationships" name="19_CONG_XON_NGAN" sheetId="20" r:id="R92ae1d0eb2fb48b2"/>
    <x:sheet xmlns:r="http://schemas.openxmlformats.org/officeDocument/2006/relationships" name="20_PHU_LUC_G" sheetId="21" r:id="Rca4c0e5c76a742a5"/>
    <x:sheet xmlns:r="http://schemas.openxmlformats.org/officeDocument/2006/relationships" name="21_PHU_LUC_INDEX" sheetId="22" r:id="R69a445274a1546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3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D9EAD3"/>
      </x:patternFill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548235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0" fillId="13" borderId="0" xfId="0" applyNumberFormat="1" applyFont="1" applyFill="1" applyBorder="1"/>
    <x:xf numFmtId="0" fontId="0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vertical="top" wrapText="1"/>
    </x:xf>
    <x:xf numFmtId="0" fontId="2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 applyAlignment="1">
      <x:alignment vertical="top" wrapText="1"/>
    </x:xf>
    <x:xf numFmtId="0" fontId="4" fillId="14" borderId="0" xfId="0" applyNumberFormat="1" applyFont="1" applyFill="1" applyBorder="1" applyAlignment="1">
      <x:alignment vertical="top" wrapText="1"/>
    </x:xf>
    <x:xf numFmtId="0" fontId="2" fillId="15" borderId="0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 applyAlignment="1">
      <x:alignment vertical="top" wrapText="1"/>
    </x:xf>
    <x:xf numFmtId="0" fontId="2" fillId="16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4" fillId="18" borderId="0" xfId="0" applyNumberFormat="1" applyFont="1" applyFill="1" applyBorder="1"/>
    <x:xf numFmtId="0" fontId="4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0" fillId="20" borderId="0" xfId="0" applyNumberFormat="1" applyFont="1" applyFill="1" applyBorder="1"/>
    <x:xf numFmtId="0" fontId="3" fillId="20" borderId="0" xfId="0" applyNumberFormat="1" applyFont="1" applyFill="1" applyBorder="1"/>
    <x:xf numFmtId="0" fontId="2" fillId="19" borderId="0" xfId="0" applyNumberFormat="1" applyFont="1" applyFill="1" applyBorder="1" applyAlignment="1">
      <x:alignment wrapText="1"/>
    </x:xf>
    <x:xf numFmtId="0" fontId="3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4" fillId="21" borderId="0" xfId="0" applyNumberFormat="1" applyFont="1" applyFill="1" applyBorder="1"/>
    <x:xf numFmtId="0" fontId="4" fillId="21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/>
    <x:xf numFmtId="0" fontId="2" fillId="22" borderId="0" xfId="0" applyNumberFormat="1" applyFont="1" applyFill="1" applyBorder="1"/>
    <x:xf numFmtId="0" fontId="2" fillId="22" borderId="0" xfId="0" applyNumberFormat="1" applyFont="1" applyFill="1" applyBorder="1" applyAlignment="1">
      <x:alignment wrapText="1"/>
    </x:xf>
    <x:xf numFmtId="0" fontId="4" fillId="21" borderId="0" xfId="0" applyNumberFormat="1" applyFont="1" applyFill="1" applyBorder="1" applyAlignment="1">
      <x:alignment vertical="top" wrapText="1"/>
    </x:xf>
    <x:xf numFmtId="0" fontId="2" fillId="22" borderId="0" xfId="0" applyNumberFormat="1" applyFont="1" applyFill="1" applyBorder="1" applyAlignment="1">
      <x:alignment vertical="top" wrapText="1"/>
    </x:xf>
    <x:xf numFmtId="0" fontId="0" fillId="23" borderId="0" xfId="0" applyNumberFormat="1" applyFont="1" applyFill="1" applyBorder="1" applyAlignment="1">
      <x:alignment vertical="top" wrapText="1"/>
    </x:xf>
    <x:xf numFmtId="0" fontId="0" fillId="24" borderId="0" xfId="0" applyNumberFormat="1" applyFont="1" applyFill="1" applyBorder="1" applyAlignment="1">
      <x:alignment vertical="top" wrapText="1"/>
    </x:xf>
    <x:xf numFmtId="0" fontId="2" fillId="24" borderId="0" xfId="0" applyNumberFormat="1" applyFont="1" applyFill="1" applyBorder="1" applyAlignment="1">
      <x:alignment vertical="top" wrapText="1"/>
    </x:xf>
    <x:xf numFmtId="0" fontId="2" fillId="23" borderId="0" xfId="0" applyNumberFormat="1" applyFont="1" applyFill="1" applyBorder="1" applyAlignment="1">
      <x:alignment vertical="top" wrapText="1"/>
    </x:xf>
    <x:xf numFmtId="0" fontId="0" fillId="22" borderId="0" xfId="0" applyNumberFormat="1" applyFont="1" applyFill="1" applyBorder="1" applyAlignment="1">
      <x:alignment vertical="top" wrapText="1"/>
    </x:xf>
    <x:xf numFmtId="0" fontId="0" fillId="24" borderId="0" xfId="0" applyNumberFormat="1" applyFont="1" applyFill="1" applyBorder="1"/>
    <x:xf numFmtId="0" fontId="0" fillId="24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25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 applyAlignment="1">
      <x:alignment wrapText="1"/>
    </x:xf>
    <x:xf numFmtId="0" fontId="2" fillId="26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/>
    <x:xf numFmtId="0" fontId="4" fillId="28" borderId="0" xfId="0" applyNumberFormat="1" applyFont="1" applyFill="1" applyBorder="1"/>
    <x:xf numFmtId="0" fontId="4" fillId="28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/>
    <x:xf numFmtId="0" fontId="2" fillId="29" borderId="0" xfId="0" applyNumberFormat="1" applyFont="1" applyFill="1" applyBorder="1"/>
    <x:xf numFmtId="0" fontId="2" fillId="29" borderId="0" xfId="0" applyNumberFormat="1" applyFont="1" applyFill="1" applyBorder="1" applyAlignment="1">
      <x:alignment wrapText="1"/>
    </x:xf>
    <x:xf numFmtId="0" fontId="0" fillId="30" borderId="0" xfId="0" applyNumberFormat="1" applyFont="1" applyFill="1" applyBorder="1"/>
    <x:xf numFmtId="0" fontId="0" fillId="31" borderId="0" xfId="0" applyNumberFormat="1" applyFont="1" applyFill="1" applyBorder="1"/>
    <x:xf numFmtId="0" fontId="0" fillId="32" borderId="0" xfId="0" applyNumberFormat="1" applyFont="1" applyFill="1" applyBorder="1"/>
    <x:xf numFmtId="0" fontId="3" fillId="32" borderId="0" xfId="0" applyNumberFormat="1" applyFont="1" applyFill="1" applyBorder="1"/>
    <x:xf numFmtId="0" fontId="0" fillId="30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 applyAlignment="1">
      <x:alignment wrapText="1"/>
    </x:xf>
    <x:xf numFmtId="0" fontId="3" fillId="32" borderId="0" xfId="0" applyNumberFormat="1" applyFont="1" applyFill="1" applyBorder="1" applyAlignment="1">
      <x:alignment wrapText="1"/>
    </x:xf>
    <x:xf numFmtId="0" fontId="0" fillId="32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f67f0cb2ce4c2f" /><Relationship Type="http://schemas.openxmlformats.org/officeDocument/2006/relationships/theme" Target="/xl/theme/theme1.xml" Id="R55fda0ebc6d947d4" /><Relationship Type="http://schemas.openxmlformats.org/officeDocument/2006/relationships/sharedStrings" Target="/xl/sharedStrings.xml" Id="R9e495f708f824c6c" /><Relationship Type="http://schemas.openxmlformats.org/officeDocument/2006/relationships/worksheet" Target="/xl/worksheets/sheet1.xml" Id="R24636635f1d2460c" /><Relationship Type="http://schemas.openxmlformats.org/officeDocument/2006/relationships/worksheet" Target="/xl/worksheets/sheet2.xml" Id="Rccfa967329264a83" /><Relationship Type="http://schemas.openxmlformats.org/officeDocument/2006/relationships/worksheet" Target="/xl/worksheets/sheet3.xml" Id="Rbbdd835385d048fb" /><Relationship Type="http://schemas.openxmlformats.org/officeDocument/2006/relationships/worksheet" Target="/xl/worksheets/sheet4.xml" Id="R7f6bd4148abc424b" /><Relationship Type="http://schemas.openxmlformats.org/officeDocument/2006/relationships/worksheet" Target="/xl/worksheets/sheet5.xml" Id="R069fbef7d92648c5" /><Relationship Type="http://schemas.openxmlformats.org/officeDocument/2006/relationships/worksheet" Target="/xl/worksheets/sheet6.xml" Id="R6ba86a4d68bb4996" /><Relationship Type="http://schemas.openxmlformats.org/officeDocument/2006/relationships/worksheet" Target="/xl/worksheets/sheet7.xml" Id="R84d2c948ffd34ade" /><Relationship Type="http://schemas.openxmlformats.org/officeDocument/2006/relationships/worksheet" Target="/xl/worksheets/sheet8.xml" Id="R52d6f4eb6feb406c" /><Relationship Type="http://schemas.openxmlformats.org/officeDocument/2006/relationships/worksheet" Target="/xl/worksheets/sheet9.xml" Id="Rc6223498fe214cf2" /><Relationship Type="http://schemas.openxmlformats.org/officeDocument/2006/relationships/worksheet" Target="/xl/worksheets/sheet10.xml" Id="R07d7c6bb6d29408f" /><Relationship Type="http://schemas.openxmlformats.org/officeDocument/2006/relationships/worksheet" Target="/xl/worksheets/sheet11.xml" Id="Rbd3aa7bfeb664fb6" /><Relationship Type="http://schemas.openxmlformats.org/officeDocument/2006/relationships/worksheet" Target="/xl/worksheets/sheet12.xml" Id="Rcf6dc16e10de444e" /><Relationship Type="http://schemas.openxmlformats.org/officeDocument/2006/relationships/worksheet" Target="/xl/worksheets/sheet13.xml" Id="R3a4198d0df054755" /><Relationship Type="http://schemas.openxmlformats.org/officeDocument/2006/relationships/worksheet" Target="/xl/worksheets/sheet14.xml" Id="Rc60f7b4158184f19" /><Relationship Type="http://schemas.openxmlformats.org/officeDocument/2006/relationships/worksheet" Target="/xl/worksheets/sheet15.xml" Id="R769feb897ff54ba4" /><Relationship Type="http://schemas.openxmlformats.org/officeDocument/2006/relationships/worksheet" Target="/xl/worksheets/sheet16.xml" Id="Rd425d6cd069840d3" /><Relationship Type="http://schemas.openxmlformats.org/officeDocument/2006/relationships/worksheet" Target="/xl/worksheets/sheet17.xml" Id="R794f45c72eb147fd" /><Relationship Type="http://schemas.openxmlformats.org/officeDocument/2006/relationships/worksheet" Target="/xl/worksheets/sheet18.xml" Id="Rabf9cb5e664a426d" /><Relationship Type="http://schemas.openxmlformats.org/officeDocument/2006/relationships/worksheet" Target="/xl/worksheets/sheet19.xml" Id="Rf84bf3f3e7914c45" /><Relationship Type="http://schemas.openxmlformats.org/officeDocument/2006/relationships/worksheet" Target="/xl/worksheets/sheet20.xml" Id="R92ae1d0eb2fb48b2" /><Relationship Type="http://schemas.openxmlformats.org/officeDocument/2006/relationships/worksheet" Target="/xl/worksheets/sheet21.xml" Id="Rca4c0e5c76a742a5" /><Relationship Type="http://schemas.openxmlformats.org/officeDocument/2006/relationships/worksheet" Target="/xl/worksheets/sheet22.xml" Id="R69a445274a1546f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8dbc9ebe361438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e40088cfbd84ea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c1bad3cb2dce4a5d" /><Relationship Type="http://schemas.openxmlformats.org/officeDocument/2006/relationships/chart" Target="/xl/drawings/charts/chart4.xml" Id="R4c50bf433de04a62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3ad9c6cdddc54770" /><Relationship Type="http://schemas.openxmlformats.org/officeDocument/2006/relationships/chart" Target="/xl/drawings/charts/chart6.xml" Id="R9a43e6397a424cdd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kN.m</c:v>
          </c:tx>
          <c:cat>
            <c:strRef>
              <c:f>'03_UON'!$I$4:$I$5</c:f>
              <c:strCache>
                <c:ptCount val="0"/>
              </c:strCache>
            </c:strRef>
          </c:cat>
          <c:val>
            <c:numRef>
              <c:f>'03_UON'!$J$4:$J$5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kN.m</c:v>
          </c:tx>
          <c:cat>
            <c:strRef>
              <c:f>'04_NEN_LECH_TAM'!$I$4:$I$5</c:f>
              <c:strCache>
                <c:ptCount val="0"/>
              </c:strCache>
            </c:strRef>
          </c:cat>
          <c:val>
            <c:numRef>
              <c:f>'04_NEN_LECH_TAM'!$J$4:$J$5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f</c:v>
          </c:tx>
          <c:cat>
            <c:strRef>
              <c:f>'13_BIEN_DANG'!$J$4:$J$5</c:f>
              <c:strCache>
                <c:ptCount val="0"/>
              </c:strCache>
            </c:strRef>
          </c:cat>
          <c:val>
            <c:numRef>
              <c:f>'13_BIEN_DANG'!$K$4:$K$5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mm</c:v>
          </c:tx>
          <c:cat>
            <c:strRef>
              <c:f>'13_BIEN_DANG'!$J$4:$J$5</c:f>
              <c:strCache>
                <c:ptCount val="0"/>
              </c:strCache>
            </c:strRef>
          </c:cat>
          <c:val>
            <c:numRef>
              <c:f>'13_BIEN_DANG'!$K$4:$K$5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MPa</c:v>
          </c:tx>
          <c:cat>
            <c:strRef>
              <c:f>'14_UNG_SUAT_TRUOC'!$J$4:$J$9</c:f>
              <c:strCache>
                <c:ptCount val="0"/>
              </c:strCache>
            </c:strRef>
          </c:cat>
          <c:val>
            <c:numRef>
              <c:f>'14_UNG_SUAT_TRUOC'!$K$4:$K$9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MPa</c:v>
          </c:tx>
          <c:cat>
            <c:strRef>
              <c:f>'14_UNG_SUAT_TRUOC'!$J$4:$J$5</c:f>
              <c:strCache>
                <c:ptCount val="0"/>
              </c:strCache>
            </c:strRef>
          </c:cat>
          <c:val>
            <c:numRef>
              <c:f>'14_UNG_SUAT_TRUOC'!$K$4:$K$5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6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dbc9ebe361438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6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e40088cfbd84eaa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6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bad3cb2dce4a5d"/>
        </a:graphicData>
      </a:graphic>
    </xdr:graphicFrame>
    <xdr:clientData/>
  </xdr:twoCellAnchor>
  <xdr:twoCellAnchor>
    <xdr:from>
      <xdr:col>9</xdr:col>
      <xdr:colOff>0</xdr:colOff>
      <xdr:row>6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50bf433de04a6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9</xdr:col>
      <xdr:colOff>0</xdr:colOff>
      <xdr:row>10</xdr:row>
      <xdr:rowOff>0</xdr:rowOff>
    </xdr:from>
    <xdr:to>
      <xdr:col>17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ad9c6cdddc54770"/>
        </a:graphicData>
      </a:graphic>
    </xdr:graphicFrame>
    <xdr:clientData/>
  </xdr:twoCellAnchor>
  <xdr:twoCellAnchor>
    <xdr:from>
      <xdr:col>9</xdr:col>
      <xdr:colOff>0</xdr:colOff>
      <xdr:row>6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43e6397a424cd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098d83225f234e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5c834ef828fa46a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3.xml" Id="R35873ebfedb147a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4.xml" Id="Rf1c791da488449c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18" hidden="0" customHeight="1">
      <x:c r="A1" s="24" t="str">
        <x:v>HNL · TCVN 5574:2018 · PRODUCTION WORKBOOK – DETAILING + ANNEXES v1.21.0</x:v>
      </x:c>
      <x:c r="B1" s="24"/>
      <x:c r="C1" s="24"/>
      <x:c r="D1" s="24"/>
      <x:c r="E1" s="24"/>
      <x:c r="F1" s="24"/>
      <x:c r="G1" s="24"/>
      <x:c r="H1" s="24"/>
    </x:row>
    <x:row r="2" ht="15" hidden="0" customHeight="1">
      <x:c r="A2" s="25"/>
      <x:c r="B2" s="25"/>
      <x:c r="C2" s="25"/>
      <x:c r="D2" s="25"/>
      <x:c r="E2" s="25"/>
      <x:c r="F2" s="25"/>
      <x:c r="G2" s="25"/>
      <x:c r="H2" s="25"/>
    </x:row>
    <x:row r="3" ht="15" hidden="0" customHeight="1">
      <x:c r="A3" s="26" t="str">
        <x:v>Mục</x:v>
      </x:c>
      <x:c r="B3" s="26" t="str">
        <x:v>Nội dung</x:v>
      </x:c>
      <x:c r="C3" s="26" t="str"/>
      <x:c r="D3" s="26" t="str"/>
      <x:c r="E3" s="26" t="str"/>
      <x:c r="F3" s="26" t="str"/>
      <x:c r="G3" s="26" t="str"/>
      <x:c r="H3" s="26" t="str"/>
    </x:row>
    <x:row r="4" ht="15" hidden="0" customHeight="1">
      <x:c r="A4" s="27" t="str">
        <x:v>Phạm vi Verified</x:v>
      </x:c>
      <x:c r="B4" s="25" t="str">
        <x:v>Vật liệu → uốn → nén lệch tâm → cắt → xoắn → nén cục bộ → chọc thủng → nứt (nhánh uốn chữ nhật) → biến dạng (nhánh không nứt) → ứng suất trước (hao tổn cơ bản).</x:v>
      </x:c>
      <x:c r="C4" s="25"/>
      <x:c r="D4" s="25"/>
      <x:c r="E4" s="25"/>
      <x:c r="F4" s="25"/>
      <x:c r="G4" s="25"/>
      <x:c r="H4" s="25"/>
    </x:row>
    <x:row r="5" ht="15" hidden="0" customHeight="1">
      <x:c r="A5" s="27" t="str">
        <x:v>Nguyên tắc</x:v>
      </x:c>
      <x:c r="B5" s="25" t="str">
        <x:v>Chỉ công thức/bảng đã đối chiếu PDF gốc mới chạy số. Các module còn REVIEW không được tự tính.</x:v>
      </x:c>
      <x:c r="C5" s="25"/>
      <x:c r="D5" s="25"/>
      <x:c r="E5" s="25"/>
      <x:c r="F5" s="25"/>
      <x:c r="G5" s="25"/>
      <x:c r="H5" s="25"/>
    </x:row>
    <x:row r="6" ht="26.399999618530273" hidden="0" customHeight="1">
      <x:c r="A6" s="27" t="str">
        <x:v>Cách dùng</x:v>
      </x:c>
      <x:c r="B6" s="25" t="str">
        <x:v>1) Sửa ô vàng ở 01_INPUT. 2) Kiểm tra vật liệu ở 02_VAT_LIEU. 3) Xem từng bước ở 03_UON hoặc 04_NEN_LECH_TAM. 4) Đọc kết luận ở 05_KIEM_TRA. 5) Truy nguồn ở 07_NGUON.</x:v>
      </x:c>
      <x:c r="C6" s="25"/>
      <x:c r="D6" s="25"/>
      <x:c r="E6" s="25"/>
      <x:c r="F6" s="25"/>
      <x:c r="G6" s="25"/>
      <x:c r="H6" s="25"/>
    </x:row>
    <x:row r="7" ht="15" hidden="0" customHeight="1">
      <x:c r="A7" s="27" t="str">
        <x:v>Màu vàng</x:v>
      </x:c>
      <x:c r="B7" s="25" t="str">
        <x:v>INPUT người dùng thay đổi được.</x:v>
      </x:c>
      <x:c r="C7" s="25"/>
      <x:c r="D7" s="25"/>
      <x:c r="E7" s="25"/>
      <x:c r="F7" s="25"/>
      <x:c r="G7" s="25"/>
      <x:c r="H7" s="25"/>
    </x:row>
    <x:row r="8" ht="15" hidden="0" customHeight="1">
      <x:c r="A8" s="27" t="str">
        <x:v>Màu xanh nhạt</x:v>
      </x:c>
      <x:c r="B8" s="25" t="str">
        <x:v>Công thức Excel thật, tự tính lại.</x:v>
      </x:c>
      <x:c r="C8" s="25"/>
      <x:c r="D8" s="25"/>
      <x:c r="E8" s="25"/>
      <x:c r="F8" s="25"/>
      <x:c r="G8" s="25"/>
      <x:c r="H8" s="25"/>
    </x:row>
    <x:row r="9" ht="15" hidden="0" customHeight="1">
      <x:c r="A9" s="27" t="str">
        <x:v>Kiểm tra</x:v>
      </x:c>
      <x:c r="B9" s="25" t="str">
        <x:v>Tỷ số tác động/sức kháng ≤ 1,00 → đạt trong nhánh công thức đang xét.</x:v>
      </x:c>
      <x:c r="C9" s="25"/>
      <x:c r="D9" s="25"/>
      <x:c r="E9" s="25"/>
      <x:c r="F9" s="25"/>
      <x:c r="G9" s="25"/>
      <x:c r="H9" s="25"/>
    </x:row>
    <x:row r="10" ht="15" hidden="0" customHeight="1">
      <x:c r="A10" s="27" t="str">
        <x:v>Đơn vị</x:v>
      </x:c>
      <x:c r="B10" s="25" t="str">
        <x:v>Hình học mm; nội lực kN, kN.m; cường độ MPa = N/mm².</x:v>
      </x:c>
      <x:c r="C10" s="25"/>
      <x:c r="D10" s="25"/>
      <x:c r="E10" s="25"/>
      <x:c r="F10" s="25"/>
      <x:c r="G10" s="25"/>
      <x:c r="H10" s="25"/>
    </x:row>
    <x:row r="11" ht="15" hidden="0" customHeight="1">
      <x:c r="A11" s="27" t="str">
        <x:v>Nguồn</x:v>
      </x:c>
      <x:c r="B11" s="25" t="str">
        <x:v>TCVN 5574:2018 PDF do người dùng cung cấp; trang chuẩn và trang PDF được ghi riêng.</x:v>
      </x:c>
      <x:c r="C11" s="25"/>
      <x:c r="D11" s="25"/>
      <x:c r="E11" s="25"/>
      <x:c r="F11" s="25"/>
      <x:c r="G11" s="25"/>
      <x:c r="H11" s="25"/>
    </x:row>
    <x:row r="12" ht="15" hidden="0" customHeight="1">
      <x:c r="A12" s="27" t="str">
        <x:v>Lưu ý</x:v>
      </x:c>
      <x:c r="B12" s="25" t="str">
        <x:v>Nếu thiếu dữ liệu xét uốn dọc cho cột, workbook để η=1 và cảnh báo; không coi đó là kiểm tra cột mảnh đầy đủ.</x:v>
      </x:c>
      <x:c r="C12" s="25"/>
      <x:c r="D12" s="25"/>
      <x:c r="E12" s="25"/>
      <x:c r="F12" s="25"/>
      <x:c r="G12" s="25"/>
      <x:c r="H12" s="25"/>
    </x:row>
    <x:row r="13" ht="15" hidden="0" customHeight="1">
      <x:c r="A13" s="25" t="str">
        <x:v>Pass 2 v1.19.0</x:v>
      </x:c>
      <x:c r="B13" s="25" t="str">
        <x:v>Đã bổ sung Nứt, Biến dạng/độ võng và Ứng suất trước với công thức Excel thật và diễn giải từng bước.</x:v>
      </x:c>
      <x:c r="C13" s="25"/>
      <x:c r="D13" s="25"/>
      <x:c r="E13" s="25"/>
      <x:c r="F13" s="25"/>
      <x:c r="G13" s="25"/>
      <x:c r="H13" s="25"/>
    </x:row>
    <x:row r="14" ht="15" hidden="0" customHeight="1">
      <x:c r="A14" s="25" t="str">
        <x:v>Nứt</x:v>
      </x:c>
      <x:c r="B14" s="25" t="str">
        <x:v>VERIFIED cho nhánh uốn chữ nhật CT158–176; Rbt,ser bắt buộc nhập có provenance. acrc,u/Bảng 17 chưa tự suy đoán.</x:v>
      </x:c>
      <x:c r="C14" s="25"/>
      <x:c r="D14" s="25"/>
      <x:c r="E14" s="25"/>
      <x:c r="F14" s="25"/>
      <x:c r="G14" s="25"/>
      <x:c r="H14" s="25"/>
    </x:row>
    <x:row r="15" ht="15" hidden="0" customHeight="1">
      <x:c r="A15" s="25" t="str">
        <x:v>Biến dạng</x:v>
      </x:c>
      <x:c r="B15" s="25" t="str">
        <x:v>VERIFIED cho nhánh không nứt, tiết diện không đổi, chủ yếu do uốn. L/h&lt;10 hoặc có nứt phải dùng nhánh sâu hơn.</x:v>
      </x:c>
      <x:c r="C15" s="25"/>
      <x:c r="D15" s="25"/>
      <x:c r="E15" s="25"/>
      <x:c r="F15" s="25"/>
      <x:c r="G15" s="25"/>
      <x:c r="H15" s="25"/>
    </x:row>
    <x:row r="16" ht="15" hidden="0" customHeight="1">
      <x:c r="A16" s="25" t="str">
        <x:v>Ứng suất trước</x:v>
      </x:c>
      <x:c r="B16" s="25" t="str">
        <x:v>VERIFIED cho hao tổn cơ bản CT207–220; CT214 ma sát và CT216 từ biến chi tiết vẫn REVIEW.</x:v>
      </x:c>
      <x:c r="C16" s="25"/>
      <x:c r="D16" s="25"/>
      <x:c r="E16" s="25"/>
      <x:c r="F16" s="25"/>
      <x:c r="G16" s="25"/>
      <x:c r="H16" s="25"/>
    </x:row>
    <x:row r="17" ht="15" hidden="0" customHeight="1">
      <x:c r="A17" s="25" t="str">
        <x:v>v1.20.0</x:v>
      </x:c>
      <x:c r="B17" s="25" t="str">
        <x:v>Số hóa Bảng 6/12/17/18; nứt SLS tự tra; biến dạng có nứt + trượt; CT214 + CT216.</x:v>
      </x:c>
      <x:c r="C17" s="25"/>
      <x:c r="D17" s="25"/>
      <x:c r="E17" s="25"/>
      <x:c r="F17" s="25"/>
      <x:c r="G17" s="25"/>
      <x:c r="H17" s="25"/>
    </x:row>
    <x:row r="18" ht="15" hidden="0" customHeight="1">
      <x:c r="A18" s="25" t="str">
        <x:v>Safety gate</x:v>
      </x:c>
      <x:c r="B18" s="25" t="str">
        <x:v>Biến dạng có nứt hiện Verified cho tiết diện chữ nhật chỉ cốt kéo; trượt Verified cho dầm tựa đơn tải đều giữa nhịp.</x:v>
      </x:c>
      <x:c r="C18" s="25"/>
      <x:c r="D18" s="25"/>
      <x:c r="E18" s="25"/>
      <x:c r="F18" s="25"/>
      <x:c r="G18" s="25"/>
      <x:c r="H18" s="25"/>
    </x:row>
    <x:row r="19" ht="15" hidden="0" customHeight="1">
      <x:c r="A19" s="25" t="str">
        <x:v>Prestress</x:v>
      </x:c>
      <x:c r="B19" s="25" t="str">
        <x:v>CT216 yêu cầu σbpj và đặc trưng quy đổi tại thời điểm truyền lực; không tự suy đoán.</x:v>
      </x:c>
      <x:c r="C19" s="25"/>
      <x:c r="D19" s="25"/>
      <x:c r="E19" s="25"/>
      <x:c r="F19" s="25"/>
      <x:c r="G19" s="25"/>
      <x:c r="H19" s="25"/>
    </x:row>
    <x:row r="20" ht="15" hidden="0" customHeight="1">
      <x:c r="A20" s="25" t="str">
        <x:v>Tiếp theo</x:v>
      </x:c>
      <x:c r="B20" s="25" t="str">
        <x:v>Neo/nối → tiết diện tròn/vành khuyên → công xôn ngắn → Phụ lục liên quan.</x:v>
      </x:c>
      <x:c r="C20" s="25"/>
      <x:c r="D20" s="25"/>
      <x:c r="E20" s="25"/>
      <x:c r="F20" s="25"/>
      <x:c r="G20" s="25"/>
      <x:c r="H20" s="25"/>
    </x:row>
    <x:row r="21" ht="15" hidden="0" customHeight="1">
      <x:c r="A21" s="25" t="str">
        <x:v>v1.21.0</x:v>
      </x:c>
      <x:c r="B21" s="25" t="str">
        <x:v>Neo/nối CT255–259 + Phụ lục F/G/H được nối Calculation Engine ↔ Excel.</x:v>
      </x:c>
      <x:c r="C21" s="25"/>
      <x:c r="D21" s="25"/>
      <x:c r="E21" s="25"/>
      <x:c r="F21" s="25"/>
      <x:c r="G21" s="25"/>
      <x:c r="H21" s="25"/>
    </x:row>
    <x:row r="22" ht="15" hidden="0" customHeight="1">
      <x:c r="A22" s="25" t="str">
        <x:v>Neo/nối</x:v>
      </x:c>
      <x:c r="B22" s="25" t="str">
        <x:v>VERIFIED: Rbond, L0,an, Lan, Ns, Llap; khóa nối chồng d&gt;40 mm.</x:v>
      </x:c>
      <x:c r="C22" s="25"/>
      <x:c r="D22" s="25"/>
      <x:c r="E22" s="25"/>
      <x:c r="F22" s="25"/>
      <x:c r="G22" s="25"/>
      <x:c r="H22" s="25"/>
    </x:row>
    <x:row r="23" ht="15" hidden="0" customHeight="1">
      <x:c r="A23" s="25" t="str">
        <x:v>Phụ lục F</x:v>
      </x:c>
      <x:c r="B23" s="25" t="str">
        <x:v>VERIFIED: vành khuyên F.1–F.6; tròn F.7–F.10; F.9/F.10 giải lặp hội tụ.</x:v>
      </x:c>
      <x:c r="C23" s="25"/>
      <x:c r="D23" s="25"/>
      <x:c r="E23" s="25"/>
      <x:c r="F23" s="25"/>
      <x:c r="G23" s="25"/>
      <x:c r="H23" s="25"/>
    </x:row>
    <x:row r="24" ht="15" hidden="0" customHeight="1">
      <x:c r="A24" s="25" t="str">
        <x:v>Phụ lục G/H</x:v>
      </x:c>
      <x:c r="B24" s="25" t="str">
        <x:v>G.1–G.3 và H.1 VERIFIED branch; giữ safety gate điều kiện áp dụng.</x:v>
      </x:c>
      <x:c r="C24" s="25"/>
      <x:c r="D24" s="25"/>
      <x:c r="E24" s="25"/>
      <x:c r="F24" s="25"/>
      <x:c r="G24" s="25"/>
      <x:c r="H24" s="25"/>
    </x:row>
    <x:row r="25" ht="15" hidden="0" customHeight="1">
      <x:c r="A25" s="25" t="str">
        <x:v>Phụ lục còn lại</x:v>
      </x:c>
      <x:c r="B25" s="25" t="str">
        <x:v>A/B/C/I/K/L/M/N INDEXED; D REVIEW; E VERIFIED_METHOD.</x:v>
      </x:c>
      <x:c r="C25" s="25"/>
      <x:c r="D25" s="25"/>
      <x:c r="E25" s="25"/>
      <x:c r="F25" s="25"/>
      <x:c r="G25" s="25"/>
      <x:c r="H25" s="25"/>
    </x:row>
    <x:row r="26" ht="15" hidden="0" customHeight="1">
      <x:c r="A26" s="25"/>
      <x:c r="B26" s="25"/>
      <x:c r="C26" s="25"/>
      <x:c r="D26" s="25"/>
      <x:c r="E26" s="25"/>
      <x:c r="F26" s="25"/>
      <x:c r="G26" s="25"/>
      <x:c r="H26" s="25"/>
    </x:row>
    <x:row r="27" ht="15" hidden="0" customHeight="1">
      <x:c r="A27" s="25"/>
      <x:c r="B27" s="25"/>
      <x:c r="C27" s="25"/>
      <x:c r="D27" s="25"/>
      <x:c r="E27" s="25"/>
      <x:c r="F27" s="25"/>
      <x:c r="G27" s="25"/>
      <x:c r="H27" s="25"/>
    </x:row>
    <x:row r="28" ht="15" hidden="0" customHeight="1">
      <x:c r="A28" s="25"/>
      <x:c r="B28" s="25"/>
      <x:c r="C28" s="25"/>
      <x:c r="D28" s="25"/>
      <x:c r="E28" s="25"/>
      <x:c r="F28" s="25"/>
      <x:c r="G28" s="25"/>
      <x:c r="H28" s="25"/>
    </x:row>
    <x:row r="29" ht="15" hidden="0" customHeight="1">
      <x:c r="A29" s="25"/>
      <x:c r="B29" s="25"/>
      <x:c r="C29" s="25"/>
      <x:c r="D29" s="25"/>
      <x:c r="E29" s="25"/>
      <x:c r="F29" s="25"/>
      <x:c r="G29" s="25"/>
      <x:c r="H29" s="25"/>
    </x:row>
    <x:row r="30" ht="15" hidden="0" customHeight="1">
      <x:c r="A30" s="25"/>
      <x:c r="B30" s="25"/>
      <x:c r="C30" s="25"/>
      <x:c r="D30" s="25"/>
      <x:c r="E30" s="25"/>
      <x:c r="F30" s="25"/>
      <x:c r="G30" s="25"/>
      <x:c r="H30" s="25"/>
    </x:row>
    <x:row r="31" ht="15" hidden="0" customHeight="1">
      <x:c r="A31" s="25"/>
      <x:c r="B31" s="25"/>
      <x:c r="C31" s="25"/>
      <x:c r="D31" s="25"/>
      <x:c r="E31" s="25"/>
      <x:c r="F31" s="25"/>
      <x:c r="G31" s="25"/>
      <x:c r="H31" s="25"/>
    </x:row>
    <x:row r="32" ht="15" hidden="0" customHeight="1">
      <x:c r="A32" s="25"/>
      <x:c r="B32" s="25"/>
      <x:c r="C32" s="25"/>
      <x:c r="D32" s="25"/>
      <x:c r="E32" s="25"/>
      <x:c r="F32" s="25"/>
      <x:c r="G32" s="25"/>
      <x:c r="H32" s="25"/>
    </x:row>
    <x:row r="33" ht="15" hidden="0" customHeight="1">
      <x:c r="A33" s="25"/>
      <x:c r="B33" s="25"/>
      <x:c r="C33" s="25"/>
      <x:c r="D33" s="25"/>
      <x:c r="E33" s="25"/>
      <x:c r="F33" s="25"/>
      <x:c r="G33" s="25"/>
      <x:c r="H33" s="25"/>
    </x:row>
    <x:row r="34" ht="15" hidden="0" customHeight="1">
      <x:c r="A34" s="25"/>
      <x:c r="B34" s="25"/>
      <x:c r="C34" s="25"/>
      <x:c r="D34" s="25"/>
      <x:c r="E34" s="25"/>
      <x:c r="F34" s="25"/>
      <x:c r="G34" s="25"/>
      <x:c r="H34" s="25"/>
    </x:row>
    <x:row r="35" ht="15" hidden="0" customHeight="1">
      <x:c r="A35" s="25"/>
      <x:c r="B35" s="25"/>
      <x:c r="C35" s="25"/>
      <x:c r="D35" s="25"/>
      <x:c r="E35" s="25"/>
      <x:c r="F35" s="25"/>
      <x:c r="G35" s="25"/>
      <x:c r="H35" s="25"/>
    </x:row>
    <x:row r="36" ht="15" hidden="0" customHeight="1">
      <x:c r="A36" s="25"/>
      <x:c r="B36" s="25"/>
      <x:c r="C36" s="25"/>
      <x:c r="D36" s="25"/>
      <x:c r="E36" s="25"/>
      <x:c r="F36" s="25"/>
      <x:c r="G36" s="25"/>
      <x:c r="H36" s="25"/>
    </x:row>
    <x:row r="37" ht="15" hidden="0" customHeight="1">
      <x:c r="A37" s="25"/>
      <x:c r="B37" s="25"/>
      <x:c r="C37" s="25"/>
      <x:c r="D37" s="25"/>
      <x:c r="E37" s="25"/>
      <x:c r="F37" s="25"/>
      <x:c r="G37" s="25"/>
      <x:c r="H37" s="25"/>
    </x:row>
    <x:row r="38" ht="15" hidden="0" customHeight="1">
      <x:c r="A38" s="25"/>
      <x:c r="B38" s="25"/>
      <x:c r="C38" s="25"/>
      <x:c r="D38" s="25"/>
      <x:c r="E38" s="25"/>
      <x:c r="F38" s="25"/>
      <x:c r="G38" s="25"/>
      <x:c r="H38" s="25"/>
    </x:row>
    <x:row r="39" ht="15" hidden="0" customHeight="1">
      <x:c r="A39" s="25"/>
      <x:c r="B39" s="25"/>
      <x:c r="C39" s="25"/>
      <x:c r="D39" s="25"/>
      <x:c r="E39" s="25"/>
      <x:c r="F39" s="25"/>
      <x:c r="G39" s="25"/>
      <x:c r="H39" s="25"/>
    </x:row>
    <x:row r="40" ht="15" hidden="0" customHeight="1">
      <x:c r="A40" s="25"/>
      <x:c r="B40" s="25"/>
      <x:c r="C40" s="25"/>
      <x:c r="D40" s="25"/>
      <x:c r="E40" s="25"/>
      <x:c r="F40" s="25"/>
      <x:c r="G40" s="25"/>
      <x:c r="H40" s="25"/>
    </x:row>
    <x:row r="41" ht="15" hidden="0" customHeight="1">
      <x:c r="A41" s="25"/>
      <x:c r="B41" s="25"/>
      <x:c r="C41" s="25"/>
      <x:c r="D41" s="25"/>
      <x:c r="E41" s="25"/>
      <x:c r="F41" s="25"/>
      <x:c r="G41" s="25"/>
      <x:c r="H41" s="25"/>
    </x:row>
    <x:row r="42" ht="15" hidden="0" customHeight="1">
      <x:c r="A42" s="25"/>
      <x:c r="B42" s="25"/>
      <x:c r="C42" s="25"/>
      <x:c r="D42" s="25"/>
      <x:c r="E42" s="25"/>
      <x:c r="F42" s="25"/>
      <x:c r="G42" s="25"/>
      <x:c r="H42" s="25"/>
    </x:row>
    <x:row r="43" ht="15" hidden="0" customHeight="1">
      <x:c r="A43" s="25"/>
      <x:c r="B43" s="25"/>
      <x:c r="C43" s="25"/>
      <x:c r="D43" s="25"/>
      <x:c r="E43" s="25"/>
      <x:c r="F43" s="25"/>
      <x:c r="G43" s="25"/>
      <x:c r="H43" s="25"/>
    </x:row>
    <x:row r="44" ht="15" hidden="0" customHeight="1">
      <x:c r="A44" s="25"/>
      <x:c r="B44" s="25"/>
      <x:c r="C44" s="25"/>
      <x:c r="D44" s="25"/>
      <x:c r="E44" s="25"/>
      <x:c r="F44" s="25"/>
      <x:c r="G44" s="25"/>
      <x:c r="H44" s="25"/>
    </x:row>
    <x:row r="45" ht="15" hidden="0" customHeight="1">
      <x:c r="A45" s="25"/>
      <x:c r="B45" s="25"/>
      <x:c r="C45" s="25"/>
      <x:c r="D45" s="25"/>
      <x:c r="E45" s="25"/>
      <x:c r="F45" s="25"/>
      <x:c r="G45" s="25"/>
      <x:c r="H45" s="25"/>
    </x:row>
    <x:row r="46" ht="15" hidden="0" customHeight="1">
      <x:c r="A46" s="25"/>
      <x:c r="B46" s="25"/>
      <x:c r="C46" s="25"/>
      <x:c r="D46" s="25"/>
      <x:c r="E46" s="25"/>
      <x:c r="F46" s="25"/>
      <x:c r="G46" s="25"/>
      <x:c r="H46" s="25"/>
    </x:row>
    <x:row r="47" ht="15" hidden="0" customHeight="1">
      <x:c r="A47" s="25"/>
      <x:c r="B47" s="25"/>
      <x:c r="C47" s="25"/>
      <x:c r="D47" s="25"/>
      <x:c r="E47" s="25"/>
      <x:c r="F47" s="25"/>
      <x:c r="G47" s="25"/>
      <x:c r="H47" s="25"/>
    </x:row>
    <x:row r="48" ht="15" hidden="0" customHeight="1">
      <x:c r="A48" s="25"/>
      <x:c r="B48" s="25"/>
      <x:c r="C48" s="25"/>
      <x:c r="D48" s="25"/>
      <x:c r="E48" s="25"/>
      <x:c r="F48" s="25"/>
      <x:c r="G48" s="25"/>
      <x:c r="H48" s="25"/>
    </x:row>
    <x:row r="49" ht="15" hidden="0" customHeight="1">
      <x:c r="A49" s="25"/>
      <x:c r="B49" s="25"/>
      <x:c r="C49" s="25"/>
      <x:c r="D49" s="25"/>
      <x:c r="E49" s="25"/>
      <x:c r="F49" s="25"/>
      <x:c r="G49" s="25"/>
      <x:c r="H49" s="25"/>
    </x:row>
    <x:row r="50" ht="15" hidden="0" customHeight="1">
      <x:c r="A50" s="25"/>
      <x:c r="B50" s="25"/>
      <x:c r="C50" s="25"/>
      <x:c r="D50" s="25"/>
      <x:c r="E50" s="25"/>
      <x:c r="F50" s="25"/>
      <x:c r="G50" s="25"/>
      <x:c r="H50" s="25"/>
    </x:row>
    <x:row r="51" ht="15" hidden="0" customHeight="1">
      <x:c r="A51" s="25"/>
      <x:c r="B51" s="25"/>
      <x:c r="C51" s="25"/>
      <x:c r="D51" s="25"/>
      <x:c r="E51" s="25"/>
      <x:c r="F51" s="25"/>
      <x:c r="G51" s="25"/>
      <x:c r="H51" s="25"/>
    </x:row>
    <x:row r="52" ht="15" hidden="0" customHeight="1">
      <x:c r="A52" s="25"/>
      <x:c r="B52" s="25"/>
      <x:c r="C52" s="25"/>
      <x:c r="D52" s="25"/>
      <x:c r="E52" s="25"/>
      <x:c r="F52" s="25"/>
      <x:c r="G52" s="25"/>
      <x:c r="H52" s="25"/>
    </x:row>
    <x:row r="53" ht="15" hidden="0" customHeight="1">
      <x:c r="A53" s="25"/>
      <x:c r="B53" s="25"/>
      <x:c r="C53" s="25"/>
      <x:c r="D53" s="25"/>
      <x:c r="E53" s="25"/>
      <x:c r="F53" s="25"/>
      <x:c r="G53" s="25"/>
      <x:c r="H53" s="25"/>
    </x:row>
    <x:row r="54" ht="15" hidden="0" customHeight="1">
      <x:c r="A54" s="25"/>
      <x:c r="B54" s="25"/>
      <x:c r="C54" s="25"/>
      <x:c r="D54" s="25"/>
      <x:c r="E54" s="25"/>
      <x:c r="F54" s="25"/>
      <x:c r="G54" s="25"/>
      <x:c r="H54" s="25"/>
    </x:row>
    <x:row r="55" ht="15" hidden="0" customHeight="1">
      <x:c r="A55" s="25"/>
      <x:c r="B55" s="25"/>
      <x:c r="C55" s="25"/>
      <x:c r="D55" s="25"/>
      <x:c r="E55" s="25"/>
      <x:c r="F55" s="25"/>
      <x:c r="G55" s="25"/>
      <x:c r="H55" s="25"/>
    </x:row>
    <x:row r="56" ht="15" hidden="0" customHeight="1">
      <x:c r="A56" s="25"/>
      <x:c r="B56" s="25"/>
      <x:c r="C56" s="25"/>
      <x:c r="D56" s="25"/>
      <x:c r="E56" s="25"/>
      <x:c r="F56" s="25"/>
      <x:c r="G56" s="25"/>
      <x:c r="H56" s="25"/>
    </x:row>
    <x:row r="57" ht="15" hidden="0" customHeight="1">
      <x:c r="A57" s="25"/>
      <x:c r="B57" s="25"/>
      <x:c r="C57" s="25"/>
      <x:c r="D57" s="25"/>
      <x:c r="E57" s="25"/>
      <x:c r="F57" s="25"/>
      <x:c r="G57" s="25"/>
      <x:c r="H57" s="25"/>
    </x:row>
    <x:row r="58" ht="15" hidden="0" customHeight="1">
      <x:c r="A58" s="25"/>
      <x:c r="B58" s="25"/>
      <x:c r="C58" s="25"/>
      <x:c r="D58" s="25"/>
      <x:c r="E58" s="25"/>
      <x:c r="F58" s="25"/>
      <x:c r="G58" s="25"/>
      <x:c r="H58" s="25"/>
    </x:row>
    <x:row r="59" ht="15" hidden="0" customHeight="1">
      <x:c r="A59" s="25"/>
      <x:c r="B59" s="25"/>
      <x:c r="C59" s="25"/>
      <x:c r="D59" s="25"/>
      <x:c r="E59" s="25"/>
      <x:c r="F59" s="25"/>
      <x:c r="G59" s="25"/>
      <x:c r="H59" s="25"/>
    </x:row>
    <x:row r="60" ht="15" hidden="0" customHeight="1">
      <x:c r="A60" s="25"/>
      <x:c r="B60" s="25"/>
      <x:c r="C60" s="25"/>
      <x:c r="D60" s="25"/>
      <x:c r="E60" s="25"/>
      <x:c r="F60" s="25"/>
      <x:c r="G60" s="25"/>
      <x:c r="H60" s="25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4" hidden="0" customWidth="1"/>
    <x:col min="4" max="4" width="52" hidden="0" customWidth="1"/>
    <x:col min="5" max="5" width="20" hidden="0" customWidth="1"/>
    <x:col min="6" max="6" width="16" hidden="0" customWidth="1"/>
  </x:cols>
  <x:sheetData>
    <x:row r="1" ht="18" hidden="0" customHeight="1">
      <x:c r="A1" s="24" t="str">
        <x:v>01 · DỮ LIỆU ĐẦU VÀO</x:v>
      </x:c>
      <x:c r="B1" s="24"/>
      <x:c r="C1" s="24"/>
      <x:c r="D1" s="24"/>
      <x:c r="E1" s="24"/>
      <x:c r="F1" s="24"/>
      <x:c r="G1" s="5"/>
      <x:c r="H1" s="5"/>
    </x:row>
    <x:row r="2" ht="15" hidden="0" customHeight="1">
      <x:c r="A2" s="25"/>
      <x:c r="B2" s="25"/>
      <x:c r="C2" s="25"/>
      <x:c r="D2" s="25"/>
      <x:c r="E2" s="25"/>
      <x:c r="F2" s="25"/>
    </x:row>
    <x:row r="3" ht="15" hidden="0" customHeight="1">
      <x:c r="A3" s="26" t="str">
        <x:v>Thông số</x:v>
      </x:c>
      <x:c r="B3" s="26" t="str">
        <x:v>Giá trị</x:v>
      </x:c>
      <x:c r="C3" s="26" t="str">
        <x:v>Đơn vị</x:v>
      </x:c>
      <x:c r="D3" s="26" t="str">
        <x:v>Ý nghĩa</x:v>
      </x:c>
      <x:c r="E3" s="26" t="str">
        <x:v>Dùng cho</x:v>
      </x:c>
      <x:c r="F3" s="26" t="str">
        <x:v>Trạng thái</x:v>
      </x:c>
    </x:row>
    <x:row r="4" ht="15" hidden="0" customHeight="1">
      <x:c r="A4" s="25" t="str">
        <x:v>Cấp bê tông</x:v>
      </x:c>
      <x:c r="B4" s="36" t="str">
        <x:v>B30</x:v>
      </x:c>
      <x:c r="C4" s="25" t="str">
        <x:v>-</x:v>
      </x:c>
      <x:c r="D4" s="25" t="str">
        <x:v>Cấp độ bền chịu nén bê tông nặng</x:v>
      </x:c>
      <x:c r="E4" s="25" t="str">
        <x:v>Uốn + nén</x:v>
      </x:c>
      <x:c r="F4" s="25" t="str">
        <x:v>INPUT</x:v>
      </x:c>
    </x:row>
    <x:row r="5" ht="15" hidden="0" customHeight="1">
      <x:c r="A5" s="25" t="str">
        <x:v>Loại thép</x:v>
      </x:c>
      <x:c r="B5" s="36" t="str">
        <x:v>CB400-V</x:v>
      </x:c>
      <x:c r="C5" s="25" t="str">
        <x:v>-</x:v>
      </x:c>
      <x:c r="D5" s="25" t="str">
        <x:v>Cốt thép thanh</x:v>
      </x:c>
      <x:c r="E5" s="25" t="str">
        <x:v>Uốn + nén</x:v>
      </x:c>
      <x:c r="F5" s="25" t="str">
        <x:v>INPUT</x:v>
      </x:c>
    </x:row>
    <x:row r="6" ht="15" hidden="0" customHeight="1">
      <x:c r="A6" s="25" t="str">
        <x:v>b</x:v>
      </x:c>
      <x:c r="B6" s="36" t="n">
        <x:v>300</x:v>
      </x:c>
      <x:c r="C6" s="25" t="str">
        <x:v>mm</x:v>
      </x:c>
      <x:c r="D6" s="25" t="str">
        <x:v>Bề rộng tiết diện/sườn</x:v>
      </x:c>
      <x:c r="E6" s="25" t="str">
        <x:v>Uốn + nén</x:v>
      </x:c>
      <x:c r="F6" s="25" t="str">
        <x:v>INPUT</x:v>
      </x:c>
    </x:row>
    <x:row r="7" ht="15" hidden="0" customHeight="1">
      <x:c r="A7" s="25" t="str">
        <x:v>bf'</x:v>
      </x:c>
      <x:c r="B7" s="36" t="n">
        <x:v>600</x:v>
      </x:c>
      <x:c r="C7" s="25" t="str">
        <x:v>mm</x:v>
      </x:c>
      <x:c r="D7" s="25" t="str">
        <x:v>Bề rộng cánh nén; để bằng b nếu chữ nhật</x:v>
      </x:c>
      <x:c r="E7" s="25" t="str">
        <x:v>Uốn T/I</x:v>
      </x:c>
      <x:c r="F7" s="25" t="str">
        <x:v>INPUT</x:v>
      </x:c>
    </x:row>
    <x:row r="8" ht="15" hidden="0" customHeight="1">
      <x:c r="A8" s="25" t="str">
        <x:v>hf'</x:v>
      </x:c>
      <x:c r="B8" s="36" t="n">
        <x:v>120</x:v>
      </x:c>
      <x:c r="C8" s="25" t="str">
        <x:v>mm</x:v>
      </x:c>
      <x:c r="D8" s="25" t="str">
        <x:v>Chiều dày cánh nén</x:v>
      </x:c>
      <x:c r="E8" s="25" t="str">
        <x:v>Uốn T/I</x:v>
      </x:c>
      <x:c r="F8" s="25" t="str">
        <x:v>INPUT</x:v>
      </x:c>
    </x:row>
    <x:row r="9" ht="15" hidden="0" customHeight="1">
      <x:c r="A9" s="25" t="str">
        <x:v>h</x:v>
      </x:c>
      <x:c r="B9" s="36" t="n">
        <x:v>500</x:v>
      </x:c>
      <x:c r="C9" s="25" t="str">
        <x:v>mm</x:v>
      </x:c>
      <x:c r="D9" s="25" t="str">
        <x:v>Chiều cao toàn tiết diện</x:v>
      </x:c>
      <x:c r="E9" s="25" t="str">
        <x:v>Nén lệch tâm</x:v>
      </x:c>
      <x:c r="F9" s="25" t="str">
        <x:v>INPUT</x:v>
      </x:c>
    </x:row>
    <x:row r="10" ht="15" hidden="0" customHeight="1">
      <x:c r="A10" s="25" t="str">
        <x:v>h0</x:v>
      </x:c>
      <x:c r="B10" s="36" t="n">
        <x:v>450</x:v>
      </x:c>
      <x:c r="C10" s="25" t="str">
        <x:v>mm</x:v>
      </x:c>
      <x:c r="D10" s="25" t="str">
        <x:v>Chiều cao làm việc</x:v>
      </x:c>
      <x:c r="E10" s="25" t="str">
        <x:v>Uốn + nén</x:v>
      </x:c>
      <x:c r="F10" s="25" t="str">
        <x:v>INPUT</x:v>
      </x:c>
    </x:row>
    <x:row r="11" ht="15" hidden="0" customHeight="1">
      <x:c r="A11" s="25" t="str">
        <x:v>As</x:v>
      </x:c>
      <x:c r="B11" s="36" t="n">
        <x:v>1800</x:v>
      </x:c>
      <x:c r="C11" s="25" t="str">
        <x:v>mm²</x:v>
      </x:c>
      <x:c r="D11" s="25" t="str">
        <x:v>Diện tích cốt thép S</x:v>
      </x:c>
      <x:c r="E11" s="25" t="str">
        <x:v>Uốn + nén</x:v>
      </x:c>
      <x:c r="F11" s="25" t="str">
        <x:v>INPUT</x:v>
      </x:c>
    </x:row>
    <x:row r="12" ht="15" hidden="0" customHeight="1">
      <x:c r="A12" s="25" t="str">
        <x:v>As'</x:v>
      </x:c>
      <x:c r="B12" s="36" t="n">
        <x:v>800</x:v>
      </x:c>
      <x:c r="C12" s="25" t="str">
        <x:v>mm²</x:v>
      </x:c>
      <x:c r="D12" s="25" t="str">
        <x:v>Diện tích cốt thép S′</x:v>
      </x:c>
      <x:c r="E12" s="25" t="str">
        <x:v>Uốn + nén</x:v>
      </x:c>
      <x:c r="F12" s="25" t="str">
        <x:v>INPUT</x:v>
      </x:c>
    </x:row>
    <x:row r="13" ht="15" hidden="0" customHeight="1">
      <x:c r="A13" s="25" t="str">
        <x:v>a'</x:v>
      </x:c>
      <x:c r="B13" s="36" t="n">
        <x:v>40</x:v>
      </x:c>
      <x:c r="C13" s="25" t="str">
        <x:v>mm</x:v>
      </x:c>
      <x:c r="D13" s="25" t="str">
        <x:v>Khoảng cách từ biên nén đến trọng tâm S′</x:v>
      </x:c>
      <x:c r="E13" s="25" t="str">
        <x:v>Uốn + nén</x:v>
      </x:c>
      <x:c r="F13" s="25" t="str">
        <x:v>INPUT</x:v>
      </x:c>
    </x:row>
    <x:row r="14" ht="15" hidden="0" customHeight="1">
      <x:c r="A14" s="25" t="str">
        <x:v>M</x:v>
      </x:c>
      <x:c r="B14" s="36" t="n">
        <x:v>180</x:v>
      </x:c>
      <x:c r="C14" s="25" t="str">
        <x:v>kN.m</x:v>
      </x:c>
      <x:c r="D14" s="25" t="str">
        <x:v>Mô men uốn tính toán</x:v>
      </x:c>
      <x:c r="E14" s="25" t="str">
        <x:v>Uốn + nén</x:v>
      </x:c>
      <x:c r="F14" s="25" t="str">
        <x:v>INPUT</x:v>
      </x:c>
    </x:row>
    <x:row r="15" ht="15" hidden="0" customHeight="1">
      <x:c r="A15" s="25" t="str">
        <x:v>N</x:v>
      </x:c>
      <x:c r="B15" s="36" t="n">
        <x:v>1200</x:v>
      </x:c>
      <x:c r="C15" s="25" t="str">
        <x:v>kN</x:v>
      </x:c>
      <x:c r="D15" s="25" t="str">
        <x:v>Lực nén dọc</x:v>
      </x:c>
      <x:c r="E15" s="25" t="str">
        <x:v>Nén lệch tâm</x:v>
      </x:c>
      <x:c r="F15" s="25" t="str">
        <x:v>INPUT</x:v>
      </x:c>
    </x:row>
    <x:row r="16" ht="15" hidden="0" customHeight="1">
      <x:c r="A16" s="25" t="str">
        <x:v>L</x:v>
      </x:c>
      <x:c r="B16" s="36" t="n">
        <x:v>3</x:v>
      </x:c>
      <x:c r="C16" s="25" t="str">
        <x:v>m</x:v>
      </x:c>
      <x:c r="D16" s="25" t="str">
        <x:v>Chiều dài cấu kiện để tính ea</x:v>
      </x:c>
      <x:c r="E16" s="25" t="str">
        <x:v>Nén lệch tâm</x:v>
      </x:c>
      <x:c r="F16" s="25" t="str">
        <x:v>INPUT</x:v>
      </x:c>
    </x:row>
    <x:row r="17" ht="15" hidden="0" customHeight="1">
      <x:c r="A17" s="25" t="str">
        <x:v>Hệ tĩnh định?</x:v>
      </x:c>
      <x:c r="B17" s="36" t="str">
        <x:v>Không</x:v>
      </x:c>
      <x:c r="C17" s="25" t="str">
        <x:v>Có/Không</x:v>
      </x:c>
      <x:c r="D17" s="25" t="str">
        <x:v>Có: e0=e_tĩnh+ea; Không: e0=max(e_tĩnh,ea)</x:v>
      </x:c>
      <x:c r="E17" s="25" t="str">
        <x:v>Nén lệch tâm</x:v>
      </x:c>
      <x:c r="F17" s="25" t="str">
        <x:v>INPUT</x:v>
      </x:c>
    </x:row>
    <x:row r="18" ht="15" hidden="0" customHeight="1">
      <x:c r="A18" s="25" t="str">
        <x:v>L0</x:v>
      </x:c>
      <x:c r="B18" s="36" t="str"/>
      <x:c r="C18" s="25" t="str">
        <x:v>mm</x:v>
      </x:c>
      <x:c r="D18" s="25" t="str">
        <x:v>Chiều dài tính toán; nhập nếu xét uốn dọc</x:v>
      </x:c>
      <x:c r="E18" s="25" t="str">
        <x:v>Nén lệch tâm</x:v>
      </x:c>
      <x:c r="F18" s="25" t="str">
        <x:v>INPUT</x:v>
      </x:c>
    </x:row>
    <x:row r="19" ht="15" hidden="0" customHeight="1">
      <x:c r="A19" s="25" t="str">
        <x:v>I</x:v>
      </x:c>
      <x:c r="B19" s="36" t="str"/>
      <x:c r="C19" s="25" t="str">
        <x:v>mm⁴</x:v>
      </x:c>
      <x:c r="D19" s="25" t="str">
        <x:v>Mô men quán tính bê tông</x:v>
      </x:c>
      <x:c r="E19" s="25" t="str">
        <x:v>Nén lệch tâm</x:v>
      </x:c>
      <x:c r="F19" s="25" t="str">
        <x:v>INPUT</x:v>
      </x:c>
    </x:row>
    <x:row r="20" ht="15" hidden="0" customHeight="1">
      <x:c r="A20" s="25" t="str">
        <x:v>Is</x:v>
      </x:c>
      <x:c r="B20" s="36" t="str"/>
      <x:c r="C20" s="25" t="str">
        <x:v>mm⁴</x:v>
      </x:c>
      <x:c r="D20" s="25" t="str">
        <x:v>Mô men quán tính toàn bộ thép dọc</x:v>
      </x:c>
      <x:c r="E20" s="25" t="str">
        <x:v>Nén lệch tâm</x:v>
      </x:c>
      <x:c r="F20" s="25" t="str">
        <x:v>INPUT</x:v>
      </x:c>
    </x:row>
    <x:row r="21" ht="15" hidden="0" customHeight="1">
      <x:c r="A21" s="25" t="str">
        <x:v>ML</x:v>
      </x:c>
      <x:c r="B21" s="36" t="str"/>
      <x:c r="C21" s="25" t="str">
        <x:v>kN.m</x:v>
      </x:c>
      <x:c r="D21" s="25" t="str">
        <x:v>Mô men do tải toàn phần</x:v>
      </x:c>
      <x:c r="E21" s="25" t="str">
        <x:v>Nén lệch tâm</x:v>
      </x:c>
      <x:c r="F21" s="25" t="str">
        <x:v>INPUT</x:v>
      </x:c>
    </x:row>
    <x:row r="22" ht="15" hidden="0" customHeight="1">
      <x:c r="A22" s="25" t="str">
        <x:v>ML1</x:v>
      </x:c>
      <x:c r="B22" s="36" t="str"/>
      <x:c r="C22" s="25" t="str">
        <x:v>kN.m</x:v>
      </x:c>
      <x:c r="D22" s="25" t="str">
        <x:v>Mô men do tải dài hạn</x:v>
      </x:c>
      <x:c r="E22" s="25" t="str">
        <x:v>Nén lệch tâm</x:v>
      </x:c>
      <x:c r="F22" s="25" t="str">
        <x:v>INPUT</x:v>
      </x:c>
    </x:row>
    <x:row r="23" ht="15" hidden="0" customHeight="1">
      <x:c r="A23" s="25"/>
      <x:c r="B23" s="25"/>
      <x:c r="C23" s="25"/>
      <x:c r="D23" s="25"/>
      <x:c r="E23" s="25"/>
      <x:c r="F23" s="25"/>
    </x:row>
    <x:row r="24" ht="15" hidden="0" customHeight="1">
      <x:c r="A24" s="25"/>
      <x:c r="B24" s="25"/>
      <x:c r="C24" s="25"/>
      <x:c r="D24" s="25"/>
      <x:c r="E24" s="25"/>
      <x:c r="F24" s="25"/>
    </x:row>
    <x:row r="25" ht="15" hidden="0" customHeight="1">
      <x:c r="A25" s="25"/>
      <x:c r="B25" s="25"/>
      <x:c r="C25" s="25"/>
      <x:c r="D25" s="25"/>
      <x:c r="E25" s="25"/>
      <x:c r="F25" s="25"/>
    </x:row>
    <x:row r="26" ht="15" hidden="0" customHeight="1">
      <x:c r="A26" s="25"/>
      <x:c r="B26" s="25"/>
      <x:c r="C26" s="25"/>
      <x:c r="D26" s="25"/>
      <x:c r="E26" s="25"/>
      <x:c r="F26" s="25"/>
    </x:row>
    <x:row r="27" ht="15" hidden="0" customHeight="1">
      <x:c r="A27" s="25"/>
      <x:c r="B27" s="25"/>
      <x:c r="C27" s="25"/>
      <x:c r="D27" s="25"/>
      <x:c r="E27" s="25"/>
      <x:c r="F27" s="25"/>
    </x:row>
    <x:row r="28" ht="15" hidden="0" customHeight="1">
      <x:c r="A28" s="25"/>
      <x:c r="B28" s="25"/>
      <x:c r="C28" s="25"/>
      <x:c r="D28" s="25"/>
      <x:c r="E28" s="25"/>
      <x:c r="F28" s="25"/>
    </x:row>
    <x:row r="29" ht="15" hidden="0" customHeight="1">
      <x:c r="A29" s="25"/>
      <x:c r="B29" s="25"/>
      <x:c r="C29" s="25"/>
      <x:c r="D29" s="25"/>
      <x:c r="E29" s="25"/>
      <x:c r="F29" s="25"/>
    </x:row>
    <x:row r="30" ht="15" hidden="0" customHeight="1">
      <x:c r="A30" s="25"/>
      <x:c r="B30" s="25"/>
      <x:c r="C30" s="25"/>
      <x:c r="D30" s="25"/>
      <x:c r="E30" s="25"/>
      <x:c r="F30" s="25"/>
    </x:row>
    <x:row r="31" ht="15" hidden="0" customHeight="1">
      <x:c r="A31" s="25"/>
      <x:c r="B31" s="25"/>
      <x:c r="C31" s="25"/>
      <x:c r="D31" s="25"/>
      <x:c r="E31" s="25"/>
      <x:c r="F31" s="25"/>
    </x:row>
    <x:row r="32" ht="15" hidden="0" customHeight="1">
      <x:c r="A32" s="25"/>
      <x:c r="B32" s="25"/>
      <x:c r="C32" s="25"/>
      <x:c r="D32" s="25"/>
      <x:c r="E32" s="25"/>
      <x:c r="F32" s="25"/>
    </x:row>
    <x:row r="33" ht="15" hidden="0" customHeight="1">
      <x:c r="A33" s="25"/>
      <x:c r="B33" s="25"/>
      <x:c r="C33" s="25"/>
      <x:c r="D33" s="25"/>
      <x:c r="E33" s="25"/>
      <x:c r="F33" s="25"/>
    </x:row>
    <x:row r="34" ht="15" hidden="0" customHeight="1">
      <x:c r="A34" s="25"/>
      <x:c r="B34" s="25"/>
      <x:c r="C34" s="25"/>
      <x:c r="D34" s="25"/>
      <x:c r="E34" s="25"/>
      <x:c r="F34" s="25"/>
    </x:row>
    <x:row r="35" ht="15" hidden="0" customHeight="1">
      <x:c r="A35" s="25"/>
      <x:c r="B35" s="25"/>
      <x:c r="C35" s="25"/>
      <x:c r="D35" s="25"/>
      <x:c r="E35" s="25"/>
      <x:c r="F35" s="25"/>
    </x:row>
  </x:sheetData>
  <x:mergeCells>
    <x:mergeCell ref="A1:H1"/>
  </x:mergeCells>
  <x:dataValidations count="3">
    <x:dataValidation type="list" sqref="B4">
      <x:formula1>"B15,B20,B25,B30,B35,B40,B45,B50,B55,B60,B70,B80,B90,B100"</x:formula1>
    </x:dataValidation>
    <x:dataValidation type="list" sqref="B5">
      <x:formula1>"CB240-T,CB300-T,CB300-V,CB400-V,CB500-V"</x:formula1>
    </x:dataValidation>
    <x:dataValidation type="list" sqref="B17">
      <x:formula1>"Có,Không"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6" hidden="0" customWidth="1"/>
    <x:col min="5" max="5" width="24" hidden="0" customWidth="1"/>
    <x:col min="6" max="6" width="4" hidden="0" customWidth="1"/>
    <x:col min="7" max="7" width="16" hidden="0" customWidth="1"/>
    <x:col min="8" max="8" width="15" hidden="0" customWidth="1"/>
    <x:col min="9" max="9" width="15" hidden="0" customWidth="1"/>
    <x:col min="10" max="10" width="15" hidden="0" customWidth="1"/>
    <x:col min="11" max="11" width="24" hidden="0" customWidth="1"/>
  </x:cols>
  <x:sheetData>
    <x:row r="1" ht="18" hidden="0" customHeight="1">
      <x:c r="A1" s="24" t="str">
        <x:v>02 · VẬT LIỆU VERIFIED – TCVN 5574:2018</x:v>
      </x:c>
      <x:c r="B1" s="24"/>
      <x:c r="C1" s="24"/>
      <x:c r="D1" s="24"/>
      <x:c r="E1" s="24"/>
      <x:c r="F1" s="24"/>
      <x:c r="G1" s="24"/>
      <x:c r="H1" s="24"/>
      <x:c r="I1" s="25"/>
      <x:c r="J1" s="25"/>
      <x:c r="K1" s="25"/>
    </x:row>
    <x:row r="2" ht="15" hidden="0" customHeight="1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</x:row>
    <x:row r="3" ht="15" hidden="0" customHeight="1">
      <x:c r="A3" s="26" t="str">
        <x:v>Bê tông</x:v>
      </x:c>
      <x:c r="B3" s="26" t="str">
        <x:v>Rb (MPa)</x:v>
      </x:c>
      <x:c r="C3" s="26" t="str">
        <x:v>Rbt (MPa)</x:v>
      </x:c>
      <x:c r="D3" s="26" t="str">
        <x:v>Eb (MPa)</x:v>
      </x:c>
      <x:c r="E3" s="26" t="str">
        <x:v>Nguồn</x:v>
      </x:c>
      <x:c r="F3" s="25"/>
      <x:c r="G3" s="26" t="str">
        <x:v>Thép</x:v>
      </x:c>
      <x:c r="H3" s="26" t="str">
        <x:v>Rs (MPa)</x:v>
      </x:c>
      <x:c r="I3" s="26" t="str">
        <x:v>Rsc (MPa)</x:v>
      </x:c>
      <x:c r="J3" s="26" t="str">
        <x:v>Rsw (MPa)</x:v>
      </x:c>
      <x:c r="K3" s="26" t="str">
        <x:v>Nguồn</x:v>
      </x:c>
    </x:row>
    <x:row r="4" ht="15" hidden="0" customHeight="1">
      <x:c r="A4" s="25" t="str">
        <x:v>B3.5</x:v>
      </x:c>
      <x:c r="B4" s="25" t="n">
        <x:v>2.1</x:v>
      </x:c>
      <x:c r="C4" s="25" t="n">
        <x:v>0.26</x:v>
      </x:c>
      <x:c r="D4" s="25" t="n">
        <x:v>9500</x:v>
      </x:c>
      <x:c r="E4" s="25" t="str">
        <x:v>Bảng 7 + 10</x:v>
      </x:c>
      <x:c r="F4" s="25"/>
      <x:c r="G4" s="25" t="str">
        <x:v>CB240-T</x:v>
      </x:c>
      <x:c r="H4" s="25" t="n">
        <x:v>210</x:v>
      </x:c>
      <x:c r="I4" s="25" t="n">
        <x:v>210</x:v>
      </x:c>
      <x:c r="J4" s="25" t="n">
        <x:v>170</x:v>
      </x:c>
      <x:c r="K4" s="25" t="str">
        <x:v>Bảng 13 + 14</x:v>
      </x:c>
    </x:row>
    <x:row r="5" ht="15" hidden="0" customHeight="1">
      <x:c r="A5" s="25" t="str">
        <x:v>B5</x:v>
      </x:c>
      <x:c r="B5" s="25" t="n">
        <x:v>2.8</x:v>
      </x:c>
      <x:c r="C5" s="25" t="n">
        <x:v>0.37</x:v>
      </x:c>
      <x:c r="D5" s="25" t="n">
        <x:v>13000</x:v>
      </x:c>
      <x:c r="E5" s="25" t="str">
        <x:v>Bảng 7 + 10</x:v>
      </x:c>
      <x:c r="F5" s="25"/>
      <x:c r="G5" s="25" t="str">
        <x:v>CB300-T</x:v>
      </x:c>
      <x:c r="H5" s="25" t="n">
        <x:v>260</x:v>
      </x:c>
      <x:c r="I5" s="25" t="n">
        <x:v>260</x:v>
      </x:c>
      <x:c r="J5" s="25" t="n">
        <x:v>210</x:v>
      </x:c>
      <x:c r="K5" s="25" t="str">
        <x:v>Bảng 13 + 14</x:v>
      </x:c>
    </x:row>
    <x:row r="6" ht="15" hidden="0" customHeight="1">
      <x:c r="A6" s="25" t="str">
        <x:v>B7.5</x:v>
      </x:c>
      <x:c r="B6" s="25" t="n">
        <x:v>4.5</x:v>
      </x:c>
      <x:c r="C6" s="25" t="n">
        <x:v>0.48</x:v>
      </x:c>
      <x:c r="D6" s="25" t="n">
        <x:v>16000</x:v>
      </x:c>
      <x:c r="E6" s="25" t="str">
        <x:v>Bảng 7 + 10</x:v>
      </x:c>
      <x:c r="F6" s="25"/>
      <x:c r="G6" s="25" t="str">
        <x:v>CB300-V</x:v>
      </x:c>
      <x:c r="H6" s="25" t="n">
        <x:v>260</x:v>
      </x:c>
      <x:c r="I6" s="25" t="n">
        <x:v>260</x:v>
      </x:c>
      <x:c r="J6" s="25" t="n">
        <x:v>210</x:v>
      </x:c>
      <x:c r="K6" s="25" t="str">
        <x:v>Bảng 13 + 14</x:v>
      </x:c>
    </x:row>
    <x:row r="7" ht="15" hidden="0" customHeight="1">
      <x:c r="A7" s="25" t="str">
        <x:v>B10</x:v>
      </x:c>
      <x:c r="B7" s="25" t="n">
        <x:v>6</x:v>
      </x:c>
      <x:c r="C7" s="25" t="n">
        <x:v>0.56</x:v>
      </x:c>
      <x:c r="D7" s="25" t="n">
        <x:v>19000</x:v>
      </x:c>
      <x:c r="E7" s="25" t="str">
        <x:v>Bảng 7 + 10</x:v>
      </x:c>
      <x:c r="F7" s="25"/>
      <x:c r="G7" s="25" t="str">
        <x:v>CB400-V</x:v>
      </x:c>
      <x:c r="H7" s="25" t="n">
        <x:v>350</x:v>
      </x:c>
      <x:c r="I7" s="25" t="n">
        <x:v>350</x:v>
      </x:c>
      <x:c r="J7" s="25" t="n">
        <x:v>280</x:v>
      </x:c>
      <x:c r="K7" s="25" t="str">
        <x:v>Bảng 13 + 14</x:v>
      </x:c>
    </x:row>
    <x:row r="8" ht="15" hidden="0" customHeight="1">
      <x:c r="A8" s="25" t="str">
        <x:v>B12.5</x:v>
      </x:c>
      <x:c r="B8" s="25" t="n">
        <x:v>7.5</x:v>
      </x:c>
      <x:c r="C8" s="25" t="n">
        <x:v>0.66</x:v>
      </x:c>
      <x:c r="D8" s="25" t="n">
        <x:v>21500</x:v>
      </x:c>
      <x:c r="E8" s="25" t="str">
        <x:v>Bảng 7 + 10</x:v>
      </x:c>
      <x:c r="F8" s="25"/>
      <x:c r="G8" s="25" t="str">
        <x:v>CB500-V</x:v>
      </x:c>
      <x:c r="H8" s="25" t="n">
        <x:v>435</x:v>
      </x:c>
      <x:c r="I8" s="25" t="n">
        <x:v>435</x:v>
      </x:c>
      <x:c r="J8" s="25" t="n">
        <x:v>300</x:v>
      </x:c>
      <x:c r="K8" s="25" t="str">
        <x:v>Bảng 13 + 14</x:v>
      </x:c>
    </x:row>
    <x:row r="9" ht="15" hidden="0" customHeight="1">
      <x:c r="A9" s="25" t="str">
        <x:v>B15</x:v>
      </x:c>
      <x:c r="B9" s="25" t="n">
        <x:v>8.5</x:v>
      </x:c>
      <x:c r="C9" s="25" t="n">
        <x:v>0.75</x:v>
      </x:c>
      <x:c r="D9" s="25" t="n">
        <x:v>24000</x:v>
      </x:c>
      <x:c r="E9" s="25" t="str">
        <x:v>Bảng 7 + 10</x:v>
      </x:c>
      <x:c r="F9" s="25"/>
      <x:c r="G9" s="25"/>
      <x:c r="H9" s="25"/>
      <x:c r="I9" s="25"/>
      <x:c r="J9" s="25"/>
      <x:c r="K9" s="25"/>
    </x:row>
    <x:row r="10" ht="15" hidden="0" customHeight="1">
      <x:c r="A10" s="25" t="str">
        <x:v>B20</x:v>
      </x:c>
      <x:c r="B10" s="25" t="n">
        <x:v>11.5</x:v>
      </x:c>
      <x:c r="C10" s="25" t="n">
        <x:v>0.9</x:v>
      </x:c>
      <x:c r="D10" s="25" t="n">
        <x:v>27500</x:v>
      </x:c>
      <x:c r="E10" s="25" t="str">
        <x:v>Bảng 7 + 10</x:v>
      </x:c>
      <x:c r="F10" s="25"/>
      <x:c r="G10" s="25"/>
      <x:c r="H10" s="25"/>
      <x:c r="I10" s="25"/>
      <x:c r="J10" s="25"/>
      <x:c r="K10" s="25"/>
    </x:row>
    <x:row r="11" ht="15" hidden="0" customHeight="1">
      <x:c r="A11" s="25" t="str">
        <x:v>B25</x:v>
      </x:c>
      <x:c r="B11" s="25" t="n">
        <x:v>14.5</x:v>
      </x:c>
      <x:c r="C11" s="25" t="n">
        <x:v>1.05</x:v>
      </x:c>
      <x:c r="D11" s="25" t="n">
        <x:v>30000</x:v>
      </x:c>
      <x:c r="E11" s="25" t="str">
        <x:v>Bảng 7 + 10</x:v>
      </x:c>
      <x:c r="F11" s="25"/>
      <x:c r="G11" s="25"/>
      <x:c r="H11" s="25"/>
      <x:c r="I11" s="25"/>
      <x:c r="J11" s="25"/>
      <x:c r="K11" s="25"/>
    </x:row>
    <x:row r="12" ht="15" hidden="0" customHeight="1">
      <x:c r="A12" s="25" t="str">
        <x:v>B30</x:v>
      </x:c>
      <x:c r="B12" s="25" t="n">
        <x:v>17</x:v>
      </x:c>
      <x:c r="C12" s="25" t="n">
        <x:v>1.15</x:v>
      </x:c>
      <x:c r="D12" s="25" t="n">
        <x:v>32500</x:v>
      </x:c>
      <x:c r="E12" s="25" t="str">
        <x:v>Bảng 7 + 10</x:v>
      </x:c>
      <x:c r="F12" s="25"/>
      <x:c r="G12" s="25"/>
      <x:c r="H12" s="25"/>
      <x:c r="I12" s="25"/>
      <x:c r="J12" s="25"/>
      <x:c r="K12" s="25"/>
    </x:row>
    <x:row r="13" ht="15" hidden="0" customHeight="1">
      <x:c r="A13" s="25" t="str">
        <x:v>B35</x:v>
      </x:c>
      <x:c r="B13" s="25" t="n">
        <x:v>19.5</x:v>
      </x:c>
      <x:c r="C13" s="25" t="n">
        <x:v>1.3</x:v>
      </x:c>
      <x:c r="D13" s="25" t="n">
        <x:v>34500</x:v>
      </x:c>
      <x:c r="E13" s="25" t="str">
        <x:v>Bảng 7 + 10</x:v>
      </x:c>
      <x:c r="F13" s="25"/>
      <x:c r="G13" s="25"/>
      <x:c r="H13" s="25"/>
      <x:c r="I13" s="25"/>
      <x:c r="J13" s="25"/>
      <x:c r="K13" s="25"/>
    </x:row>
    <x:row r="14" ht="15" hidden="0" customHeight="1">
      <x:c r="A14" s="25" t="str">
        <x:v>B40</x:v>
      </x:c>
      <x:c r="B14" s="25" t="n">
        <x:v>22</x:v>
      </x:c>
      <x:c r="C14" s="25" t="n">
        <x:v>1.4</x:v>
      </x:c>
      <x:c r="D14" s="25" t="n">
        <x:v>36000</x:v>
      </x:c>
      <x:c r="E14" s="25" t="str">
        <x:v>Bảng 7 + 10</x:v>
      </x:c>
      <x:c r="F14" s="25"/>
      <x:c r="G14" s="25"/>
      <x:c r="H14" s="25"/>
      <x:c r="I14" s="25"/>
      <x:c r="J14" s="25"/>
      <x:c r="K14" s="25"/>
    </x:row>
    <x:row r="15" ht="15" hidden="0" customHeight="1">
      <x:c r="A15" s="25" t="str">
        <x:v>B45</x:v>
      </x:c>
      <x:c r="B15" s="25" t="n">
        <x:v>25</x:v>
      </x:c>
      <x:c r="C15" s="25" t="n">
        <x:v>1.5</x:v>
      </x:c>
      <x:c r="D15" s="25" t="n">
        <x:v>37000</x:v>
      </x:c>
      <x:c r="E15" s="25" t="str">
        <x:v>Bảng 7 + 10</x:v>
      </x:c>
      <x:c r="F15" s="25"/>
      <x:c r="G15" s="25"/>
      <x:c r="H15" s="25"/>
      <x:c r="I15" s="25"/>
      <x:c r="J15" s="25"/>
      <x:c r="K15" s="25"/>
    </x:row>
    <x:row r="16" ht="15" hidden="0" customHeight="1">
      <x:c r="A16" s="25" t="str">
        <x:v>B50</x:v>
      </x:c>
      <x:c r="B16" s="25" t="n">
        <x:v>27.5</x:v>
      </x:c>
      <x:c r="C16" s="25" t="n">
        <x:v>1.6</x:v>
      </x:c>
      <x:c r="D16" s="25" t="n">
        <x:v>38000</x:v>
      </x:c>
      <x:c r="E16" s="25" t="str">
        <x:v>Bảng 7 + 10</x:v>
      </x:c>
      <x:c r="F16" s="25"/>
      <x:c r="G16" s="25"/>
      <x:c r="H16" s="25"/>
      <x:c r="I16" s="25"/>
      <x:c r="J16" s="25"/>
      <x:c r="K16" s="25"/>
    </x:row>
    <x:row r="17" ht="15" hidden="0" customHeight="1">
      <x:c r="A17" s="25" t="str">
        <x:v>B55</x:v>
      </x:c>
      <x:c r="B17" s="25" t="n">
        <x:v>30</x:v>
      </x:c>
      <x:c r="C17" s="25" t="n">
        <x:v>1.7</x:v>
      </x:c>
      <x:c r="D17" s="25" t="n">
        <x:v>39000</x:v>
      </x:c>
      <x:c r="E17" s="25" t="str">
        <x:v>Bảng 7 + 10</x:v>
      </x:c>
      <x:c r="F17" s="25"/>
      <x:c r="G17" s="25"/>
      <x:c r="H17" s="25"/>
      <x:c r="I17" s="25"/>
      <x:c r="J17" s="25"/>
      <x:c r="K17" s="25"/>
    </x:row>
    <x:row r="18" ht="15" hidden="0" customHeight="1">
      <x:c r="A18" s="25" t="str">
        <x:v>B60</x:v>
      </x:c>
      <x:c r="B18" s="25" t="n">
        <x:v>33</x:v>
      </x:c>
      <x:c r="C18" s="25" t="n">
        <x:v>1.8</x:v>
      </x:c>
      <x:c r="D18" s="25" t="n">
        <x:v>39500</x:v>
      </x:c>
      <x:c r="E18" s="25" t="str">
        <x:v>Bảng 7 + 10</x:v>
      </x:c>
      <x:c r="F18" s="25"/>
      <x:c r="G18" s="25"/>
      <x:c r="H18" s="25"/>
      <x:c r="I18" s="25"/>
      <x:c r="J18" s="25"/>
      <x:c r="K18" s="25"/>
    </x:row>
    <x:row r="19" ht="15" hidden="0" customHeight="1">
      <x:c r="A19" s="25" t="str">
        <x:v>B70</x:v>
      </x:c>
      <x:c r="B19" s="25" t="n">
        <x:v>37</x:v>
      </x:c>
      <x:c r="C19" s="25" t="n">
        <x:v>1.9</x:v>
      </x:c>
      <x:c r="D19" s="25" t="n">
        <x:v>41000</x:v>
      </x:c>
      <x:c r="E19" s="25" t="str">
        <x:v>Bảng 7 + 10</x:v>
      </x:c>
      <x:c r="F19" s="25"/>
      <x:c r="G19" s="25"/>
      <x:c r="H19" s="25"/>
      <x:c r="I19" s="25"/>
      <x:c r="J19" s="25"/>
      <x:c r="K19" s="25"/>
    </x:row>
    <x:row r="20" ht="15" hidden="0" customHeight="1">
      <x:c r="A20" s="25" t="str">
        <x:v>B80</x:v>
      </x:c>
      <x:c r="B20" s="25" t="n">
        <x:v>41</x:v>
      </x:c>
      <x:c r="C20" s="25" t="n">
        <x:v>2.1</x:v>
      </x:c>
      <x:c r="D20" s="25" t="n">
        <x:v>42000</x:v>
      </x:c>
      <x:c r="E20" s="25" t="str">
        <x:v>Bảng 7 + 10</x:v>
      </x:c>
      <x:c r="F20" s="25"/>
      <x:c r="G20" s="25"/>
      <x:c r="H20" s="25"/>
      <x:c r="I20" s="25"/>
      <x:c r="J20" s="25"/>
      <x:c r="K20" s="25"/>
    </x:row>
    <x:row r="21" ht="15" hidden="0" customHeight="1">
      <x:c r="A21" s="25" t="str">
        <x:v>B90</x:v>
      </x:c>
      <x:c r="B21" s="25" t="n">
        <x:v>44</x:v>
      </x:c>
      <x:c r="C21" s="25" t="n">
        <x:v>2.15</x:v>
      </x:c>
      <x:c r="D21" s="25" t="n">
        <x:v>42500</x:v>
      </x:c>
      <x:c r="E21" s="25" t="str">
        <x:v>Bảng 7 + 10</x:v>
      </x:c>
      <x:c r="F21" s="25"/>
      <x:c r="G21" s="25"/>
      <x:c r="H21" s="25"/>
      <x:c r="I21" s="25"/>
      <x:c r="J21" s="25"/>
      <x:c r="K21" s="25"/>
    </x:row>
    <x:row r="22" ht="15" hidden="0" customHeight="1">
      <x:c r="A22" s="25" t="str">
        <x:v>B100</x:v>
      </x:c>
      <x:c r="B22" s="25" t="n">
        <x:v>47.5</x:v>
      </x:c>
      <x:c r="C22" s="25" t="n">
        <x:v>2.2</x:v>
      </x:c>
      <x:c r="D22" s="25" t="n">
        <x:v>43000</x:v>
      </x:c>
      <x:c r="E22" s="25" t="str">
        <x:v>Bảng 7 + 10</x:v>
      </x:c>
      <x:c r="F22" s="25"/>
      <x:c r="G22" s="25"/>
      <x:c r="H22" s="25"/>
      <x:c r="I22" s="25"/>
      <x:c r="J22" s="25"/>
      <x:c r="K22" s="25"/>
    </x:row>
    <x:row r="23" ht="15" hidden="0" customHeight="1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</x:row>
    <x:row r="24" ht="15" hidden="0" customHeight="1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</x:row>
    <x:row r="25" ht="15" hidden="0" customHeight="1">
      <x:c r="A25" s="26" t="str">
        <x:v>Giá trị dùng tính</x:v>
      </x:c>
      <x:c r="B25" s="26" t="str">
        <x:v>Kết quả</x:v>
      </x:c>
      <x:c r="C25" s="26" t="str">
        <x:v>Đơn vị</x:v>
      </x:c>
      <x:c r="D25" s="26" t="str">
        <x:v>Nguồn</x:v>
      </x:c>
      <x:c r="E25" s="25"/>
      <x:c r="F25" s="25"/>
      <x:c r="G25" s="25"/>
      <x:c r="H25" s="25"/>
      <x:c r="I25" s="25"/>
      <x:c r="J25" s="25"/>
      <x:c r="K25" s="25"/>
    </x:row>
    <x:row r="26" ht="15" hidden="0" customHeight="1">
      <x:c r="A26" s="25" t="str">
        <x:v>Rb</x:v>
      </x:c>
      <x:c r="B26" s="42" t="n">
        <x:f>INDEX(B4:B22,MATCH('01_INPUT'!B4,A4:A22,0))</x:f>
        <x:v>17</x:v>
      </x:c>
      <x:c r="C26" s="25" t="str">
        <x:v>MPa</x:v>
      </x:c>
      <x:c r="D26" s="25" t="str">
        <x:v>Bảng 7</x:v>
      </x:c>
      <x:c r="E26" s="25"/>
      <x:c r="F26" s="25"/>
      <x:c r="G26" s="25"/>
      <x:c r="H26" s="25"/>
      <x:c r="I26" s="25"/>
      <x:c r="J26" s="25"/>
      <x:c r="K26" s="25"/>
    </x:row>
    <x:row r="27" ht="15" hidden="0" customHeight="1">
      <x:c r="A27" s="25" t="str">
        <x:v>Rbt</x:v>
      </x:c>
      <x:c r="B27" s="42" t="n">
        <x:f>INDEX(C4:C22,MATCH('01_INPUT'!B4,A4:A22,0))</x:f>
        <x:v>1.15</x:v>
      </x:c>
      <x:c r="C27" s="25" t="str">
        <x:v>MPa</x:v>
      </x:c>
      <x:c r="D27" s="25" t="str">
        <x:v>Bảng 7</x:v>
      </x:c>
      <x:c r="E27" s="25"/>
      <x:c r="F27" s="25"/>
      <x:c r="G27" s="25"/>
      <x:c r="H27" s="25"/>
      <x:c r="I27" s="25"/>
      <x:c r="J27" s="25"/>
      <x:c r="K27" s="25"/>
    </x:row>
    <x:row r="28" ht="15" hidden="0" customHeight="1">
      <x:c r="A28" s="25" t="str">
        <x:v>Eb</x:v>
      </x:c>
      <x:c r="B28" s="42" t="n">
        <x:f>INDEX(D4:D22,MATCH('01_INPUT'!B4,A4:A22,0))</x:f>
        <x:v>32500</x:v>
      </x:c>
      <x:c r="C28" s="25" t="str">
        <x:v>MPa</x:v>
      </x:c>
      <x:c r="D28" s="25" t="str">
        <x:v>Bảng 10</x:v>
      </x:c>
      <x:c r="E28" s="25"/>
      <x:c r="F28" s="25"/>
      <x:c r="G28" s="25"/>
      <x:c r="H28" s="25"/>
      <x:c r="I28" s="25"/>
      <x:c r="J28" s="25"/>
      <x:c r="K28" s="25"/>
    </x:row>
    <x:row r="29" ht="15" hidden="0" customHeight="1">
      <x:c r="A29" s="25" t="str">
        <x:v>Rs</x:v>
      </x:c>
      <x:c r="B29" s="42" t="n">
        <x:f>INDEX(H4:H8,MATCH('01_INPUT'!B5,G4:G8,0))</x:f>
        <x:v>350</x:v>
      </x:c>
      <x:c r="C29" s="25" t="str">
        <x:v>MPa</x:v>
      </x:c>
      <x:c r="D29" s="25" t="str">
        <x:v>Bảng 13</x:v>
      </x:c>
      <x:c r="E29" s="25"/>
      <x:c r="F29" s="25"/>
      <x:c r="G29" s="25"/>
      <x:c r="H29" s="25"/>
      <x:c r="I29" s="25"/>
      <x:c r="J29" s="25"/>
      <x:c r="K29" s="25"/>
    </x:row>
    <x:row r="30" ht="15" hidden="0" customHeight="1">
      <x:c r="A30" s="25" t="str">
        <x:v>Rsc</x:v>
      </x:c>
      <x:c r="B30" s="42" t="n">
        <x:f>INDEX(I4:I8,MATCH('01_INPUT'!B5,G4:G8,0))</x:f>
        <x:v>350</x:v>
      </x:c>
      <x:c r="C30" s="25" t="str">
        <x:v>MPa</x:v>
      </x:c>
      <x:c r="D30" s="25" t="str">
        <x:v>Bảng 13</x:v>
      </x:c>
      <x:c r="E30" s="25"/>
      <x:c r="F30" s="25"/>
      <x:c r="G30" s="25"/>
      <x:c r="H30" s="25"/>
      <x:c r="I30" s="25"/>
      <x:c r="J30" s="25"/>
      <x:c r="K30" s="25"/>
    </x:row>
    <x:row r="31" ht="15" hidden="0" customHeight="1">
      <x:c r="A31" s="25" t="str">
        <x:v>Rsw</x:v>
      </x:c>
      <x:c r="B31" s="42" t="n">
        <x:f>INDEX(J4:J8,MATCH('01_INPUT'!B5,G4:G8,0))</x:f>
        <x:v>280</x:v>
      </x:c>
      <x:c r="C31" s="25" t="str">
        <x:v>MPa</x:v>
      </x:c>
      <x:c r="D31" s="25" t="str">
        <x:v>Bảng 14</x:v>
      </x:c>
      <x:c r="E31" s="25"/>
      <x:c r="F31" s="25"/>
      <x:c r="G31" s="25"/>
      <x:c r="H31" s="25"/>
      <x:c r="I31" s="25"/>
      <x:c r="J31" s="25"/>
      <x:c r="K31" s="25"/>
    </x:row>
    <x:row r="32" ht="15" hidden="0" customHeight="1">
      <x:c r="A32" s="25" t="str">
        <x:v>Es</x:v>
      </x:c>
      <x:c r="B32" s="42" t="n">
        <x:f>200000</x:f>
        <x:v>200000</x:v>
      </x:c>
      <x:c r="C32" s="25" t="str">
        <x:v>MPa</x:v>
      </x:c>
      <x:c r="D32" s="25" t="str">
        <x:v>6.2.3.3</x:v>
      </x:c>
      <x:c r="E32" s="25"/>
      <x:c r="F32" s="25"/>
      <x:c r="G32" s="25"/>
      <x:c r="H32" s="25"/>
      <x:c r="I32" s="25"/>
      <x:c r="J32" s="25"/>
      <x:c r="K32" s="25"/>
    </x:row>
    <x:row r="33" ht="15" hidden="0" customHeight="1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</x:row>
    <x:row r="34" ht="15" hidden="0" customHeight="1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</x:row>
    <x:row r="35" ht="15" hidden="0" customHeight="1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</x:row>
    <x:row r="36" ht="15" hidden="0" customHeight="1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70" hidden="0" customWidth="1"/>
    <x:col min="4" max="4" width="20" hidden="0" customWidth="1"/>
    <x:col min="5" max="5" width="14" hidden="0" customWidth="1"/>
    <x:col min="6" max="6" width="22" hidden="0" customWidth="1"/>
    <x:col min="7" max="7" width="30" hidden="0" customWidth="1"/>
  </x:cols>
  <x:sheetData>
    <x:row r="1" ht="18" hidden="0" customHeight="1">
      <x:c r="A1" s="24" t="str">
        <x:v>03 · UỐN TIẾT DIỆN CHỮ NHẬT / T / I – CT (31)–(38)</x:v>
      </x:c>
      <x:c r="B1" s="24"/>
      <x:c r="C1" s="24"/>
      <x:c r="D1" s="24"/>
      <x:c r="E1" s="24"/>
      <x:c r="F1" s="24"/>
      <x:c r="G1" s="24"/>
      <x:c r="H1" s="5"/>
    </x:row>
    <x:row r="2" ht="15" hidden="0" customHeight="1">
      <x:c r="A2" s="25"/>
      <x:c r="B2" s="25"/>
      <x:c r="C2" s="25"/>
      <x:c r="D2" s="25"/>
      <x:c r="E2" s="25"/>
      <x:c r="F2" s="25"/>
      <x:c r="G2" s="25"/>
    </x:row>
    <x:row r="3" ht="15" hidden="0" customHeight="1">
      <x:c r="A3" s="26" t="str">
        <x:v>Bước</x:v>
      </x:c>
      <x:c r="B3" s="26" t="str">
        <x:v>Ký hiệu</x:v>
      </x:c>
      <x:c r="C3" s="26" t="str">
        <x:v>Logic / công thức</x:v>
      </x:c>
      <x:c r="D3" s="26" t="str">
        <x:v>Kết quả</x:v>
      </x:c>
      <x:c r="E3" s="26" t="str">
        <x:v>Đơn vị</x:v>
      </x:c>
      <x:c r="F3" s="26" t="str">
        <x:v>Kiểm tra</x:v>
      </x:c>
      <x:c r="G3" s="26" t="str">
        <x:v>Nguồn</x:v>
      </x:c>
      <x:c r="I3" s="13" t="str">
        <x:v>Chỉ tiêu</x:v>
      </x:c>
      <x:c r="J3" s="13" t="str">
        <x:v>kN.m</x:v>
      </x:c>
    </x:row>
    <x:row r="4" ht="15" hidden="0" customHeight="1">
      <x:c r="A4" s="25" t="n">
        <x:v>1</x:v>
      </x:c>
      <x:c r="B4" s="25" t="str">
        <x:v>εs,el</x:v>
      </x:c>
      <x:c r="C4" s="25" t="str">
        <x:v>Rs/Es</x:v>
      </x:c>
      <x:c r="D4" s="42" t="n">
        <x:f>'02_VAT_LIEU'!B29/'02_VAT_LIEU'!B32</x:f>
        <x:v>0.00175</x:v>
      </x:c>
      <x:c r="E4" s="25" t="str">
        <x:v>-</x:v>
      </x:c>
      <x:c r="F4" s="25" t="str"/>
      <x:c r="G4" s="25" t="str">
        <x:v>CT (32)</x:v>
      </x:c>
      <x:c r="I4" t="str">
        <x:v>M tác dụng</x:v>
      </x:c>
      <x:c r="J4" t="n">
        <x:f>'01_INPUT'!B14</x:f>
        <x:v>180</x:v>
      </x:c>
    </x:row>
    <x:row r="5" ht="15" hidden="0" customHeight="1">
      <x:c r="A5" s="25" t="n">
        <x:v>2</x:v>
      </x:c>
      <x:c r="B5" s="25" t="str">
        <x:v>εb2</x:v>
      </x:c>
      <x:c r="C5" s="25" t="str">
        <x:v>B≤60: 0,0035; B70→B100 nội suy 0,0033→0,0028</x:v>
      </x:c>
      <x:c r="D5" s="42" t="n">
        <x:f>IF(VALUE(SUBSTITUTE('01_INPUT'!B4,"B",""))&lt;=60,0.0035,IF(VALUE(SUBSTITUTE('01_INPUT'!B4,"B",""))&gt;=100,0.0028,0.0033+(VALUE(SUBSTITUTE('01_INPUT'!B4,"B",""))-70)*(0.0028-0.0033)/30))</x:f>
        <x:v>0.0035</x:v>
      </x:c>
      <x:c r="E5" s="25" t="str">
        <x:v>-</x:v>
      </x:c>
      <x:c r="F5" s="25" t="str"/>
      <x:c r="G5" s="25" t="str">
        <x:v>6.1.4.2</x:v>
      </x:c>
      <x:c r="I5" t="str">
        <x:v>Mu sức kháng</x:v>
      </x:c>
      <x:c r="J5" t="n">
        <x:f>D10</x:f>
        <x:v>266.2950980392157</x:v>
      </x:c>
    </x:row>
    <x:row r="6" ht="15" hidden="0" customHeight="1">
      <x:c r="A6" s="25" t="n">
        <x:v>3</x:v>
      </x:c>
      <x:c r="B6" s="25" t="str">
        <x:v>ξR</x:v>
      </x:c>
      <x:c r="C6" s="25" t="str">
        <x:v>0,8/(1+εs,el/εb2); B70–B100 dùng 0,7</x:v>
      </x:c>
      <x:c r="D6" s="42" t="n">
        <x:f>IF(VALUE(SUBSTITUTE('01_INPUT'!B4,"B",""))&gt;=70,0.7,0.8)/(1+D4/D5)</x:f>
        <x:v>0.5333333333333333</x:v>
      </x:c>
      <x:c r="E6" s="25" t="str">
        <x:v>-</x:v>
      </x:c>
      <x:c r="F6" s="25" t="str"/>
      <x:c r="G6" s="25" t="str">
        <x:v>CT (31)</x:v>
      </x:c>
    </x:row>
    <x:row r="7" ht="15" hidden="0" customHeight="1">
      <x:c r="A7" s="25" t="n">
        <x:v>4</x:v>
      </x:c>
      <x:c r="B7" s="25" t="str">
        <x:v>Cánh?</x:v>
      </x:c>
      <x:c r="C7" s="25" t="str">
        <x:v>Rs·As ≤ Rb·bf'·hf' + Rsc·As'</x:v>
      </x:c>
      <x:c r="D7" s="42" t="n">
        <x:f>IF('02_VAT_LIEU'!B29*'01_INPUT'!B11&lt;='02_VAT_LIEU'!B26*'01_INPUT'!B7*'01_INPUT'!B8+'02_VAT_LIEU'!B30*'01_INPUT'!B12,1,0)</x:f>
        <x:v>1</x:v>
      </x:c>
      <x:c r="E7" s="25" t="str">
        <x:v>1/0</x:v>
      </x:c>
      <x:c r="F7" s="25" t="str">
        <x:v>1 = vùng nén trong cánh</x:v>
      </x:c>
      <x:c r="G7" s="25" t="str">
        <x:v>CT (36)</x:v>
      </x:c>
    </x:row>
    <x:row r="8" ht="15" hidden="0" customHeight="1">
      <x:c r="A8" s="25" t="n">
        <x:v>5</x:v>
      </x:c>
      <x:c r="B8" s="25" t="str">
        <x:v>x</x:v>
      </x:c>
      <x:c r="C8" s="25" t="str">
        <x:v>Nếu cánh: CT35 với b=bf'; nếu xuống sườn: CT38</x:v>
      </x:c>
      <x:c r="D8" s="42" t="n">
        <x:f>IF(D7=1,('02_VAT_LIEU'!B29*'01_INPUT'!B11-'02_VAT_LIEU'!B30*'01_INPUT'!B12)/('02_VAT_LIEU'!B26*'01_INPUT'!B7),('02_VAT_LIEU'!B29*'01_INPUT'!B11-'02_VAT_LIEU'!B30*'01_INPUT'!B12-'02_VAT_LIEU'!B26*('01_INPUT'!B7-'01_INPUT'!B6)*'01_INPUT'!B8)/('02_VAT_LIEU'!B26*'01_INPUT'!B6))</x:f>
        <x:v>34.31372549019608</x:v>
      </x:c>
      <x:c r="E8" s="25" t="str">
        <x:v>mm</x:v>
      </x:c>
      <x:c r="F8" s="25" t="str"/>
      <x:c r="G8" s="25" t="str">
        <x:v>CT (35)/(38)</x:v>
      </x:c>
    </x:row>
    <x:row r="9" ht="15" hidden="0" customHeight="1">
      <x:c r="A9" s="25" t="n">
        <x:v>6</x:v>
      </x:c>
      <x:c r="B9" s="25" t="str">
        <x:v>ξ</x:v>
      </x:c>
      <x:c r="C9" s="25" t="str">
        <x:v>x/h0</x:v>
      </x:c>
      <x:c r="D9" s="42" t="n">
        <x:f>D8/'01_INPUT'!B10</x:f>
        <x:v>0.07625272331154684</x:v>
      </x:c>
      <x:c r="E9" s="25" t="str">
        <x:v>-</x:v>
      </x:c>
      <x:c r="F9" s="25" t="str">
        <x:f>IF(D9&lt;=D6,"TRONG MIỀN","NGOÀI MIỀN")</x:f>
        <x:v>TRONG MIỀN</x:v>
      </x:c>
      <x:c r="G9" s="25" t="str">
        <x:v>8.1.2.2.3</x:v>
      </x:c>
    </x:row>
    <x:row r="10" ht="15" hidden="0" customHeight="1">
      <x:c r="A10" s="25" t="n">
        <x:v>7</x:v>
      </x:c>
      <x:c r="B10" s="25" t="str">
        <x:v>Mu</x:v>
      </x:c>
      <x:c r="C10" s="25" t="str">
        <x:v>CT34 hoặc CT37</x:v>
      </x:c>
      <x:c r="D10" s="42" t="n">
        <x:f>IF(D7=1,('02_VAT_LIEU'!B26*'01_INPUT'!B7*D8*('01_INPUT'!B10-0.5*D8)+'02_VAT_LIEU'!B30*'01_INPUT'!B12*('01_INPUT'!B10-'01_INPUT'!B13))/1000000,('02_VAT_LIEU'!B26*'01_INPUT'!B6*D8*('01_INPUT'!B10-0.5*D8)+'02_VAT_LIEU'!B26*('01_INPUT'!B7-'01_INPUT'!B6)*'01_INPUT'!B8*('01_INPUT'!B10-0.5*'01_INPUT'!B8)+'02_VAT_LIEU'!B30*'01_INPUT'!B12*('01_INPUT'!B10-'01_INPUT'!B13))/1000000)</x:f>
        <x:v>266.2950980392157</x:v>
      </x:c>
      <x:c r="E10" s="25" t="str">
        <x:v>kN.m</x:v>
      </x:c>
      <x:c r="F10" s="25" t="str"/>
      <x:c r="G10" s="25" t="str">
        <x:v>CT (34)/(37)</x:v>
      </x:c>
    </x:row>
    <x:row r="11" ht="15" hidden="0" customHeight="1">
      <x:c r="A11" s="25" t="n">
        <x:v>8</x:v>
      </x:c>
      <x:c r="B11" s="25" t="str">
        <x:v>M/Mu</x:v>
      </x:c>
      <x:c r="C11" s="25" t="str">
        <x:v>M/Mu</x:v>
      </x:c>
      <x:c r="D11" s="42" t="n">
        <x:f>'01_INPUT'!B14/D10</x:f>
        <x:v>0.6759418454390492</x:v>
      </x:c>
      <x:c r="E11" s="25" t="str">
        <x:v>-</x:v>
      </x:c>
      <x:c r="F11" s="25" t="str">
        <x:f>IF(AND(D9&lt;=D6,D11&lt;=1),"ĐẠT","KHÔNG ĐẠT")</x:f>
        <x:v>ĐẠT</x:v>
      </x:c>
      <x:c r="G11" s="25" t="str">
        <x:v>CT (33)</x:v>
      </x:c>
    </x:row>
    <x:row r="12" ht="15" hidden="0" customHeight="1">
      <x:c r="A12" s="25"/>
      <x:c r="B12" s="25"/>
      <x:c r="C12" s="25"/>
      <x:c r="D12" s="25"/>
      <x:c r="E12" s="25"/>
      <x:c r="F12" s="25"/>
      <x:c r="G12" s="25"/>
    </x:row>
    <x:row r="13" ht="15" hidden="0" customHeight="1">
      <x:c r="A13" s="25"/>
      <x:c r="B13" s="25"/>
      <x:c r="C13" s="25"/>
      <x:c r="D13" s="25"/>
      <x:c r="E13" s="25"/>
      <x:c r="F13" s="25"/>
      <x:c r="G13" s="25"/>
    </x:row>
    <x:row r="14" ht="15" hidden="0" customHeight="1">
      <x:c r="A14" s="25"/>
      <x:c r="B14" s="25"/>
      <x:c r="C14" s="25"/>
      <x:c r="D14" s="25"/>
      <x:c r="E14" s="25"/>
      <x:c r="F14" s="25"/>
      <x:c r="G14" s="25"/>
    </x:row>
    <x:row r="15" ht="15" hidden="0" customHeight="1">
      <x:c r="A15" s="25"/>
      <x:c r="B15" s="25"/>
      <x:c r="C15" s="25"/>
      <x:c r="D15" s="25"/>
      <x:c r="E15" s="25"/>
      <x:c r="F15" s="25"/>
      <x:c r="G15" s="25"/>
    </x:row>
    <x:row r="16" ht="15" hidden="0" customHeight="1">
      <x:c r="A16" s="25"/>
      <x:c r="B16" s="25"/>
      <x:c r="C16" s="25"/>
      <x:c r="D16" s="25"/>
      <x:c r="E16" s="25"/>
      <x:c r="F16" s="25"/>
      <x:c r="G16" s="25"/>
    </x:row>
    <x:row r="17" ht="15" hidden="0" customHeight="1">
      <x:c r="A17" s="25"/>
      <x:c r="B17" s="25"/>
      <x:c r="C17" s="25"/>
      <x:c r="D17" s="25"/>
      <x:c r="E17" s="25"/>
      <x:c r="F17" s="25"/>
      <x:c r="G17" s="25"/>
    </x:row>
    <x:row r="18" ht="15" hidden="0" customHeight="1">
      <x:c r="A18" s="25"/>
      <x:c r="B18" s="25"/>
      <x:c r="C18" s="25"/>
      <x:c r="D18" s="25"/>
      <x:c r="E18" s="25"/>
      <x:c r="F18" s="25"/>
      <x:c r="G18" s="25"/>
    </x:row>
    <x:row r="19" ht="15" hidden="0" customHeight="1">
      <x:c r="A19" s="25"/>
      <x:c r="B19" s="25"/>
      <x:c r="C19" s="25"/>
      <x:c r="D19" s="25"/>
      <x:c r="E19" s="25"/>
      <x:c r="F19" s="25"/>
      <x:c r="G19" s="25"/>
    </x:row>
    <x:row r="20" ht="15" hidden="0" customHeight="1">
      <x:c r="A20" s="25"/>
      <x:c r="B20" s="25"/>
      <x:c r="C20" s="25"/>
      <x:c r="D20" s="25"/>
      <x:c r="E20" s="25"/>
      <x:c r="F20" s="25"/>
      <x:c r="G20" s="25"/>
    </x:row>
    <x:row r="21" ht="15" hidden="0" customHeight="1">
      <x:c r="A21" s="25"/>
      <x:c r="B21" s="25"/>
      <x:c r="C21" s="25"/>
      <x:c r="D21" s="25"/>
      <x:c r="E21" s="25"/>
      <x:c r="F21" s="25"/>
      <x:c r="G21" s="25"/>
    </x:row>
    <x:row r="22" ht="15" hidden="0" customHeight="1">
      <x:c r="A22" s="25"/>
      <x:c r="B22" s="25"/>
      <x:c r="C22" s="25"/>
      <x:c r="D22" s="25"/>
      <x:c r="E22" s="25"/>
      <x:c r="F22" s="25"/>
      <x:c r="G22" s="25"/>
    </x:row>
    <x:row r="23" ht="15" hidden="0" customHeight="1">
      <x:c r="A23" s="25"/>
      <x:c r="B23" s="25"/>
      <x:c r="C23" s="25"/>
      <x:c r="D23" s="25"/>
      <x:c r="E23" s="25"/>
      <x:c r="F23" s="25"/>
      <x:c r="G23" s="25"/>
    </x:row>
    <x:row r="24" ht="15" hidden="0" customHeight="1">
      <x:c r="A24" s="25"/>
      <x:c r="B24" s="25"/>
      <x:c r="C24" s="25"/>
      <x:c r="D24" s="25"/>
      <x:c r="E24" s="25"/>
      <x:c r="F24" s="25"/>
      <x:c r="G24" s="25"/>
    </x:row>
  </x:sheetData>
  <x:mergeCells>
    <x:mergeCell ref="A1:H1"/>
  </x:mergeCells>
  <x:conditionalFormatting sqref="D11:D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{0DA540E2-5A98-E1C9-941B-CA46A36C2F24}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098d83225f234ef9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DA540E2-5A98-E1C9-941B-CA46A36C2F24}">
            <x14:dataBar gradient="1">
              <x14:cfvo type="min"/>
              <x14:cfvo type="max"/>
              <x14:fillColor rgb="FFA02B93"/>
            </x14:dataBar>
          </x14:cfRule>
          <xm:sqref>D11:D11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68" hidden="0" customWidth="1"/>
    <x:col min="4" max="4" width="20" hidden="0" customWidth="1"/>
    <x:col min="5" max="5" width="14" hidden="0" customWidth="1"/>
    <x:col min="6" max="6" width="22" hidden="0" customWidth="1"/>
    <x:col min="7" max="7" width="30" hidden="0" customWidth="1"/>
  </x:cols>
  <x:sheetData>
    <x:row r="1" ht="18" hidden="0" customHeight="1">
      <x:c r="A1" s="24" t="str">
        <x:v>04 · NÉN LỆCH TÂM TIẾT DIỆN CHỮ NHẬT – CT (40)–(48)</x:v>
      </x:c>
      <x:c r="B1" s="24"/>
      <x:c r="C1" s="24"/>
      <x:c r="D1" s="24"/>
      <x:c r="E1" s="24"/>
      <x:c r="F1" s="24"/>
      <x:c r="G1" s="24"/>
      <x:c r="H1" s="5"/>
    </x:row>
    <x:row r="2" ht="15" hidden="0" customHeight="1">
      <x:c r="A2" s="25"/>
      <x:c r="B2" s="25"/>
      <x:c r="C2" s="25"/>
      <x:c r="D2" s="25"/>
      <x:c r="E2" s="25"/>
      <x:c r="F2" s="25"/>
      <x:c r="G2" s="25"/>
    </x:row>
    <x:row r="3" ht="15" hidden="0" customHeight="1">
      <x:c r="A3" s="26" t="str">
        <x:v>Bước</x:v>
      </x:c>
      <x:c r="B3" s="26" t="str">
        <x:v>Ký hiệu</x:v>
      </x:c>
      <x:c r="C3" s="26" t="str">
        <x:v>Logic / công thức</x:v>
      </x:c>
      <x:c r="D3" s="26" t="str">
        <x:v>Kết quả</x:v>
      </x:c>
      <x:c r="E3" s="26" t="str">
        <x:v>Đơn vị</x:v>
      </x:c>
      <x:c r="F3" s="26" t="str">
        <x:v>Kiểm tra</x:v>
      </x:c>
      <x:c r="G3" s="26" t="str">
        <x:v>Nguồn</x:v>
      </x:c>
      <x:c r="I3" s="13" t="str">
        <x:v>Chỉ tiêu</x:v>
      </x:c>
      <x:c r="J3" s="13" t="str">
        <x:v>kN.m</x:v>
      </x:c>
    </x:row>
    <x:row r="4" ht="15" hidden="0" customHeight="1">
      <x:c r="A4" s="25" t="n">
        <x:v>1</x:v>
      </x:c>
      <x:c r="B4" s="25" t="str">
        <x:v>ea</x:v>
      </x:c>
      <x:c r="C4" s="25" t="str">
        <x:v>max(L/600; h/30; 10 mm)</x:v>
      </x:c>
      <x:c r="D4" s="42" t="n">
        <x:f>MAX('01_INPUT'!B16*1000/600,'01_INPUT'!B9/30,10)</x:f>
        <x:v>16.666666666666668</x:v>
      </x:c>
      <x:c r="E4" s="25" t="str">
        <x:v>mm</x:v>
      </x:c>
      <x:c r="F4" s="25" t="str"/>
      <x:c r="G4" s="25" t="str">
        <x:v>8.1.2.2.4</x:v>
      </x:c>
      <x:c r="I4" t="str">
        <x:v>N·e</x:v>
      </x:c>
      <x:c r="J4" t="n">
        <x:f>D16</x:f>
        <x:v>426</x:v>
      </x:c>
    </x:row>
    <x:row r="5" ht="15" hidden="0" customHeight="1">
      <x:c r="A5" s="25" t="n">
        <x:v>2</x:v>
      </x:c>
      <x:c r="B5" s="25" t="str">
        <x:v>e_tĩnh</x:v>
      </x:c>
      <x:c r="C5" s="25" t="str">
        <x:v>M/N</x:v>
      </x:c>
      <x:c r="D5" s="42" t="n">
        <x:f>'01_INPUT'!B14*1000000/('01_INPUT'!B15*1000)</x:f>
        <x:v>150</x:v>
      </x:c>
      <x:c r="E5" s="25" t="str">
        <x:v>mm</x:v>
      </x:c>
      <x:c r="F5" s="25" t="str"/>
      <x:c r="G5" s="25" t="str">
        <x:v>M/N</x:v>
      </x:c>
      <x:c r="I5" t="str">
        <x:v>Sức kháng</x:v>
      </x:c>
      <x:c r="J5" t="n">
        <x:f>D17</x:f>
        <x:v>547.9750669588508</x:v>
      </x:c>
    </x:row>
    <x:row r="6" ht="15" hidden="0" customHeight="1">
      <x:c r="A6" s="25" t="n">
        <x:v>3</x:v>
      </x:c>
      <x:c r="B6" s="25" t="str">
        <x:v>e0</x:v>
      </x:c>
      <x:c r="C6" s="25" t="str">
        <x:v>Tĩnh định: e_tĩnh+ea; siêu tĩnh: max(e_tĩnh,ea)</x:v>
      </x:c>
      <x:c r="D6" s="42" t="n">
        <x:f>IF('01_INPUT'!B17="Có",D5+D4,MAX(D5,D4))</x:f>
        <x:v>150</x:v>
      </x:c>
      <x:c r="E6" s="25" t="str">
        <x:v>mm</x:v>
      </x:c>
      <x:c r="F6" s="25" t="str"/>
      <x:c r="G6" s="25" t="str">
        <x:v>8.1.2.2.4</x:v>
      </x:c>
    </x:row>
    <x:row r="7" ht="15" hidden="0" customHeight="1">
      <x:c r="A7" s="25" t="n">
        <x:v>4</x:v>
      </x:c>
      <x:c r="B7" s="25" t="str">
        <x:v>φL</x:v>
      </x:c>
      <x:c r="C7" s="25" t="str">
        <x:v>1+ML1/ML, không lớn hơn 2</x:v>
      </x:c>
      <x:c r="D7" s="42" t="n">
        <x:f>IF(AND(ISNUMBER('01_INPUT'!B21),'01_INPUT'!B21&lt;&gt;0,ISNUMBER('01_INPUT'!B22)),MIN(2,1+'01_INPUT'!B22/'01_INPUT'!B21),1)</x:f>
        <x:v>1</x:v>
      </x:c>
      <x:c r="E7" s="25" t="str">
        <x:v>-</x:v>
      </x:c>
      <x:c r="F7" s="25" t="str">
        <x:v>≤2</x:v>
      </x:c>
      <x:c r="G7" s="25" t="str">
        <x:v>CT (48)</x:v>
      </x:c>
    </x:row>
    <x:row r="8" ht="15" hidden="0" customHeight="1">
      <x:c r="A8" s="25" t="n">
        <x:v>5</x:v>
      </x:c>
      <x:c r="B8" s="25" t="str">
        <x:v>δe</x:v>
      </x:c>
      <x:c r="C8" s="25" t="str">
        <x:v>e0/h, giới hạn 0,15…1,5</x:v>
      </x:c>
      <x:c r="D8" s="42" t="n">
        <x:f>MAX(0.15,MIN(1.5,D6/'01_INPUT'!B9))</x:f>
        <x:v>0.3</x:v>
      </x:c>
      <x:c r="E8" s="25" t="str">
        <x:v>-</x:v>
      </x:c>
      <x:c r="F8" s="25" t="str"/>
      <x:c r="G8" s="25" t="str">
        <x:v>8.1.2.4.2</x:v>
      </x:c>
    </x:row>
    <x:row r="9" ht="15" hidden="0" customHeight="1">
      <x:c r="A9" s="25" t="n">
        <x:v>6</x:v>
      </x:c>
      <x:c r="B9" s="25" t="str">
        <x:v>kb</x:v>
      </x:c>
      <x:c r="C9" s="25" t="str">
        <x:v>0,15/[φL(0,3+δe)]</x:v>
      </x:c>
      <x:c r="D9" s="42" t="n">
        <x:f>0.15/(D7*(0.3+D8))</x:f>
        <x:v>0.25</x:v>
      </x:c>
      <x:c r="E9" s="25" t="str">
        <x:v>-</x:v>
      </x:c>
      <x:c r="F9" s="25" t="str"/>
      <x:c r="G9" s="25" t="str">
        <x:v>CT (47)</x:v>
      </x:c>
    </x:row>
    <x:row r="10" ht="15" hidden="0" customHeight="1">
      <x:c r="A10" s="25" t="n">
        <x:v>7</x:v>
      </x:c>
      <x:c r="B10" s="25" t="str">
        <x:v>D</x:v>
      </x:c>
      <x:c r="C10" s="25" t="str">
        <x:v>kb·Eb·I + 0,7·Es·Is</x:v>
      </x:c>
      <x:c r="D10" s="42" t="str">
        <x:f>IF(AND(ISNUMBER('01_INPUT'!B19),ISNUMBER('01_INPUT'!B20)),D9*'02_VAT_LIEU'!B28*'01_INPUT'!B19+0.7*'02_VAT_LIEU'!B32*'01_INPUT'!B20,"")</x:f>
      </x:c>
      <x:c r="E10" s="25" t="str">
        <x:v>N.mm²</x:v>
      </x:c>
      <x:c r="F10" s="25" t="str">
        <x:v>Nếu có I, Is</x:v>
      </x:c>
      <x:c r="G10" s="25" t="str">
        <x:v>CT (46)</x:v>
      </x:c>
    </x:row>
    <x:row r="11" ht="15" hidden="0" customHeight="1">
      <x:c r="A11" s="25" t="n">
        <x:v>8</x:v>
      </x:c>
      <x:c r="B11" s="25" t="str">
        <x:v>Ncr</x:v>
      </x:c>
      <x:c r="C11" s="25" t="str">
        <x:v>π²D/L0²</x:v>
      </x:c>
      <x:c r="D11" s="42" t="str">
        <x:f>IF(AND(ISNUMBER('01_INPUT'!B18),'01_INPUT'!B18&gt;0,ISNUMBER(D10)),PI()^2*D10/'01_INPUT'!B18^2/1000,"")</x:f>
      </x:c>
      <x:c r="E11" s="25" t="str">
        <x:v>kN</x:v>
      </x:c>
      <x:c r="F11" s="25" t="str">
        <x:f>IF(OR(D11="",'01_INPUT'!B15&lt;D11),"OK","N≥Ncr")</x:f>
        <x:v>OK</x:v>
      </x:c>
      <x:c r="G11" s="25" t="str">
        <x:v>CT (45)</x:v>
      </x:c>
    </x:row>
    <x:row r="12" ht="15" hidden="0" customHeight="1">
      <x:c r="A12" s="25" t="n">
        <x:v>9</x:v>
      </x:c>
      <x:c r="B12" s="25" t="str">
        <x:v>η</x:v>
      </x:c>
      <x:c r="C12" s="25" t="str">
        <x:v>1/(1-N/Ncr); thiếu L0/I/Is → 1</x:v>
      </x:c>
      <x:c r="D12" s="42" t="n">
        <x:f>IF(ISNUMBER(D11),1/(1-'01_INPUT'!B15/D11),1)</x:f>
        <x:v>1</x:v>
      </x:c>
      <x:c r="E12" s="25" t="str">
        <x:v>-</x:v>
      </x:c>
      <x:c r="F12" s="25" t="str"/>
      <x:c r="G12" s="25" t="str">
        <x:v>CT (44)</x:v>
      </x:c>
    </x:row>
    <x:row r="13" ht="15" hidden="0" customHeight="1">
      <x:c r="A13" s="25" t="n">
        <x:v>10</x:v>
      </x:c>
      <x:c r="B13" s="25" t="str">
        <x:v>e</x:v>
      </x:c>
      <x:c r="C13" s="25" t="str">
        <x:v>e0·η+(h0-a')/2</x:v>
      </x:c>
      <x:c r="D13" s="42" t="n">
        <x:f>D6*D12+('01_INPUT'!B10-'01_INPUT'!B13)/2</x:f>
        <x:v>355</x:v>
      </x:c>
      <x:c r="E13" s="25" t="str">
        <x:v>mm</x:v>
      </x:c>
      <x:c r="F13" s="25" t="str"/>
      <x:c r="G13" s="25" t="str">
        <x:v>CT (41)</x:v>
      </x:c>
    </x:row>
    <x:row r="14" ht="15" hidden="0" customHeight="1">
      <x:c r="A14" s="25" t="n">
        <x:v>11</x:v>
      </x:c>
      <x:c r="B14" s="25" t="str">
        <x:v>x42</x:v>
      </x:c>
      <x:c r="C14" s="25" t="str">
        <x:v>(N+RsAs-RscAs')/(Rb b)</x:v>
      </x:c>
      <x:c r="D14" s="42" t="n">
        <x:f>('01_INPUT'!B15*1000+'02_VAT_LIEU'!B29*'01_INPUT'!B11-'02_VAT_LIEU'!B30*'01_INPUT'!B12)/('02_VAT_LIEU'!B26*'01_INPUT'!B6)</x:f>
        <x:v>303.921568627451</x:v>
      </x:c>
      <x:c r="E14" s="25" t="str">
        <x:v>mm</x:v>
      </x:c>
      <x:c r="F14" s="25" t="str"/>
      <x:c r="G14" s="25" t="str">
        <x:v>CT (42)</x:v>
      </x:c>
    </x:row>
    <x:row r="15" ht="15" hidden="0" customHeight="1">
      <x:c r="A15" s="25" t="n">
        <x:v>12</x:v>
      </x:c>
      <x:c r="B15" s="25" t="str">
        <x:v>x</x:v>
      </x:c>
      <x:c r="C15" s="25" t="str">
        <x:v>Tự chọn CT42 hoặc CT43 theo ξR</x:v>
      </x:c>
      <x:c r="D15" s="42" t="n">
        <x:f>IF(D14/'01_INPUT'!B10&lt;='03_UON'!D6,D14,('01_INPUT'!B15*1000+'02_VAT_LIEU'!B29*'01_INPUT'!B11*(1+'03_UON'!D6)/(1-'03_UON'!D6)-'02_VAT_LIEU'!B30*'01_INPUT'!B12)/('02_VAT_LIEU'!B26*'01_INPUT'!B6+2*'02_VAT_LIEU'!B29*'01_INPUT'!B11/('01_INPUT'!B10*(1-'03_UON'!D6))))</x:f>
        <x:v>269.3693693693694</x:v>
      </x:c>
      <x:c r="E15" s="25" t="str">
        <x:v>mm</x:v>
      </x:c>
      <x:c r="F15" s="25" t="str"/>
      <x:c r="G15" s="25" t="str">
        <x:v>CT (42)/(43)</x:v>
      </x:c>
    </x:row>
    <x:row r="16" ht="15" hidden="0" customHeight="1">
      <x:c r="A16" s="25" t="n">
        <x:v>13</x:v>
      </x:c>
      <x:c r="B16" s="25" t="str">
        <x:v>N·e</x:v>
      </x:c>
      <x:c r="C16" s="25" t="str">
        <x:v>Vế trái CT40</x:v>
      </x:c>
      <x:c r="D16" s="42" t="n">
        <x:f>'01_INPUT'!B15*1000*D13/1000000</x:f>
        <x:v>426</x:v>
      </x:c>
      <x:c r="E16" s="25" t="str">
        <x:v>kN.m</x:v>
      </x:c>
      <x:c r="F16" s="25" t="str"/>
      <x:c r="G16" s="25" t="str">
        <x:v>CT (40)</x:v>
      </x:c>
    </x:row>
    <x:row r="17" ht="15" hidden="0" customHeight="1">
      <x:c r="A17" s="25" t="n">
        <x:v>14</x:v>
      </x:c>
      <x:c r="B17" s="25" t="str">
        <x:v>RHS</x:v>
      </x:c>
      <x:c r="C17" s="25" t="str">
        <x:v>Vế phải CT40</x:v>
      </x:c>
      <x:c r="D17" s="42" t="n">
        <x:f>('02_VAT_LIEU'!B26*'01_INPUT'!B6*D15*('01_INPUT'!B10-0.5*D15)+'02_VAT_LIEU'!B30*'01_INPUT'!B12*('01_INPUT'!B10-'01_INPUT'!B13))/1000000</x:f>
        <x:v>547.9750669588508</x:v>
      </x:c>
      <x:c r="E17" s="25" t="str">
        <x:v>kN.m</x:v>
      </x:c>
      <x:c r="F17" s="25" t="str"/>
      <x:c r="G17" s="25" t="str">
        <x:v>CT (40)</x:v>
      </x:c>
    </x:row>
    <x:row r="18" ht="15" hidden="0" customHeight="1">
      <x:c r="A18" s="25" t="n">
        <x:v>15</x:v>
      </x:c>
      <x:c r="B18" s="25" t="str">
        <x:v>Tỷ số</x:v>
      </x:c>
      <x:c r="C18" s="25" t="str">
        <x:v>(N·e)/RHS</x:v>
      </x:c>
      <x:c r="D18" s="42" t="n">
        <x:f>D16/D17</x:f>
        <x:v>0.7774076334607934</x:v>
      </x:c>
      <x:c r="E18" s="25" t="str">
        <x:v>-</x:v>
      </x:c>
      <x:c r="F18" s="25" t="str">
        <x:f>IF(D18&lt;=1,"ĐẠT","KHÔNG ĐẠT")</x:f>
        <x:v>ĐẠT</x:v>
      </x:c>
      <x:c r="G18" s="25" t="str">
        <x:v>CT (40)</x:v>
      </x:c>
    </x:row>
    <x:row r="19" ht="15" hidden="0" customHeight="1">
      <x:c r="A19" s="25"/>
      <x:c r="B19" s="25"/>
      <x:c r="C19" s="25"/>
      <x:c r="D19" s="25"/>
      <x:c r="E19" s="25"/>
      <x:c r="F19" s="25"/>
      <x:c r="G19" s="25"/>
    </x:row>
    <x:row r="20" ht="15" hidden="0" customHeight="1">
      <x:c r="A20" s="25"/>
      <x:c r="B20" s="25"/>
      <x:c r="C20" s="25"/>
      <x:c r="D20" s="25"/>
      <x:c r="E20" s="25"/>
      <x:c r="F20" s="25"/>
      <x:c r="G20" s="25"/>
    </x:row>
    <x:row r="21" ht="15" hidden="0" customHeight="1">
      <x:c r="A21" s="25"/>
      <x:c r="B21" s="25"/>
      <x:c r="C21" s="25"/>
      <x:c r="D21" s="25"/>
      <x:c r="E21" s="25"/>
      <x:c r="F21" s="25"/>
      <x:c r="G21" s="25"/>
    </x:row>
    <x:row r="22" ht="15" hidden="0" customHeight="1">
      <x:c r="A22" s="25"/>
      <x:c r="B22" s="25"/>
      <x:c r="C22" s="25"/>
      <x:c r="D22" s="25"/>
      <x:c r="E22" s="25"/>
      <x:c r="F22" s="25"/>
      <x:c r="G22" s="25"/>
    </x:row>
    <x:row r="23" ht="15" hidden="0" customHeight="1">
      <x:c r="A23" s="25"/>
      <x:c r="B23" s="25"/>
      <x:c r="C23" s="25"/>
      <x:c r="D23" s="25"/>
      <x:c r="E23" s="25"/>
      <x:c r="F23" s="25"/>
      <x:c r="G23" s="25"/>
    </x:row>
    <x:row r="24" ht="15" hidden="0" customHeight="1">
      <x:c r="A24" s="25"/>
      <x:c r="B24" s="25"/>
      <x:c r="C24" s="25"/>
      <x:c r="D24" s="25"/>
      <x:c r="E24" s="25"/>
      <x:c r="F24" s="25"/>
      <x:c r="G24" s="25"/>
    </x:row>
    <x:row r="25" ht="15" hidden="0" customHeight="1">
      <x:c r="A25" s="25"/>
      <x:c r="B25" s="25"/>
      <x:c r="C25" s="25"/>
      <x:c r="D25" s="25"/>
      <x:c r="E25" s="25"/>
      <x:c r="F25" s="25"/>
      <x:c r="G25" s="25"/>
    </x:row>
    <x:row r="26" ht="15" hidden="0" customHeight="1">
      <x:c r="A26" s="25"/>
      <x:c r="B26" s="25"/>
      <x:c r="C26" s="25"/>
      <x:c r="D26" s="25"/>
      <x:c r="E26" s="25"/>
      <x:c r="F26" s="25"/>
      <x:c r="G26" s="25"/>
    </x:row>
    <x:row r="27" ht="15" hidden="0" customHeight="1">
      <x:c r="A27" s="25"/>
      <x:c r="B27" s="25"/>
      <x:c r="C27" s="25"/>
      <x:c r="D27" s="25"/>
      <x:c r="E27" s="25"/>
      <x:c r="F27" s="25"/>
      <x:c r="G27" s="25"/>
    </x:row>
    <x:row r="28" ht="15" hidden="0" customHeight="1">
      <x:c r="A28" s="25"/>
      <x:c r="B28" s="25"/>
      <x:c r="C28" s="25"/>
      <x:c r="D28" s="25"/>
      <x:c r="E28" s="25"/>
      <x:c r="F28" s="25"/>
      <x:c r="G28" s="25"/>
    </x:row>
  </x:sheetData>
  <x:mergeCells>
    <x:mergeCell ref="A1:H1"/>
  </x:mergeCells>
  <x:conditionalFormatting sqref="D18:D18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{FC7529C7-E74B-EE9C-20BC-605066CE2C7A}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5c834ef828fa46aa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C7529C7-E74B-EE9C-20BC-605066CE2C7A}">
            <x14:dataBar gradient="1">
              <x14:cfvo type="min"/>
              <x14:cfvo type="max"/>
              <x14:fillColor rgb="FFA02B93"/>
            </x14:dataBar>
          </x14:cfRule>
          <xm:sqref>D18:D18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6" hidden="0" customWidth="1"/>
    <x:col min="5" max="5" width="18" hidden="0" customWidth="1"/>
    <x:col min="6" max="6" width="66" hidden="0" customWidth="1"/>
  </x:cols>
  <x:sheetData>
    <x:row r="1" ht="18" hidden="0" customHeight="1">
      <x:c r="A1" s="24" t="str">
        <x:v>05 · KẾT QUẢ TỔNG HỢP</x:v>
      </x:c>
      <x:c r="B1" s="24"/>
      <x:c r="C1" s="24"/>
      <x:c r="D1" s="24"/>
      <x:c r="E1" s="24"/>
      <x:c r="F1" s="24"/>
      <x:c r="G1" s="5"/>
      <x:c r="H1" s="5"/>
    </x:row>
    <x:row r="2" ht="15" hidden="0" customHeight="1">
      <x:c r="A2" s="25"/>
      <x:c r="B2" s="25"/>
      <x:c r="C2" s="25"/>
      <x:c r="D2" s="25"/>
      <x:c r="E2" s="25"/>
      <x:c r="F2" s="25"/>
    </x:row>
    <x:row r="3" ht="15" hidden="0" customHeight="1">
      <x:c r="A3" s="26" t="str">
        <x:v>Bài toán</x:v>
      </x:c>
      <x:c r="B3" s="26" t="str">
        <x:v>Tác động</x:v>
      </x:c>
      <x:c r="C3" s="26" t="str">
        <x:v>Sức kháng</x:v>
      </x:c>
      <x:c r="D3" s="26" t="str">
        <x:v>Tỷ số</x:v>
      </x:c>
      <x:c r="E3" s="26" t="str">
        <x:v>Kết luận</x:v>
      </x:c>
      <x:c r="F3" s="26" t="str">
        <x:v>Cách đọc</x:v>
      </x:c>
    </x:row>
    <x:row r="4" ht="15" hidden="0" customHeight="1">
      <x:c r="A4" s="25" t="str">
        <x:v>Uốn</x:v>
      </x:c>
      <x:c r="B4" s="25" t="n">
        <x:f>'01_INPUT'!B14</x:f>
        <x:v>180</x:v>
      </x:c>
      <x:c r="C4" s="25" t="n">
        <x:f>'03_UON'!D10</x:f>
        <x:v>266.2950980392157</x:v>
      </x:c>
      <x:c r="D4" s="25" t="n">
        <x:f>B4/C4</x:f>
        <x:v>0.6759418454390492</x:v>
      </x:c>
      <x:c r="E4" s="25" t="str">
        <x:f>IF(AND(D4&lt;=1,'03_UON'!D9&lt;='03_UON'!D6),"ĐẠT","KHÔNG ĐẠT")</x:f>
        <x:v>ĐẠT</x:v>
      </x:c>
      <x:c r="F4" s="25" t="str">
        <x:v>M/Mu ≤1 và ξ≤ξR → đạt nhánh uốn.</x:v>
      </x:c>
    </x:row>
    <x:row r="5" ht="15" hidden="0" customHeight="1">
      <x:c r="A5" s="25" t="str">
        <x:v>Nén lệch tâm</x:v>
      </x:c>
      <x:c r="B5" s="25" t="n">
        <x:f>'04_NEN_LECH_TAM'!D16</x:f>
        <x:v>426</x:v>
      </x:c>
      <x:c r="C5" s="25" t="n">
        <x:f>'04_NEN_LECH_TAM'!D17</x:f>
        <x:v>547.9750669588508</x:v>
      </x:c>
      <x:c r="D5" s="25" t="n">
        <x:f>B5/C5</x:f>
        <x:v>0.7774076334607934</x:v>
      </x:c>
      <x:c r="E5" s="25" t="str">
        <x:f>IF(D5&lt;=1,"ĐẠT","KHÔNG ĐẠT")</x:f>
        <x:v>ĐẠT</x:v>
      </x:c>
      <x:c r="F5" s="25" t="str">
        <x:v>N·e/RHS ≤1; nếu cột mảnh phải có đủ L0, I, Is để xét η.</x:v>
      </x:c>
    </x:row>
    <x:row r="6" ht="15" hidden="0" customHeight="1">
      <x:c r="A6" s="25"/>
      <x:c r="B6" s="25"/>
      <x:c r="C6" s="25"/>
      <x:c r="D6" s="25"/>
      <x:c r="E6" s="25"/>
      <x:c r="F6" s="25"/>
    </x:row>
    <x:row r="7" ht="15" hidden="0" customHeight="1">
      <x:c r="A7" s="25" t="str">
        <x:v>Lực cắt</x:v>
      </x:c>
      <x:c r="B7" s="25" t="n">
        <x:v>200</x:v>
      </x:c>
      <x:c r="C7" s="25" t="n">
        <x:f>'08_LUC_CAT'!B17</x:f>
        <x:v>171.328125</x:v>
      </x:c>
      <x:c r="D7" s="25" t="n">
        <x:f>'08_LUC_CAT'!B18</x:f>
        <x:v>1.1673506611947104</x:v>
      </x:c>
      <x:c r="E7" s="25" t="str">
        <x:f>'08_LUC_CAT'!F18</x:f>
        <x:v>KHÔNG ĐẠT</x:v>
      </x:c>
      <x:c r="F7" s="25" t="str">
        <x:v>Phải thỏa đồng thời CT88 và CT93.</x:v>
      </x:c>
    </x:row>
    <x:row r="8" ht="15" hidden="0" customHeight="1">
      <x:c r="A8" s="25" t="str">
        <x:v>Xoắn thuần</x:v>
      </x:c>
      <x:c r="B8" s="25" t="n">
        <x:v>50</x:v>
      </x:c>
      <x:c r="C8" s="25" t="n">
        <x:f>'09_XOAN'!B20</x:f>
        <x:v>100.17656497175142</x:v>
      </x:c>
      <x:c r="D8" s="25" t="n">
        <x:f>'09_XOAN'!B21</x:f>
        <x:v>0.65359477124183</x:v>
      </x:c>
      <x:c r="E8" s="25" t="str">
        <x:f>'09_XOAN'!F21</x:f>
        <x:v>ĐẠT</x:v>
      </x:c>
      <x:c r="F8" s="25" t="str">
        <x:v>Ngoài hệ số ≤1 còn phải thỏa tỷ số cốt thép 0,5…1,5.</x:v>
      </x:c>
    </x:row>
    <x:row r="9" ht="15" hidden="0" customHeight="1">
      <x:c r="A9" s="25" t="str">
        <x:v>Nén cục bộ</x:v>
      </x:c>
      <x:c r="B9" s="25" t="n">
        <x:v>1000</x:v>
      </x:c>
      <x:c r="C9" s="25" t="n">
        <x:f>'10_NEN_CUC_BO'!B12</x:f>
        <x:v>1088</x:v>
      </x:c>
      <x:c r="D9" s="25" t="n">
        <x:f>'10_NEN_CUC_BO'!B13</x:f>
        <x:v>0.9191176470588235</x:v>
      </x:c>
      <x:c r="E9" s="25" t="str">
        <x:f>'10_NEN_CUC_BO'!F13</x:f>
        <x:v>ĐẠT</x:v>
      </x:c>
      <x:c r="F9" s="25" t="str">
        <x:v>Nhánh không có lưới thép hạn chế biến dạng ngang.</x:v>
      </x:c>
    </x:row>
    <x:row r="10" ht="15" hidden="0" customHeight="1">
      <x:c r="A10" s="25" t="str">
        <x:v>Chọc thủng</x:v>
      </x:c>
      <x:c r="B10" s="25" t="n">
        <x:v>500</x:v>
      </x:c>
      <x:c r="C10" s="25" t="n">
        <x:f>'11_CHOC_THUNG'!B16</x:f>
        <x:v>1069</x:v>
      </x:c>
      <x:c r="D10" s="25" t="n">
        <x:f>'11_CHOC_THUNG'!B17</x:f>
        <x:v>0.4677268475210477</x:v>
      </x:c>
      <x:c r="E10" s="25" t="str">
        <x:f>'11_CHOC_THUNG'!F17</x:f>
        <x:v>ĐẠT</x:v>
      </x:c>
      <x:c r="F10" s="25" t="str">
        <x:v>Cốt ngang chỉ được kể khi đủ 0,25Fb,u và bị khống chế tổng.</x:v>
      </x:c>
    </x:row>
    <x:row r="11" ht="15" hidden="0" customHeight="1">
      <x:c r="A11" s="25"/>
      <x:c r="B11" s="25"/>
      <x:c r="C11" s="25"/>
      <x:c r="D11" s="25"/>
      <x:c r="E11" s="25"/>
      <x:c r="F11" s="25"/>
    </x:row>
    <x:row r="12" ht="15" hidden="0" customHeight="1">
      <x:c r="A12" s="25" t="str">
        <x:v>Nứt</x:v>
      </x:c>
      <x:c r="B12" s="25" t="n">
        <x:f>'12_NUT'!B31</x:f>
        <x:v>0.8485939289805269</x:v>
      </x:c>
      <x:c r="C12" s="25" t="str">
        <x:v>mm</x:v>
      </x:c>
      <x:c r="D12" s="25"/>
      <x:c r="E12" s="25" t="str">
        <x:v>THEO DÕI</x:v>
      </x:c>
      <x:c r="F12" s="25" t="str">
        <x:v>Kết quả acrc được tính, nhưng phải có acrc,u/Bảng 17 có provenance mới kết luận đạt.</x:v>
      </x:c>
    </x:row>
    <x:row r="13" ht="15" hidden="0" customHeight="1">
      <x:c r="A13" s="25" t="str">
        <x:v>Biến dạng</x:v>
      </x:c>
      <x:c r="B13" s="25" t="n">
        <x:f>'13_BIEN_DANG'!B18</x:f>
        <x:v>0.0028</x:v>
      </x:c>
      <x:c r="C13" s="25" t="str">
        <x:v>mm</x:v>
      </x:c>
      <x:c r="D13" s="25"/>
      <x:c r="E13" s="25" t="str">
        <x:v>THEO DÕI</x:v>
      </x:c>
      <x:c r="F13" s="25" t="str">
        <x:v>Kết quả f được tính; phải so với fu theo Phụ lục M/nhiệm vụ thiết kế.</x:v>
      </x:c>
    </x:row>
    <x:row r="14" ht="15" hidden="0" customHeight="1">
      <x:c r="A14" s="25" t="str">
        <x:v>Ứng suất trước</x:v>
      </x:c>
      <x:c r="B14" s="25" t="n">
        <x:f>'14_UNG_SUAT_TRUOC'!B28</x:f>
        <x:v>1.329564835164835</x:v>
      </x:c>
      <x:c r="C14" s="25" t="str">
        <x:v>kN</x:v>
      </x:c>
      <x:c r="D14" s="25"/>
      <x:c r="E14" s="25" t="str">
        <x:v>THEO DÕI</x:v>
      </x:c>
      <x:c r="F14" s="25" t="str">
        <x:v>P(2) đã tính từ hao tổn cơ bản; CT214/216 chi tiết vẫn bị khóa REVIEW.</x:v>
      </x:c>
    </x:row>
  </x:sheetData>
  <x:mergeCells>
    <x:mergeCell ref="A1:H1"/>
  </x:mergeCells>
  <x:conditionalFormatting sqref="D4:D5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{6CBB6D5F-3822-A150-9255-D0F774DDD2C4}</x14:id>
        </x:ext>
      </x:extLst>
    </x:cfRule>
  </x:conditionalFormatting>
  <x:conditionalFormatting sqref="E4:E5">
    <x:cfRule type="expression" dxfId="0" priority="2">
      <x:formula>E4="KHÔNG ĐẠT"</x:formula>
    </x:cfRule>
    <x:cfRule type="expression" dxfId="1" priority="3">
      <x:formula>E4="ĐẠT"</x:formula>
    </x:cfRule>
  </x:conditionalFormatting>
  <x:conditionalFormatting sqref="D7:D10">
    <x:cfRule type="dataBar" priority="4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{DE938A77-8E3A-C92E-BCD8-15872118AFED}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CBB6D5F-3822-A150-9255-D0F774DDD2C4}">
            <x14:dataBar gradient="1">
              <x14:cfvo type="min"/>
              <x14:cfvo type="max"/>
              <x14:fillColor rgb="FFA02B93"/>
            </x14:dataBar>
          </x14:cfRule>
          <xm:sqref>D4:D5</xm:sqref>
        </x14:conditionalFormatting>
        <x14:conditionalFormatting>
          <x14:cfRule type="dataBar" priority="4" id="{DE938A77-8E3A-C92E-BCD8-15872118AFED}">
            <x14:dataBar gradient="1">
              <x14:cfvo type="min"/>
              <x14:cfvo type="max"/>
              <x14:fillColor rgb="FFA02B93"/>
            </x14:dataBar>
          </x14:cfRule>
          <xm:sqref>D7:D10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52" hidden="0" customWidth="1"/>
    <x:col min="3" max="3" width="62" hidden="0" customWidth="1"/>
    <x:col min="4" max="4" width="64" hidden="0" customWidth="1"/>
  </x:cols>
  <x:sheetData>
    <x:row r="1" ht="18" hidden="0" customHeight="1">
      <x:c r="A1" s="24" t="str">
        <x:v>06 · THUYẾT MINH – ĐỌC LÀ HIỂU CÁCH TÍNH</x:v>
      </x:c>
      <x:c r="B1" s="24"/>
      <x:c r="C1" s="24"/>
      <x:c r="D1" s="24"/>
      <x:c r="E1" s="5"/>
      <x:c r="F1" s="5"/>
      <x:c r="G1" s="5"/>
      <x:c r="H1" s="5"/>
    </x:row>
    <x:row r="2" ht="15" hidden="0" customHeight="1">
      <x:c r="A2" s="25"/>
      <x:c r="B2" s="25"/>
      <x:c r="C2" s="25"/>
      <x:c r="D2" s="25"/>
    </x:row>
    <x:row r="3" ht="15" hidden="0" customHeight="1">
      <x:c r="A3" s="26" t="str">
        <x:v>Bước</x:v>
      </x:c>
      <x:c r="B3" s="26" t="str">
        <x:v>Bạn đang làm gì?</x:v>
      </x:c>
      <x:c r="C3" s="26" t="str">
        <x:v>Vì sao phải làm?</x:v>
      </x:c>
      <x:c r="D3" s="26" t="str">
        <x:v>Cách tự kiểm tra</x:v>
      </x:c>
    </x:row>
    <x:row r="4" ht="15" hidden="0" customHeight="1">
      <x:c r="A4" s="25" t="n">
        <x:v>1</x:v>
      </x:c>
      <x:c r="B4" s="25" t="str">
        <x:v>Chọn cấp bê tông và thép.</x:v>
      </x:c>
      <x:c r="C4" s="25" t="str">
        <x:v>Mọi công thức sức kháng cần cường độ vật liệu đúng tiêu chuẩn.</x:v>
      </x:c>
      <x:c r="D4" s="25" t="str">
        <x:v>Đổi B30/CB400-V ở 01_INPUT, xem 02_VAT_LIEU tự đổi Rb, Rbt, Eb, Rs, Rsc, Rsw.</x:v>
      </x:c>
    </x:row>
    <x:row r="5" ht="15" hidden="0" customHeight="1">
      <x:c r="A5" s="25" t="n">
        <x:v>2</x:v>
      </x:c>
      <x:c r="B5" s="25" t="str">
        <x:v>Tính εs,el và ξR.</x:v>
      </x:c>
      <x:c r="C5" s="25" t="str">
        <x:v>ξR xác định giới hạn sử dụng nhánh biểu đồ ứng suất của tiết diện.</x:v>
      </x:c>
      <x:c r="D5" s="25" t="str">
        <x:v>Kiểm 03_UON: ξ phải không vượt ξR.</x:v>
      </x:c>
    </x:row>
    <x:row r="6" ht="26.399999618530273" hidden="0" customHeight="1">
      <x:c r="A6" s="25" t="n">
        <x:v>3</x:v>
      </x:c>
      <x:c r="B6" s="25" t="str">
        <x:v>Xác định vùng nén của tiết diện T/I.</x:v>
      </x:c>
      <x:c r="C6" s="25" t="str">
        <x:v>Nếu vùng nén chỉ nằm trong cánh thì cách tính giống tiết diện chữ nhật với b=bf'; nếu xuống sườn dùng CT37–38.</x:v>
      </x:c>
      <x:c r="D6" s="25" t="str">
        <x:v>Ô “Cánh?” =1 nghĩa là vùng nén trong cánh.</x:v>
      </x:c>
    </x:row>
    <x:row r="7" ht="26.399999618530273" hidden="0" customHeight="1">
      <x:c r="A7" s="25" t="n">
        <x:v>4</x:v>
      </x:c>
      <x:c r="B7" s="25" t="str">
        <x:v>Tính x từ cân bằng lực.</x:v>
      </x:c>
      <x:c r="C7" s="25" t="str">
        <x:v>x là chiều cao vùng bê tông chịu nén; đây là biến trung gian quan trọng nhất khi tính uốn.</x:v>
      </x:c>
      <x:c r="D7" s="25" t="str">
        <x:v>Kiểm x&gt;0 và ξ=x/h0 nằm trong miền áp dụng.</x:v>
      </x:c>
    </x:row>
    <x:row r="8" ht="15" hidden="0" customHeight="1">
      <x:c r="A8" s="25" t="n">
        <x:v>5</x:v>
      </x:c>
      <x:c r="B8" s="25" t="str">
        <x:v>Tính Mu.</x:v>
      </x:c>
      <x:c r="C8" s="25" t="str">
        <x:v>Mu là mô men giới hạn mà tiết diện có thể chịu trong nhánh đang xét.</x:v>
      </x:c>
      <x:c r="D8" s="25" t="str">
        <x:v>So sánh M/Mu; ≤1 là đạt.</x:v>
      </x:c>
    </x:row>
    <x:row r="9" ht="26.399999618530273" hidden="0" customHeight="1">
      <x:c r="A9" s="25" t="n">
        <x:v>6</x:v>
      </x:c>
      <x:c r="B9" s="25" t="str">
        <x:v>Với cột, tính ea và e0.</x:v>
      </x:c>
      <x:c r="C9" s="25" t="str">
        <x:v>Tiêu chuẩn bắt buộc xét độ lệch tâm ngẫu nhiên; hệ tĩnh định và siêu tĩnh xử lý khác nhau.</x:v>
      </x:c>
      <x:c r="D9" s="25" t="str">
        <x:v>ea=max(L/600,h/30,10 mm).</x:v>
      </x:c>
    </x:row>
    <x:row r="10" ht="15" hidden="0" customHeight="1">
      <x:c r="A10" s="25" t="n">
        <x:v>7</x:v>
      </x:c>
      <x:c r="B10" s="25" t="str">
        <x:v>Nếu cột mảnh, tính Ncr và η.</x:v>
      </x:c>
      <x:c r="C10" s="25" t="str">
        <x:v>Lực nén làm tăng mô men do hiệu ứng bậc hai.</x:v>
      </x:c>
      <x:c r="D10" s="25" t="str">
        <x:v>Phải có L0, I, Is; kiểm N&lt;Ncr. Nếu thiếu, workbook để η=1 và cảnh báo.</x:v>
      </x:c>
    </x:row>
    <x:row r="11" ht="15" hidden="0" customHeight="1">
      <x:c r="A11" s="25" t="n">
        <x:v>8</x:v>
      </x:c>
      <x:c r="B11" s="25" t="str">
        <x:v>Tính x cho nén lệch tâm.</x:v>
      </x:c>
      <x:c r="C11" s="25" t="str">
        <x:v>Excel thử CT42; nếu ξ vượt ξR sẽ tự dùng CT43.</x:v>
      </x:c>
      <x:c r="D11" s="25" t="str">
        <x:v>Xem dòng x42 và x ở 04_NEN_LECH_TAM.</x:v>
      </x:c>
    </x:row>
    <x:row r="12" ht="15" hidden="0" customHeight="1">
      <x:c r="A12" s="25" t="n">
        <x:v>9</x:v>
      </x:c>
      <x:c r="B12" s="25" t="str">
        <x:v>Kiểm CT40.</x:v>
      </x:c>
      <x:c r="C12" s="25" t="str">
        <x:v>So sánh tác động N·e với sức kháng tiết diện.</x:v>
      </x:c>
      <x:c r="D12" s="25" t="str">
        <x:v>Tỷ số ≤1 → đạt.</x:v>
      </x:c>
    </x:row>
    <x:row r="13" ht="15" hidden="0" customHeight="1">
      <x:c r="A13" s="25" t="n">
        <x:v>10</x:v>
      </x:c>
      <x:c r="B13" s="25" t="str">
        <x:v>Đọc nguồn trước khi phát hành.</x:v>
      </x:c>
      <x:c r="C13" s="25" t="str">
        <x:v>Một kết quả kỹ thuật chỉ có ý nghĩa khi giả thiết và miền áp dụng đúng.</x:v>
      </x:c>
      <x:c r="D13" s="25" t="str">
        <x:v>Xem 07_NGUON; phần chưa Verified không được dùng để tự tính.</x:v>
      </x:c>
    </x:row>
    <x:row r="14" ht="15" hidden="0" customHeight="1">
      <x:c r="A14" s="25"/>
      <x:c r="B14" s="25"/>
      <x:c r="C14" s="25"/>
      <x:c r="D14" s="25"/>
    </x:row>
    <x:row r="15" ht="15" hidden="0" customHeight="1">
      <x:c r="A15" s="25" t="str">
        <x:v>Cắt</x:v>
      </x:c>
      <x:c r="B15" s="25" t="str">
        <x:v>Kiểm CT88 trước, rồi CT93 = Qb,1+Qsw,1.</x:v>
      </x:c>
      <x:c r="C15" s="25" t="str">
        <x:v>Tách sức kháng bê tông/cốt đai để thấy phần nào khống chế.</x:v>
      </x:c>
      <x:c r="D15" s="25" t="str">
        <x:v>Nếu qsw&lt;0,25Rbt·b thì nhánh này không kể cốt đai.</x:v>
      </x:c>
    </x:row>
    <x:row r="16" ht="15" hidden="0" customHeight="1">
      <x:c r="A16" s="25" t="str">
        <x:v>Xoắn</x:v>
      </x:c>
      <x:c r="B16" s="25" t="str">
        <x:v>Kiểm CT102 và nhánh CT111.</x:v>
      </x:c>
      <x:c r="C16" s="25" t="str">
        <x:v>Phải kiểm thêm cân đối cốt dọc/cốt ngang.</x:v>
      </x:c>
      <x:c r="D16" s="25" t="str">
        <x:v>Tỷ số qsw,1·Z1/(RsAs1) phải 0,5…1,5.</x:v>
      </x:c>
    </x:row>
    <x:row r="17" ht="15" hidden="0" customHeight="1">
      <x:c r="A17" s="25" t="str">
        <x:v>Nén cục bộ</x:v>
      </x:c>
      <x:c r="B17" s="25" t="str">
        <x:v>Tính φb từ tỷ số diện tích rồi Rb,loc và Nu.</x:v>
      </x:c>
      <x:c r="C17" s="25" t="str">
        <x:v>Lan truyền tải làm thay đổi cường độ cục bộ.</x:v>
      </x:c>
      <x:c r="D17" s="25" t="str">
        <x:v>Nhánh này chỉ cho trường hợp không có lưới thép.</x:v>
      </x:c>
    </x:row>
    <x:row r="18" ht="15" hidden="0" customHeight="1">
      <x:c r="A18" s="25" t="str">
        <x:v>Chọc thủng</x:v>
      </x:c>
      <x:c r="B18" s="25" t="str">
        <x:v>Tính Ab, Fb,u, rồi xét Fsw,u nếu có cốt ngang.</x:v>
      </x:c>
      <x:c r="C18" s="25" t="str">
        <x:v>Cốt ngang chỉ có hiệu quả khi đạt mức tối thiểu và bị giới hạn.</x:v>
      </x:c>
      <x:c r="D18" s="25" t="str">
        <x:v>Kiểm F/Fu≤1; mô men tập trung chưa thuộc pass này.</x:v>
      </x:c>
    </x:row>
    <x:row r="19" ht="15" hidden="0" customHeight="1">
      <x:c r="A19" s="25"/>
      <x:c r="B19" s="25"/>
      <x:c r="C19" s="25"/>
      <x:c r="D19" s="25"/>
    </x:row>
    <x:row r="20" ht="15" hidden="0" customHeight="1">
      <x:c r="A20" s="25"/>
      <x:c r="B20" s="25"/>
      <x:c r="C20" s="25"/>
      <x:c r="D20" s="25"/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0" hidden="0" customWidth="1"/>
    <x:col min="3" max="3" width="16" hidden="0" customWidth="1"/>
    <x:col min="4" max="4" width="16" hidden="0" customWidth="1"/>
    <x:col min="5" max="5" width="18" hidden="0" customWidth="1"/>
    <x:col min="6" max="6" width="42" hidden="0" customWidth="1"/>
    <x:col min="7" max="7" width="62" hidden="0" customWidth="1"/>
  </x:cols>
  <x:sheetData>
    <x:row r="1" ht="18" hidden="0" customHeight="1">
      <x:c r="A1" s="24" t="str">
        <x:v>07 · NGUỒN / PROVENANCE</x:v>
      </x:c>
      <x:c r="B1" s="24"/>
      <x:c r="C1" s="24"/>
      <x:c r="D1" s="24"/>
      <x:c r="E1" s="24"/>
      <x:c r="F1" s="24"/>
      <x:c r="G1" s="24"/>
      <x:c r="H1" s="5"/>
    </x:row>
    <x:row r="2" ht="15" hidden="0" customHeight="1">
      <x:c r="A2" s="25"/>
      <x:c r="B2" s="25"/>
      <x:c r="C2" s="25"/>
      <x:c r="D2" s="25"/>
      <x:c r="E2" s="25"/>
      <x:c r="F2" s="25"/>
      <x:c r="G2" s="25"/>
    </x:row>
    <x:row r="3" ht="15" hidden="0" customHeight="1">
      <x:c r="A3" s="26" t="str">
        <x:v>Nhóm</x:v>
      </x:c>
      <x:c r="B3" s="26" t="str">
        <x:v>Điều/Bảng/Công thức</x:v>
      </x:c>
      <x:c r="C3" s="26" t="str">
        <x:v>Trang chuẩn</x:v>
      </x:c>
      <x:c r="D3" s="26" t="str">
        <x:v>Trang PDF</x:v>
      </x:c>
      <x:c r="E3" s="26" t="str">
        <x:v>Trạng thái</x:v>
      </x:c>
      <x:c r="F3" s="26" t="str">
        <x:v>Dùng cho</x:v>
      </x:c>
      <x:c r="G3" s="26" t="str">
        <x:v>Ghi chú</x:v>
      </x:c>
    </x:row>
    <x:row r="4" ht="15" hidden="0" customHeight="1">
      <x:c r="A4" s="25" t="str">
        <x:v>Bê tông</x:v>
      </x:c>
      <x:c r="B4" s="25" t="str">
        <x:v>Bảng 7</x:v>
      </x:c>
      <x:c r="C4" s="25" t="str">
        <x:v>35</x:v>
      </x:c>
      <x:c r="D4" s="25" t="str">
        <x:v>33</x:v>
      </x:c>
      <x:c r="E4" s="25" t="str">
        <x:v>VERIFIED</x:v>
      </x:c>
      <x:c r="F4" s="25" t="str">
        <x:v>Rb, Rbt</x:v>
      </x:c>
      <x:c r="G4" s="25" t="str">
        <x:v>B30: Rb=17 MPa; Rbt=1,15 MPa</x:v>
      </x:c>
    </x:row>
    <x:row r="5" ht="15" hidden="0" customHeight="1">
      <x:c r="A5" s="25" t="str">
        <x:v>Bê tông</x:v>
      </x:c>
      <x:c r="B5" s="25" t="str">
        <x:v>Bảng 10</x:v>
      </x:c>
      <x:c r="C5" s="25" t="str">
        <x:v>38</x:v>
      </x:c>
      <x:c r="D5" s="25" t="str">
        <x:v>36</x:v>
      </x:c>
      <x:c r="E5" s="25" t="str">
        <x:v>VERIFIED</x:v>
      </x:c>
      <x:c r="F5" s="25" t="str">
        <x:v>Eb</x:v>
      </x:c>
      <x:c r="G5" s="25" t="str">
        <x:v>B30: Eb=32 500 MPa</x:v>
      </x:c>
    </x:row>
    <x:row r="6" ht="15" hidden="0" customHeight="1">
      <x:c r="A6" s="25" t="str">
        <x:v>Thép</x:v>
      </x:c>
      <x:c r="B6" s="25" t="str">
        <x:v>Bảng 13/14</x:v>
      </x:c>
      <x:c r="C6" s="25" t="str">
        <x:v>47/48</x:v>
      </x:c>
      <x:c r="D6" s="25" t="str">
        <x:v>45/46</x:v>
      </x:c>
      <x:c r="E6" s="25" t="str">
        <x:v>VERIFIED</x:v>
      </x:c>
      <x:c r="F6" s="25" t="str">
        <x:v>Rs, Rsc, Rsw</x:v>
      </x:c>
      <x:c r="G6" s="25" t="str">
        <x:v>CB400-V: 350/350/280 MPa</x:v>
      </x:c>
    </x:row>
    <x:row r="7" ht="15" hidden="0" customHeight="1">
      <x:c r="A7" s="25" t="str">
        <x:v>Thép</x:v>
      </x:c>
      <x:c r="B7" s="25" t="str">
        <x:v>6.2.3.3</x:v>
      </x:c>
      <x:c r="C7" s="25" t="str">
        <x:v>48</x:v>
      </x:c>
      <x:c r="D7" s="25" t="str">
        <x:v>46</x:v>
      </x:c>
      <x:c r="E7" s="25" t="str">
        <x:v>VERIFIED</x:v>
      </x:c>
      <x:c r="F7" s="25" t="str">
        <x:v>Es</x:v>
      </x:c>
      <x:c r="G7" s="25" t="str">
        <x:v>Thép thanh: Es=2,0×10^5 MPa</x:v>
      </x:c>
    </x:row>
    <x:row r="8" ht="15" hidden="0" customHeight="1">
      <x:c r="A8" s="25" t="str">
        <x:v>Bê tông</x:v>
      </x:c>
      <x:c r="B8" s="25" t="str">
        <x:v>6.1.4.2</x:v>
      </x:c>
      <x:c r="C8" s="25" t="str">
        <x:v>40–41</x:v>
      </x:c>
      <x:c r="D8" s="25" t="str">
        <x:v>38–39</x:v>
      </x:c>
      <x:c r="E8" s="25" t="str">
        <x:v>VERIFIED</x:v>
      </x:c>
      <x:c r="F8" s="25" t="str">
        <x:v>εb2</x:v>
      </x:c>
      <x:c r="G8" s="25" t="str">
        <x:v>B60 trở xuống 0,0035; B70→B100: 0,0033→0,0028 nội suy tuyến tính</x:v>
      </x:c>
    </x:row>
    <x:row r="9" ht="15" hidden="0" customHeight="1">
      <x:c r="A9" s="25" t="str">
        <x:v>Uốn</x:v>
      </x:c>
      <x:c r="B9" s="25" t="str">
        <x:v>8.1.2.2.3; CT31–32</x:v>
      </x:c>
      <x:c r="C9" s="25" t="str">
        <x:v>56</x:v>
      </x:c>
      <x:c r="D9" s="25" t="str">
        <x:v>54</x:v>
      </x:c>
      <x:c r="E9" s="25" t="str">
        <x:v>VERIFIED</x:v>
      </x:c>
      <x:c r="F9" s="25" t="str">
        <x:v>ξR</x:v>
      </x:c>
      <x:c r="G9" s="25" t="str">
        <x:v>B70–B100 dùng tử số 0,7; các trường hợp thường dùng 0,8</x:v>
      </x:c>
    </x:row>
    <x:row r="10" ht="15" hidden="0" customHeight="1">
      <x:c r="A10" s="25" t="str">
        <x:v>Uốn</x:v>
      </x:c>
      <x:c r="B10" s="25" t="str">
        <x:v>8.1.2.3; CT33–38</x:v>
      </x:c>
      <x:c r="C10" s="25" t="str">
        <x:v>57–58</x:v>
      </x:c>
      <x:c r="D10" s="25" t="str">
        <x:v>55–56</x:v>
      </x:c>
      <x:c r="E10" s="25" t="str">
        <x:v>VERIFIED</x:v>
      </x:c>
      <x:c r="F10" s="25" t="str">
        <x:v>Uốn chữ nhật/T/I</x:v>
      </x:c>
      <x:c r="G10" s="25" t="str"/>
    </x:row>
    <x:row r="11" ht="15" hidden="0" customHeight="1">
      <x:c r="A11" s="25" t="str">
        <x:v>Nén lệch tâm</x:v>
      </x:c>
      <x:c r="B11" s="25" t="str">
        <x:v>8.1.2.2.4; 8.1.2.4; CT40–48</x:v>
      </x:c>
      <x:c r="C11" s="25" t="str">
        <x:v>56–61</x:v>
      </x:c>
      <x:c r="D11" s="25" t="str">
        <x:v>54–59</x:v>
      </x:c>
      <x:c r="E11" s="25" t="str">
        <x:v>VERIFIED</x:v>
      </x:c>
      <x:c r="F11" s="25" t="str">
        <x:v>ea, e0, η, Ncr, x, kiểm CT40</x:v>
      </x:c>
      <x:c r="G11" s="25" t="str">
        <x:v>Bảng 16/CT49–50 để pass riêng cho nén gần đúng tâm</x:v>
      </x:c>
    </x:row>
    <x:row r="12" ht="15" hidden="0" customHeight="1">
      <x:c r="A12" s="25" t="str">
        <x:v>Cắt</x:v>
      </x:c>
      <x:c r="B12" s="25" t="str">
        <x:v>8.1.3.2–3; CT88,92–96</x:v>
      </x:c>
      <x:c r="C12" s="25" t="str">
        <x:v>69–72</x:v>
      </x:c>
      <x:c r="D12" s="25" t="str">
        <x:v>67–70</x:v>
      </x:c>
      <x:c r="E12" s="25" t="str">
        <x:v>VERIFIED</x:v>
      </x:c>
      <x:c r="F12" s="25" t="str">
        <x:v>Nhánh cắt hiện hành</x:v>
      </x:c>
      <x:c r="G12" s="25" t="str">
        <x:v>Các nhánh phức tạp ngoài route vẫn REVIEW.</x:v>
      </x:c>
    </x:row>
    <x:row r="13" ht="15" hidden="0" customHeight="1">
      <x:c r="A13" s="25" t="str">
        <x:v>Xoắn</x:v>
      </x:c>
      <x:c r="B13" s="25" t="str">
        <x:v>8.1.4.2; CT102,107,109,111–113</x:v>
      </x:c>
      <x:c r="C13" s="25" t="str">
        <x:v>75–77</x:v>
      </x:c>
      <x:c r="D13" s="25" t="str">
        <x:v>73–75</x:v>
      </x:c>
      <x:c r="E13" s="25" t="str">
        <x:v>VERIFIED</x:v>
      </x:c>
      <x:c r="F13" s="25" t="str">
        <x:v>Xoắn thuần</x:v>
      </x:c>
      <x:c r="G13" s="25" t="str">
        <x:v>Xoắn kết hợp uốn/cắt vẫn REVIEW.</x:v>
      </x:c>
    </x:row>
    <x:row r="14" ht="15" hidden="0" customHeight="1">
      <x:c r="A14" s="25" t="str">
        <x:v>Nén cục bộ</x:v>
      </x:c>
      <x:c r="B14" s="25" t="str">
        <x:v>8.1.5.2; CT116–118</x:v>
      </x:c>
      <x:c r="C14" s="25" t="str">
        <x:v>80</x:v>
      </x:c>
      <x:c r="D14" s="25" t="str">
        <x:v>78</x:v>
      </x:c>
      <x:c r="E14" s="25" t="str">
        <x:v>VERIFIED</x:v>
      </x:c>
      <x:c r="F14" s="25" t="str">
        <x:v>Không lưới thép</x:v>
      </x:c>
      <x:c r="G14" s="25" t="str">
        <x:v>CT119–122 có lưới thép vẫn REVIEW.</x:v>
      </x:c>
    </x:row>
    <x:row r="15" ht="15" hidden="0" customHeight="1">
      <x:c r="A15" s="25" t="str">
        <x:v>Chọc thủng</x:v>
      </x:c>
      <x:c r="B15" s="25" t="str">
        <x:v>8.1.6.2; CT123–128</x:v>
      </x:c>
      <x:c r="C15" s="25" t="str">
        <x:v>86–88</x:v>
      </x:c>
      <x:c r="D15" s="25" t="str">
        <x:v>84–86</x:v>
      </x:c>
      <x:c r="E15" s="25" t="str">
        <x:v>VERIFIED</x:v>
      </x:c>
      <x:c r="F15" s="25" t="str">
        <x:v>Lực tập trung</x:v>
      </x:c>
      <x:c r="G15" s="25" t="str">
        <x:v>Nhánh có mô men tập trung từ CT129 trở đi vẫn REVIEW.</x:v>
      </x:c>
    </x:row>
    <x:row r="16" ht="15" hidden="0" customHeight="1">
      <x:c r="A16" s="25" t="str">
        <x:v>Giới hạn pass 1</x:v>
      </x:c>
      <x:c r="B16" s="25" t="str">
        <x:v>Các module sâu còn lại</x:v>
      </x:c>
      <x:c r="C16" s="25" t="str"/>
      <x:c r="D16" s="25" t="str"/>
      <x:c r="E16" s="25" t="str">
        <x:v>REVIEW</x:v>
      </x:c>
      <x:c r="F16" s="25" t="str">
        <x:v>Nứt, biến dạng, ứng suất trước, neo/nối, tròn/vành khuyên, công xôn ngắn, phụ lục</x:v>
      </x:c>
      <x:c r="G16" s="25" t="str">
        <x:v>Không tự tính cho tới khi benchmark.</x:v>
      </x:c>
    </x:row>
    <x:row r="17" ht="15" hidden="0" customHeight="1">
      <x:c r="A17" s="25" t="str">
        <x:v>Nứt</x:v>
      </x:c>
      <x:c r="B17" s="25" t="str">
        <x:v>8.2.2; CT158–176</x:v>
      </x:c>
      <x:c r="C17" s="25" t="str">
        <x:v>99–105</x:v>
      </x:c>
      <x:c r="D17" s="25" t="str">
        <x:v>97–103</x:v>
      </x:c>
      <x:c r="E17" s="25" t="str">
        <x:v>VERIFIED</x:v>
      </x:c>
      <x:c r="F17" s="25" t="str">
        <x:v>Uốn chữ nhật</x:v>
      </x:c>
      <x:c r="G17" s="25" t="str">
        <x:v>Rbt,ser bắt buộc INPUT có provenance; Rs,ser/acrc,u/Bảng 17 tiếp tục được safety-gate tới khi số hóa đủ bảng SLS.</x:v>
      </x:c>
    </x:row>
    <x:row r="18" ht="15" hidden="0" customHeight="1">
      <x:c r="A18" s="25" t="str">
        <x:v>Biến dạng</x:v>
      </x:c>
      <x:c r="B18" s="25" t="str">
        <x:v>8.2.3; CT177–180,187–189; Bảng 11</x:v>
      </x:c>
      <x:c r="C18" s="25" t="str">
        <x:v>105–110</x:v>
      </x:c>
      <x:c r="D18" s="25" t="str">
        <x:v>103–108</x:v>
      </x:c>
      <x:c r="E18" s="25" t="str">
        <x:v>VERIFIED</x:v>
      </x:c>
      <x:c r="F18" s="25" t="str">
        <x:v>Không nứt, tiết diện không đổi</x:v>
      </x:c>
      <x:c r="G18" s="25" t="str">
        <x:v>L/h&lt;10 phải cộng trượt; có nứt phải dùng độ cứng nhánh nứt.</x:v>
      </x:c>
    </x:row>
    <x:row r="19" ht="15" hidden="0" customHeight="1">
      <x:c r="A19" s="25" t="str">
        <x:v>Ứng suất trước</x:v>
      </x:c>
      <x:c r="B19" s="25" t="str">
        <x:v>9.1; CT207–220</x:v>
      </x:c>
      <x:c r="C19" s="25" t="str">
        <x:v>116–120</x:v>
      </x:c>
      <x:c r="D19" s="25" t="str">
        <x:v>114–118</x:v>
      </x:c>
      <x:c r="E19" s="25" t="str">
        <x:v>VERIFIED</x:v>
      </x:c>
      <x:c r="F19" s="25" t="str">
        <x:v>Hao tổn cơ bản</x:v>
      </x:c>
      <x:c r="G19" s="25" t="str">
        <x:v>CT214 ma sát + CT216 từ biến chi tiết: REVIEW.</x:v>
      </x:c>
    </x:row>
    <x:row r="20" ht="15" hidden="0" customHeight="1">
      <x:c r="A20" s="25" t="str">
        <x:v>Giới hạn Pass 2</x:v>
      </x:c>
      <x:c r="B20" s="25" t="str">
        <x:v>Neo/nối, tròn/vành khuyên, công xôn ngắn, Phụ lục sâu</x:v>
      </x:c>
      <x:c r="C20" s="25" t="str"/>
      <x:c r="D20" s="25" t="str"/>
      <x:c r="E20" s="25" t="str">
        <x:v>REVIEW</x:v>
      </x:c>
      <x:c r="F20" s="25" t="str">
        <x:v>Không tự tính</x:v>
      </x:c>
      <x:c r="G20" s="25" t="str">
        <x:v>Pass tiếp theo.</x:v>
      </x:c>
    </x:row>
    <x:row r="21">
      <x:c r="A21" t="str">
        <x:v>Neo</x:v>
      </x:c>
      <x:c r="B21" t="str">
        <x:v>10.3.5 · CT255–258</x:v>
      </x:c>
      <x:c r="C21" t="n">
        <x:v>139</x:v>
      </x:c>
      <x:c r="D21" t="n">
        <x:v>137</x:v>
      </x:c>
      <x:c r="E21" t="str">
        <x:v>VERIFIED</x:v>
      </x:c>
      <x:c r="F21" t="str">
        <x:v>Rbond/L0,an/Lan/Ns</x:v>
      </x:c>
      <x:c r="G21" t="str">
        <x:v>α neo phải có căn cứ.</x:v>
      </x:c>
    </x:row>
    <x:row r="22">
      <x:c r="A22" t="str">
        <x:v>Nối</x:v>
      </x:c>
      <x:c r="B22" t="str">
        <x:v>10.3.6 · CT259</x:v>
      </x:c>
      <x:c r="C22" t="n">
        <x:v>141</x:v>
      </x:c>
      <x:c r="D22" t="n">
        <x:v>139</x:v>
      </x:c>
      <x:c r="E22" t="str">
        <x:v>VERIFIED</x:v>
      </x:c>
      <x:c r="F22" t="str">
        <x:v>Llap</x:v>
      </x:c>
      <x:c r="G22" t="str">
        <x:v>d≤40; α thông thường 1,2 kéo / 0,9 nén.</x:v>
      </x:c>
    </x:row>
    <x:row r="23">
      <x:c r="A23" t="str">
        <x:v>Phụ lục F</x:v>
      </x:c>
      <x:c r="B23" t="str">
        <x:v>F.1–F.10</x:v>
      </x:c>
      <x:c r="C23" t="n">
        <x:v>166</x:v>
      </x:c>
      <x:c r="D23" t="n">
        <x:v>164</x:v>
      </x:c>
      <x:c r="E23" t="str">
        <x:v>VERIFIED</x:v>
      </x:c>
      <x:c r="F23" t="str">
        <x:v>Cột vành khuyên/tròn</x:v>
      </x:c>
      <x:c r="G23" t="str">
        <x:v>M phải kể uốn dọc; ≥7 thanh phân bố đều.</x:v>
      </x:c>
    </x:row>
    <x:row r="24">
      <x:c r="A24" t="str">
        <x:v>Phụ lục G</x:v>
      </x:c>
      <x:c r="B24" t="str">
        <x:v>G.1–G.3</x:v>
      </x:c>
      <x:c r="C24" t="n">
        <x:v>169</x:v>
      </x:c>
      <x:c r="D24" t="n">
        <x:v>167</x:v>
      </x:c>
      <x:c r="E24" t="str">
        <x:v>VERIFIED</x:v>
      </x:c>
      <x:c r="F24" t="str">
        <x:v>Chốt bê tông</x:v>
      </x:c>
      <x:c r="G24" t="str">
        <x:v>G.3 dùng Q−0,7N; giảm hk không quá 2 lần.</x:v>
      </x:c>
    </x:row>
    <x:row r="25">
      <x:c r="A25" t="str">
        <x:v>Phụ lục H</x:v>
      </x:c>
      <x:c r="B25" t="str">
        <x:v>H.1</x:v>
      </x:c>
      <x:c r="C25" t="n">
        <x:v>171</x:v>
      </x:c>
      <x:c r="D25" t="n">
        <x:v>169</x:v>
      </x:c>
      <x:c r="E25" t="str">
        <x:v>VERIFIED BRANCH</x:v>
      </x:c>
      <x:c r="F25" t="str">
        <x:v>Công xôn ngắn</x:v>
      </x:c>
      <x:c r="G25" t="str">
        <x:v>L1/h0≤0,9; kiểm thêm Rb,loc/cấu tạo.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3" hidden="0" customWidth="1"/>
    <x:col min="4" max="4" width="48" hidden="0" customWidth="1"/>
    <x:col min="5" max="5" width="46" hidden="0" customWidth="1"/>
    <x:col min="6" max="6" width="20" hidden="0" customWidth="1"/>
    <x:col min="7" max="7" width="24" hidden="0" customWidth="1"/>
  </x:cols>
  <x:sheetData>
    <x:row r="1">
      <x:c r="A1" s="55" t="str">
        <x:v>08 · LỰC CẮT – CT (88), (92)–(96)</x:v>
      </x:c>
      <x:c r="B1" s="55"/>
      <x:c r="C1" s="55"/>
      <x:c r="D1" s="55"/>
      <x:c r="E1" s="55"/>
      <x:c r="F1" s="55"/>
      <x:c r="G1" s="55"/>
    </x:row>
    <x:row r="2">
      <x:c r="A2" s="25"/>
      <x:c r="B2" s="25"/>
      <x:c r="C2" s="25"/>
      <x:c r="D2" s="25"/>
      <x:c r="E2" s="25"/>
      <x:c r="F2" s="25"/>
      <x:c r="G2" s="25"/>
    </x:row>
    <x:row r="3">
      <x:c r="A3" s="56" t="str">
        <x:v>Thông số/Bước</x:v>
      </x:c>
      <x:c r="B3" s="56" t="str">
        <x:v>Giá trị</x:v>
      </x:c>
      <x:c r="C3" s="56" t="str">
        <x:v>Đơn vị</x:v>
      </x:c>
      <x:c r="D3" s="56" t="str">
        <x:v>Diễn giải</x:v>
      </x:c>
      <x:c r="E3" s="56" t="str">
        <x:v>Công thức</x:v>
      </x:c>
      <x:c r="F3" s="56" t="str">
        <x:v>Kiểm tra</x:v>
      </x:c>
      <x:c r="G3" s="56" t="str">
        <x:v>Nguồn</x:v>
      </x:c>
    </x:row>
    <x:row r="4">
      <x:c r="A4" s="25" t="str">
        <x:v>b</x:v>
      </x:c>
      <x:c r="B4" s="57" t="n">
        <x:v>300</x:v>
      </x:c>
      <x:c r="C4" s="25" t="str">
        <x:v>mm</x:v>
      </x:c>
      <x:c r="D4" s="25" t="str">
        <x:v>Bề rộng tiết diện</x:v>
      </x:c>
      <x:c r="E4" s="25" t="str">
        <x:v>INPUT</x:v>
      </x:c>
      <x:c r="F4" s="25" t="str"/>
      <x:c r="G4" s="25" t="str"/>
    </x:row>
    <x:row r="5">
      <x:c r="A5" s="25" t="str">
        <x:v>h0</x:v>
      </x:c>
      <x:c r="B5" s="57" t="n">
        <x:v>450</x:v>
      </x:c>
      <x:c r="C5" s="25" t="str">
        <x:v>mm</x:v>
      </x:c>
      <x:c r="D5" s="25" t="str">
        <x:v>Chiều cao làm việc</x:v>
      </x:c>
      <x:c r="E5" s="25" t="str">
        <x:v>INPUT</x:v>
      </x:c>
      <x:c r="F5" s="25" t="str"/>
      <x:c r="G5" s="25" t="str"/>
    </x:row>
    <x:row r="6">
      <x:c r="A6" s="25" t="str">
        <x:v>Q</x:v>
      </x:c>
      <x:c r="B6" s="57" t="n">
        <x:v>200</x:v>
      </x:c>
      <x:c r="C6" s="25" t="str">
        <x:v>kN</x:v>
      </x:c>
      <x:c r="D6" s="25" t="str">
        <x:v>Lực cắt thiết kế</x:v>
      </x:c>
      <x:c r="E6" s="25" t="str">
        <x:v>INPUT</x:v>
      </x:c>
      <x:c r="F6" s="25" t="str"/>
      <x:c r="G6" s="25" t="str"/>
    </x:row>
    <x:row r="7">
      <x:c r="A7" s="25" t="str">
        <x:v>Asw</x:v>
      </x:c>
      <x:c r="B7" s="57" t="n">
        <x:v>100</x:v>
      </x:c>
      <x:c r="C7" s="25" t="str">
        <x:v>mm²</x:v>
      </x:c>
      <x:c r="D7" s="25" t="str">
        <x:v>Diện tích cốt đai trong 1 bước</x:v>
      </x:c>
      <x:c r="E7" s="25" t="str">
        <x:v>INPUT</x:v>
      </x:c>
      <x:c r="F7" s="25" t="str"/>
      <x:c r="G7" s="25" t="str"/>
    </x:row>
    <x:row r="8">
      <x:c r="A8" s="25" t="str">
        <x:v>sw</x:v>
      </x:c>
      <x:c r="B8" s="57" t="n">
        <x:v>150</x:v>
      </x:c>
      <x:c r="C8" s="25" t="str">
        <x:v>mm</x:v>
      </x:c>
      <x:c r="D8" s="25" t="str">
        <x:v>Bước cốt đai</x:v>
      </x:c>
      <x:c r="E8" s="25" t="str">
        <x:v>INPUT</x:v>
      </x:c>
      <x:c r="F8" s="25" t="str"/>
      <x:c r="G8" s="25" t="str"/>
    </x:row>
    <x:row r="9">
      <x:c r="A9" s="25" t="str">
        <x:v>a</x:v>
      </x:c>
      <x:c r="B9" s="57" t="n">
        <x:v>1000</x:v>
      </x:c>
      <x:c r="C9" s="25" t="str">
        <x:v>mm</x:v>
      </x:c>
      <x:c r="D9" s="25" t="str">
        <x:v>Khoảng cách đến gối; dùng khi gần gối</x:v>
      </x:c>
      <x:c r="E9" s="25" t="str">
        <x:v>INPUT</x:v>
      </x:c>
      <x:c r="F9" s="25" t="str"/>
      <x:c r="G9" s="25" t="str"/>
    </x:row>
    <x:row r="10">
      <x:c r="A10" s="25" t="str">
        <x:v>Rbt / Rb / Rsw</x:v>
      </x:c>
      <x:c r="B10" s="25" t="str"/>
      <x:c r="C10" s="25" t="str">
        <x:v>MPa</x:v>
      </x:c>
      <x:c r="D10" s="25" t="str">
        <x:v>Tự lấy B30 + CB400-V từ sheet vật liệu</x:v>
      </x:c>
      <x:c r="E10" s="25" t="str">
        <x:v>LOOKUP</x:v>
      </x:c>
      <x:c r="F10" s="25" t="str"/>
      <x:c r="G10" s="25" t="str">
        <x:v>Bảng 7/14</x:v>
      </x:c>
    </x:row>
    <x:row r="11">
      <x:c r="A11" s="25"/>
      <x:c r="B11" s="25"/>
      <x:c r="C11" s="25"/>
      <x:c r="D11" s="25"/>
      <x:c r="E11" s="25"/>
      <x:c r="F11" s="25"/>
      <x:c r="G11" s="25"/>
    </x:row>
    <x:row r="12">
      <x:c r="A12" s="56" t="str">
        <x:v>Bước</x:v>
      </x:c>
      <x:c r="B12" s="56" t="str">
        <x:v>Kết quả</x:v>
      </x:c>
      <x:c r="C12" s="56" t="str">
        <x:v>Đơn vị</x:v>
      </x:c>
      <x:c r="D12" s="56" t="str">
        <x:v>Ý nghĩa</x:v>
      </x:c>
      <x:c r="E12" s="56" t="str">
        <x:v>Công thức Excel</x:v>
      </x:c>
      <x:c r="F12" s="56" t="str">
        <x:v>Kiểm tra</x:v>
      </x:c>
      <x:c r="G12" s="56" t="str">
        <x:v>Nguồn</x:v>
      </x:c>
    </x:row>
    <x:row r="13">
      <x:c r="A13" s="25" t="str">
        <x:v>qsw</x:v>
      </x:c>
      <x:c r="B13" s="58" t="n">
        <x:f>'02_VAT_LIEU'!B31*B7/B8</x:f>
        <x:v>186.66666666666666</x:v>
      </x:c>
      <x:c r="C13" s="25" t="str">
        <x:v>N/mm</x:v>
      </x:c>
      <x:c r="D13" s="25" t="str">
        <x:v>Cường độ cốt đai trên đơn vị chiều dài</x:v>
      </x:c>
      <x:c r="E13" s="25" t="str"/>
      <x:c r="F13" s="25" t="str"/>
      <x:c r="G13" s="25" t="str">
        <x:v>CT (92)</x:v>
      </x:c>
    </x:row>
    <x:row r="14">
      <x:c r="A14" s="25" t="str">
        <x:v>Qstrip</x:v>
      </x:c>
      <x:c r="B14" s="58" t="n">
        <x:f>0.3*'02_VAT_LIEU'!B26*B4*B5/1000</x:f>
        <x:v>688.5</x:v>
      </x:c>
      <x:c r="C14" s="25" t="str">
        <x:v>kN</x:v>
      </x:c>
      <x:c r="D14" s="25" t="str">
        <x:v>Giới hạn dải bê tông</x:v>
      </x:c>
      <x:c r="E14" s="25" t="str"/>
      <x:c r="F14" s="25" t="str"/>
      <x:c r="G14" s="25" t="str">
        <x:v>CT (88)</x:v>
      </x:c>
    </x:row>
    <x:row r="15">
      <x:c r="A15" s="25" t="str">
        <x:v>Qb,1</x:v>
      </x:c>
      <x:c r="B15" s="58" t="n">
        <x:f>IF(AND(B9&gt;0,B9&lt;2.5*B5),MIN(0.5*'02_VAT_LIEU'!B27*B4*B5/1000*(2.5*B5/B9),2.5*'02_VAT_LIEU'!B27*B4*B5/1000),0.5*'02_VAT_LIEU'!B27*B4*B5/1000)</x:f>
        <x:v>87.328125</x:v>
      </x:c>
      <x:c r="C15" s="25" t="str">
        <x:v>kN</x:v>
      </x:c>
      <x:c r="D15" s="25" t="str">
        <x:v>Phần bê tông</x:v>
      </x:c>
      <x:c r="E15" s="25" t="str"/>
      <x:c r="F15" s="25" t="str"/>
      <x:c r="G15" s="25" t="str">
        <x:v>CT (94)</x:v>
      </x:c>
    </x:row>
    <x:row r="16">
      <x:c r="A16" s="25" t="str">
        <x:v>Qsw,1</x:v>
      </x:c>
      <x:c r="B16" s="58" t="n">
        <x:f>IF(B13&gt;=0.25*'02_VAT_LIEU'!B27*B4,'02_VAT_LIEU'!B31*B7/B8*IF(AND(B9&gt;0,B9&lt;B5),B9,B5)/1000,0)</x:f>
        <x:v>84</x:v>
      </x:c>
      <x:c r="C16" s="25" t="str">
        <x:v>kN</x:v>
      </x:c>
      <x:c r="D16" s="25" t="str">
        <x:v>Phần cốt đai; chỉ kể khi CT96 đạt</x:v>
      </x:c>
      <x:c r="E16" s="25" t="str"/>
      <x:c r="F16" s="25" t="str"/>
      <x:c r="G16" s="25" t="str">
        <x:v>CT (95)/(96)</x:v>
      </x:c>
    </x:row>
    <x:row r="17">
      <x:c r="A17" s="25" t="str">
        <x:v>Qu</x:v>
      </x:c>
      <x:c r="B17" s="58" t="n">
        <x:f>B15+B16</x:f>
        <x:v>171.328125</x:v>
      </x:c>
      <x:c r="C17" s="25" t="str">
        <x:v>kN</x:v>
      </x:c>
      <x:c r="D17" s="25" t="str">
        <x:v>Sức kháng theo nhánh đơn giản</x:v>
      </x:c>
      <x:c r="E17" s="25" t="str"/>
      <x:c r="F17" s="25" t="str"/>
      <x:c r="G17" s="25" t="str">
        <x:v>CT (93)</x:v>
      </x:c>
    </x:row>
    <x:row r="18">
      <x:c r="A18" s="25" t="str">
        <x:v>Q/Qu khống chế</x:v>
      </x:c>
      <x:c r="B18" s="58" t="n">
        <x:f>MAX(B6/B14,B6/B17)</x:f>
        <x:v>1.1673506611947104</x:v>
      </x:c>
      <x:c r="C18" s="25" t="str">
        <x:v>-</x:v>
      </x:c>
      <x:c r="D18" s="25" t="str">
        <x:v>MAX(Q/Qstrip; Q/Qu)</x:v>
      </x:c>
      <x:c r="E18" s="25" t="str"/>
      <x:c r="F18" s="25" t="str">
        <x:f>IF(B18&lt;=1,"ĐẠT","KHÔNG ĐẠT")</x:f>
        <x:v>KHÔNG ĐẠT</x:v>
      </x:c>
      <x:c r="G18" s="25" t="str">
        <x:v>CT (88)/(93)</x:v>
      </x:c>
    </x:row>
    <x:row r="19">
      <x:c r="A19" s="25"/>
      <x:c r="B19" s="25"/>
      <x:c r="C19" s="25"/>
      <x:c r="D19" s="25"/>
      <x:c r="E19" s="25"/>
      <x:c r="F19" s="25"/>
      <x:c r="G19" s="25"/>
    </x:row>
    <x:row r="20">
      <x:c r="A20" s="25"/>
      <x:c r="B20" s="25"/>
      <x:c r="C20" s="25"/>
      <x:c r="D20" s="25"/>
      <x:c r="E20" s="25"/>
      <x:c r="F20" s="25"/>
      <x:c r="G20" s="25"/>
    </x:row>
    <x:row r="21">
      <x:c r="A21" s="25"/>
      <x:c r="B21" s="25"/>
      <x:c r="C21" s="25"/>
      <x:c r="D21" s="25"/>
      <x:c r="E21" s="25"/>
      <x:c r="F21" s="25"/>
      <x:c r="G21" s="25"/>
    </x:row>
    <x:row r="22">
      <x:c r="A22" s="25"/>
      <x:c r="B22" s="25"/>
      <x:c r="C22" s="25"/>
      <x:c r="D22" s="25"/>
      <x:c r="E22" s="25"/>
      <x:c r="F22" s="25"/>
      <x:c r="G22" s="25"/>
    </x:row>
    <x:row r="23">
      <x:c r="A23" s="25"/>
      <x:c r="B23" s="25"/>
      <x:c r="C23" s="25"/>
      <x:c r="D23" s="25"/>
      <x:c r="E23" s="25"/>
      <x:c r="F23" s="25"/>
      <x:c r="G23" s="25"/>
    </x:row>
    <x:row r="24">
      <x:c r="A24" s="25"/>
      <x:c r="B24" s="25"/>
      <x:c r="C24" s="25"/>
      <x:c r="D24" s="25"/>
      <x:c r="E24" s="25"/>
      <x:c r="F24" s="25"/>
      <x:c r="G24" s="25"/>
    </x:row>
    <x:row r="25">
      <x:c r="A25" s="25"/>
      <x:c r="B25" s="25"/>
      <x:c r="C25" s="25"/>
      <x:c r="D25" s="25"/>
      <x:c r="E25" s="25"/>
      <x:c r="F25" s="25"/>
      <x:c r="G25" s="25"/>
    </x:row>
    <x:row r="26">
      <x:c r="A26" s="25"/>
      <x:c r="B26" s="25"/>
      <x:c r="C26" s="25"/>
      <x:c r="D26" s="25"/>
      <x:c r="E26" s="25"/>
      <x:c r="F26" s="25"/>
      <x:c r="G26" s="25"/>
    </x:row>
    <x:row r="27">
      <x:c r="A27" s="25"/>
      <x:c r="B27" s="25"/>
      <x:c r="C27" s="25"/>
      <x:c r="D27" s="25"/>
      <x:c r="E27" s="25"/>
      <x:c r="F27" s="25"/>
      <x:c r="G27" s="25"/>
    </x:row>
    <x:row r="28">
      <x:c r="A28" s="25"/>
      <x:c r="B28" s="25"/>
      <x:c r="C28" s="25"/>
      <x:c r="D28" s="25"/>
      <x:c r="E28" s="25"/>
      <x:c r="F28" s="25"/>
      <x:c r="G28" s="25"/>
    </x:row>
    <x:row r="29">
      <x:c r="A29" s="25"/>
      <x:c r="B29" s="25"/>
      <x:c r="C29" s="25"/>
      <x:c r="D29" s="25"/>
      <x:c r="E29" s="25"/>
      <x:c r="F29" s="25"/>
      <x:c r="G29" s="25"/>
    </x:row>
    <x:row r="30">
      <x:c r="A30" s="25"/>
      <x:c r="B30" s="25"/>
      <x:c r="C30" s="25"/>
      <x:c r="D30" s="25"/>
      <x:c r="E30" s="25"/>
      <x:c r="F30" s="25"/>
      <x:c r="G30" s="25"/>
    </x:row>
    <x:row r="31">
      <x:c r="A31" s="25"/>
      <x:c r="B31" s="25"/>
      <x:c r="C31" s="25"/>
      <x:c r="D31" s="25"/>
      <x:c r="E31" s="25"/>
      <x:c r="F31" s="25"/>
      <x:c r="G31" s="25"/>
    </x:row>
    <x:row r="32">
      <x:c r="A32" s="25"/>
      <x:c r="B32" s="25"/>
      <x:c r="C32" s="25"/>
      <x:c r="D32" s="25"/>
      <x:c r="E32" s="25"/>
      <x:c r="F32" s="25"/>
      <x:c r="G32" s="25"/>
    </x:row>
    <x:row r="33">
      <x:c r="A33" s="25"/>
      <x:c r="B33" s="25"/>
      <x:c r="C33" s="25"/>
      <x:c r="D33" s="25"/>
      <x:c r="E33" s="25"/>
      <x:c r="F33" s="25"/>
      <x:c r="G33" s="25"/>
    </x:row>
    <x:row r="34">
      <x:c r="A34" s="25"/>
      <x:c r="B34" s="25"/>
      <x:c r="C34" s="25"/>
      <x:c r="D34" s="25"/>
      <x:c r="E34" s="25"/>
      <x:c r="F34" s="25"/>
      <x:c r="G34" s="25"/>
    </x:row>
    <x:row r="35">
      <x:c r="A35" s="25"/>
      <x:c r="B35" s="25"/>
      <x:c r="C35" s="25"/>
      <x:c r="D35" s="25"/>
      <x:c r="E35" s="25"/>
      <x:c r="F35" s="25"/>
      <x:c r="G35" s="25"/>
    </x:row>
  </x:sheetData>
  <x:mergeCells>
    <x:mergeCell ref="A1:G1"/>
  </x:mergeCells>
  <x:conditionalFormatting sqref="B18:B18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{EE6716ED-841E-8A3A-9C13-B78EF3255618}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E6716ED-841E-8A3A-9C13-B78EF3255618}">
            <x14:dataBar gradient="1">
              <x14:cfvo type="min"/>
              <x14:cfvo type="max"/>
              <x14:fillColor rgb="FFA02B93"/>
            </x14:dataBar>
          </x14:cfRule>
          <xm:sqref>B18:B18</xm:sqref>
        </x14:conditionalFormatting>
      </x14:conditionalFormattings>
    </x:ext>
  </x:extLst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3" hidden="0" customWidth="1"/>
    <x:col min="4" max="4" width="48" hidden="0" customWidth="1"/>
    <x:col min="5" max="5" width="46" hidden="0" customWidth="1"/>
    <x:col min="6" max="6" width="22" hidden="0" customWidth="1"/>
    <x:col min="7" max="7" width="24" hidden="0" customWidth="1"/>
  </x:cols>
  <x:sheetData>
    <x:row r="1">
      <x:c r="A1" s="55" t="str">
        <x:v>09 · XOẮN THUẦN – CT (102), (107), (109), (111)–(113)</x:v>
      </x:c>
      <x:c r="B1" s="55"/>
      <x:c r="C1" s="55"/>
      <x:c r="D1" s="55"/>
      <x:c r="E1" s="55"/>
      <x:c r="F1" s="55"/>
      <x:c r="G1" s="55"/>
    </x:row>
    <x:row r="2">
      <x:c r="A2" s="25"/>
      <x:c r="B2" s="25"/>
      <x:c r="C2" s="25"/>
      <x:c r="D2" s="25"/>
      <x:c r="E2" s="25"/>
      <x:c r="F2" s="25"/>
      <x:c r="G2" s="25"/>
    </x:row>
    <x:row r="3">
      <x:c r="A3" s="56" t="str">
        <x:v>Thông số/Bước</x:v>
      </x:c>
      <x:c r="B3" s="56" t="str">
        <x:v>Giá trị</x:v>
      </x:c>
      <x:c r="C3" s="56" t="str">
        <x:v>Đơn vị</x:v>
      </x:c>
      <x:c r="D3" s="56" t="str">
        <x:v>Diễn giải</x:v>
      </x:c>
      <x:c r="E3" s="56" t="str">
        <x:v>Công thức</x:v>
      </x:c>
      <x:c r="F3" s="56" t="str">
        <x:v>Kiểm tra</x:v>
      </x:c>
      <x:c r="G3" s="56" t="str">
        <x:v>Nguồn</x:v>
      </x:c>
    </x:row>
    <x:row r="4">
      <x:c r="A4" s="25" t="str">
        <x:v>b</x:v>
      </x:c>
      <x:c r="B4" s="57" t="n">
        <x:v>300</x:v>
      </x:c>
      <x:c r="C4" s="25" t="str">
        <x:v>mm</x:v>
      </x:c>
      <x:c r="D4" s="25" t="str">
        <x:v>Cạnh nhỏ</x:v>
      </x:c>
      <x:c r="E4" s="25" t="str">
        <x:v>INPUT</x:v>
      </x:c>
      <x:c r="F4" s="25" t="str"/>
      <x:c r="G4" s="25" t="str"/>
    </x:row>
    <x:row r="5">
      <x:c r="A5" s="25" t="str">
        <x:v>h</x:v>
      </x:c>
      <x:c r="B5" s="57" t="n">
        <x:v>500</x:v>
      </x:c>
      <x:c r="C5" s="25" t="str">
        <x:v>mm</x:v>
      </x:c>
      <x:c r="D5" s="25" t="str">
        <x:v>Cạnh lớn</x:v>
      </x:c>
      <x:c r="E5" s="25" t="str">
        <x:v>INPUT</x:v>
      </x:c>
      <x:c r="F5" s="25" t="str"/>
      <x:c r="G5" s="25" t="str"/>
    </x:row>
    <x:row r="6">
      <x:c r="A6" s="25" t="str">
        <x:v>T</x:v>
      </x:c>
      <x:c r="B6" s="57" t="n">
        <x:v>50</x:v>
      </x:c>
      <x:c r="C6" s="25" t="str">
        <x:v>kN.m</x:v>
      </x:c>
      <x:c r="D6" s="25" t="str">
        <x:v>Mô men xoắn</x:v>
      </x:c>
      <x:c r="E6" s="25" t="str">
        <x:v>INPUT</x:v>
      </x:c>
      <x:c r="F6" s="25" t="str"/>
      <x:c r="G6" s="25" t="str"/>
    </x:row>
    <x:row r="7">
      <x:c r="A7" s="25" t="str">
        <x:v>Asw1</x:v>
      </x:c>
      <x:c r="B7" s="57" t="n">
        <x:v>400</x:v>
      </x:c>
      <x:c r="C7" s="25" t="str">
        <x:v>mm²</x:v>
      </x:c>
      <x:c r="D7" s="25" t="str">
        <x:v>Cốt thép ngang biên xét</x:v>
      </x:c>
      <x:c r="E7" s="25" t="str">
        <x:v>INPUT</x:v>
      </x:c>
      <x:c r="F7" s="25" t="str"/>
      <x:c r="G7" s="25" t="str"/>
    </x:row>
    <x:row r="8">
      <x:c r="A8" s="25" t="str">
        <x:v>sw</x:v>
      </x:c>
      <x:c r="B8" s="57" t="n">
        <x:v>150</x:v>
      </x:c>
      <x:c r="C8" s="25" t="str">
        <x:v>mm</x:v>
      </x:c>
      <x:c r="D8" s="25" t="str">
        <x:v>Bước cốt ngang</x:v>
      </x:c>
      <x:c r="E8" s="25" t="str">
        <x:v>INPUT</x:v>
      </x:c>
      <x:c r="F8" s="25" t="str"/>
      <x:c r="G8" s="25" t="str"/>
    </x:row>
    <x:row r="9">
      <x:c r="A9" s="25" t="str">
        <x:v>As1</x:v>
      </x:c>
      <x:c r="B9" s="57" t="n">
        <x:v>1000</x:v>
      </x:c>
      <x:c r="C9" s="25" t="str">
        <x:v>mm²</x:v>
      </x:c>
      <x:c r="D9" s="25" t="str">
        <x:v>Cốt thép dọc biên xét</x:v>
      </x:c>
      <x:c r="E9" s="25" t="str">
        <x:v>INPUT</x:v>
      </x:c>
      <x:c r="F9" s="25" t="str"/>
      <x:c r="G9" s="25" t="str"/>
    </x:row>
    <x:row r="10">
      <x:c r="A10" s="25" t="str">
        <x:v>Z1</x:v>
      </x:c>
      <x:c r="B10" s="57" t="n">
        <x:v>260</x:v>
      </x:c>
      <x:c r="C10" s="25" t="str">
        <x:v>mm</x:v>
      </x:c>
      <x:c r="D10" s="25" t="str">
        <x:v>Cạnh biên chịu kéo</x:v>
      </x:c>
      <x:c r="E10" s="25" t="str">
        <x:v>INPUT</x:v>
      </x:c>
      <x:c r="F10" s="25" t="str"/>
      <x:c r="G10" s="25" t="str"/>
    </x:row>
    <x:row r="11">
      <x:c r="A11" s="25" t="str">
        <x:v>Z2</x:v>
      </x:c>
      <x:c r="B11" s="57" t="n">
        <x:v>460</x:v>
      </x:c>
      <x:c r="C11" s="25" t="str">
        <x:v>mm</x:v>
      </x:c>
      <x:c r="D11" s="25" t="str">
        <x:v>Cạnh còn lại</x:v>
      </x:c>
      <x:c r="E11" s="25" t="str">
        <x:v>INPUT</x:v>
      </x:c>
      <x:c r="F11" s="25" t="str"/>
      <x:c r="G11" s="25" t="str"/>
    </x:row>
    <x:row r="12">
      <x:c r="A12" s="25"/>
      <x:c r="B12" s="25"/>
      <x:c r="C12" s="25"/>
      <x:c r="D12" s="25"/>
      <x:c r="E12" s="25"/>
      <x:c r="F12" s="25"/>
      <x:c r="G12" s="25"/>
    </x:row>
    <x:row r="13">
      <x:c r="A13" s="56" t="str">
        <x:v>Bước</x:v>
      </x:c>
      <x:c r="B13" s="56" t="str">
        <x:v>Kết quả</x:v>
      </x:c>
      <x:c r="C13" s="56" t="str">
        <x:v>Đơn vị</x:v>
      </x:c>
      <x:c r="D13" s="56" t="str">
        <x:v>Ý nghĩa</x:v>
      </x:c>
      <x:c r="E13" s="56" t="str">
        <x:v>Công thức Excel</x:v>
      </x:c>
      <x:c r="F13" s="56" t="str">
        <x:v>Kiểm tra</x:v>
      </x:c>
      <x:c r="G13" s="56" t="str">
        <x:v>Nguồn</x:v>
      </x:c>
    </x:row>
    <x:row r="14">
      <x:c r="A14" s="25" t="str">
        <x:v>qsw,1</x:v>
      </x:c>
      <x:c r="B14" s="58" t="n">
        <x:f>'02_VAT_LIEU'!B31*B7/B8</x:f>
        <x:v>746.6666666666666</x:v>
      </x:c>
      <x:c r="C14" s="25" t="str">
        <x:v>N/mm</x:v>
      </x:c>
      <x:c r="D14" s="25" t="str">
        <x:v>Cường độ cốt ngang</x:v>
      </x:c>
      <x:c r="E14" s="25" t="str"/>
      <x:c r="F14" s="25" t="str"/>
      <x:c r="G14" s="25" t="str">
        <x:v>CT107</x:v>
      </x:c>
    </x:row>
    <x:row r="15">
      <x:c r="A15" s="25" t="str">
        <x:v>δ</x:v>
      </x:c>
      <x:c r="B15" s="58" t="n">
        <x:f>B10/(2*B11+B10)</x:f>
        <x:v>0.22033898305084745</x:v>
      </x:c>
      <x:c r="C15" s="25" t="str">
        <x:v>-</x:v>
      </x:c>
      <x:c r="D15" s="25" t="str">
        <x:v>Hệ số hình học</x:v>
      </x:c>
      <x:c r="E15" s="25" t="str"/>
      <x:c r="F15" s="25" t="str"/>
      <x:c r="G15" s="25" t="str">
        <x:v>CT109</x:v>
      </x:c>
    </x:row>
    <x:row r="16">
      <x:c r="A16" s="25" t="str">
        <x:v>ratio</x:v>
      </x:c>
      <x:c r="B16" s="58" t="n">
        <x:f>B14*B10/('02_VAT_LIEU'!B29*B9)</x:f>
        <x:v>0.5546666666666666</x:v>
      </x:c>
      <x:c r="C16" s="25" t="str">
        <x:v>-</x:v>
      </x:c>
      <x:c r="D16" s="25" t="str">
        <x:v>qsw,1·Z1/(Rs·As1)</x:v>
      </x:c>
      <x:c r="E16" s="25" t="str"/>
      <x:c r="F16" s="25" t="str">
        <x:v>0,5…1,5</x:v>
      </x:c>
      <x:c r="G16" s="25" t="str">
        <x:v>8.1.4.2.2</x:v>
      </x:c>
    </x:row>
    <x:row r="17">
      <x:c r="A17" s="25" t="str">
        <x:v>Tstrip</x:v>
      </x:c>
      <x:c r="B17" s="58" t="n">
        <x:f>0.1*'02_VAT_LIEU'!B26*B4^2*B5/1000000</x:f>
        <x:v>76.50000000000001</x:v>
      </x:c>
      <x:c r="C17" s="25" t="str">
        <x:v>kN.m</x:v>
      </x:c>
      <x:c r="D17" s="25" t="str">
        <x:v>Giới hạn bê tông</x:v>
      </x:c>
      <x:c r="E17" s="25" t="str"/>
      <x:c r="F17" s="25" t="str"/>
      <x:c r="G17" s="25" t="str">
        <x:v>CT102</x:v>
      </x:c>
    </x:row>
    <x:row r="18">
      <x:c r="A18" s="25" t="str">
        <x:v>Tsw,1</x:v>
      </x:c>
      <x:c r="B18" s="58" t="n">
        <x:f>B14*B15*B10*B11/1000000</x:f>
        <x:v>19.676564971751414</x:v>
      </x:c>
      <x:c r="C18" s="25" t="str">
        <x:v>kN.m</x:v>
      </x:c>
      <x:c r="D18" s="25" t="str">
        <x:v>Đóng góp cốt ngang</x:v>
      </x:c>
      <x:c r="E18" s="25" t="str"/>
      <x:c r="F18" s="25" t="str"/>
      <x:c r="G18" s="25" t="str">
        <x:v>CT112</x:v>
      </x:c>
    </x:row>
    <x:row r="19">
      <x:c r="A19" s="25" t="str">
        <x:v>Ts,1</x:v>
      </x:c>
      <x:c r="B19" s="58" t="n">
        <x:f>0.5*'02_VAT_LIEU'!B29*B9*B11/1000000</x:f>
        <x:v>80.5</x:v>
      </x:c>
      <x:c r="C19" s="25" t="str">
        <x:v>kN.m</x:v>
      </x:c>
      <x:c r="D19" s="25" t="str">
        <x:v>Đóng góp cốt dọc</x:v>
      </x:c>
      <x:c r="E19" s="25" t="str"/>
      <x:c r="F19" s="25" t="str"/>
      <x:c r="G19" s="25" t="str">
        <x:v>CT113</x:v>
      </x:c>
    </x:row>
    <x:row r="20">
      <x:c r="A20" s="25" t="str">
        <x:v>Tu</x:v>
      </x:c>
      <x:c r="B20" s="58" t="n">
        <x:f>B18+B19</x:f>
        <x:v>100.17656497175142</x:v>
      </x:c>
      <x:c r="C20" s="25" t="str">
        <x:v>kN.m</x:v>
      </x:c>
      <x:c r="D20" s="25" t="str">
        <x:v>Tổng sức kháng</x:v>
      </x:c>
      <x:c r="E20" s="25" t="str"/>
      <x:c r="F20" s="25" t="str"/>
      <x:c r="G20" s="25" t="str">
        <x:v>CT111</x:v>
      </x:c>
    </x:row>
    <x:row r="21">
      <x:c r="A21" s="25" t="str">
        <x:v>T/Tu khống chế</x:v>
      </x:c>
      <x:c r="B21" s="58" t="n">
        <x:f>MAX(B6/B17,B6/B20)</x:f>
        <x:v>0.65359477124183</x:v>
      </x:c>
      <x:c r="C21" s="25" t="str">
        <x:v>-</x:v>
      </x:c>
      <x:c r="D21" s="25" t="str">
        <x:v>MAX(T/Tstrip;T/Tu)</x:v>
      </x:c>
      <x:c r="E21" s="25" t="str"/>
      <x:c r="F21" s="25" t="str">
        <x:f>IF(AND(B21&lt;=1,B16&gt;=0.5,B16&lt;=1.5),"ĐẠT","KHÔNG ĐẠT")</x:f>
        <x:v>ĐẠT</x:v>
      </x:c>
      <x:c r="G21" s="25" t="str">
        <x:v>CT102/111</x:v>
      </x:c>
    </x:row>
    <x:row r="22">
      <x:c r="A22" s="25"/>
      <x:c r="B22" s="25"/>
      <x:c r="C22" s="25"/>
      <x:c r="D22" s="25"/>
      <x:c r="E22" s="25"/>
      <x:c r="F22" s="25"/>
      <x:c r="G22" s="25"/>
    </x:row>
    <x:row r="23">
      <x:c r="A23" s="25"/>
      <x:c r="B23" s="25"/>
      <x:c r="C23" s="25"/>
      <x:c r="D23" s="25"/>
      <x:c r="E23" s="25"/>
      <x:c r="F23" s="25"/>
      <x:c r="G23" s="25"/>
    </x:row>
    <x:row r="24">
      <x:c r="A24" s="25"/>
      <x:c r="B24" s="25"/>
      <x:c r="C24" s="25"/>
      <x:c r="D24" s="25"/>
      <x:c r="E24" s="25"/>
      <x:c r="F24" s="25"/>
      <x:c r="G24" s="25"/>
    </x:row>
    <x:row r="25">
      <x:c r="A25" s="25"/>
      <x:c r="B25" s="25"/>
      <x:c r="C25" s="25"/>
      <x:c r="D25" s="25"/>
      <x:c r="E25" s="25"/>
      <x:c r="F25" s="25"/>
      <x:c r="G25" s="25"/>
    </x:row>
    <x:row r="26">
      <x:c r="A26" s="25"/>
      <x:c r="B26" s="25"/>
      <x:c r="C26" s="25"/>
      <x:c r="D26" s="25"/>
      <x:c r="E26" s="25"/>
      <x:c r="F26" s="25"/>
      <x:c r="G26" s="25"/>
    </x:row>
    <x:row r="27">
      <x:c r="A27" s="25"/>
      <x:c r="B27" s="25"/>
      <x:c r="C27" s="25"/>
      <x:c r="D27" s="25"/>
      <x:c r="E27" s="25"/>
      <x:c r="F27" s="25"/>
      <x:c r="G27" s="25"/>
    </x:row>
    <x:row r="28">
      <x:c r="A28" s="25"/>
      <x:c r="B28" s="25"/>
      <x:c r="C28" s="25"/>
      <x:c r="D28" s="25"/>
      <x:c r="E28" s="25"/>
      <x:c r="F28" s="25"/>
      <x:c r="G28" s="25"/>
    </x:row>
    <x:row r="29">
      <x:c r="A29" s="25"/>
      <x:c r="B29" s="25"/>
      <x:c r="C29" s="25"/>
      <x:c r="D29" s="25"/>
      <x:c r="E29" s="25"/>
      <x:c r="F29" s="25"/>
      <x:c r="G29" s="25"/>
    </x:row>
    <x:row r="30">
      <x:c r="A30" s="25"/>
      <x:c r="B30" s="25"/>
      <x:c r="C30" s="25"/>
      <x:c r="D30" s="25"/>
      <x:c r="E30" s="25"/>
      <x:c r="F30" s="25"/>
      <x:c r="G30" s="25"/>
    </x:row>
    <x:row r="31">
      <x:c r="A31" s="25"/>
      <x:c r="B31" s="25"/>
      <x:c r="C31" s="25"/>
      <x:c r="D31" s="25"/>
      <x:c r="E31" s="25"/>
      <x:c r="F31" s="25"/>
      <x:c r="G31" s="25"/>
    </x:row>
    <x:row r="32">
      <x:c r="A32" s="25"/>
      <x:c r="B32" s="25"/>
      <x:c r="C32" s="25"/>
      <x:c r="D32" s="25"/>
      <x:c r="E32" s="25"/>
      <x:c r="F32" s="25"/>
      <x:c r="G32" s="25"/>
    </x:row>
    <x:row r="33">
      <x:c r="A33" s="25"/>
      <x:c r="B33" s="25"/>
      <x:c r="C33" s="25"/>
      <x:c r="D33" s="25"/>
      <x:c r="E33" s="25"/>
      <x:c r="F33" s="25"/>
      <x:c r="G33" s="25"/>
    </x:row>
    <x:row r="34">
      <x:c r="A34" s="25"/>
      <x:c r="B34" s="25"/>
      <x:c r="C34" s="25"/>
      <x:c r="D34" s="25"/>
      <x:c r="E34" s="25"/>
      <x:c r="F34" s="25"/>
      <x:c r="G34" s="25"/>
    </x:row>
    <x:row r="35">
      <x:c r="A35" s="25"/>
      <x:c r="B35" s="25"/>
      <x:c r="C35" s="25"/>
      <x:c r="D35" s="25"/>
      <x:c r="E35" s="25"/>
      <x:c r="F35" s="25"/>
      <x:c r="G35" s="25"/>
    </x:row>
  </x:sheetData>
  <x:mergeCells>
    <x:mergeCell ref="A1:G1"/>
  </x:mergeCells>
  <x:conditionalFormatting sqref="B21:B2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{95905E2F-6F88-A5B6-3849-74C34741D4F7}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5905E2F-6F88-A5B6-3849-74C34741D4F7}">
            <x14:dataBar gradient="1">
              <x14:cfvo type="min"/>
              <x14:cfvo type="max"/>
              <x14:fillColor rgb="FFA02B93"/>
            </x14:dataBar>
          </x14:cfRule>
          <xm:sqref>B21:B21</xm:sqref>
        </x14:conditionalFormatting>
      </x14:conditionalFormattings>
    </x:ext>
  </x:extLst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3" hidden="0" customWidth="1"/>
    <x:col min="4" max="4" width="48" hidden="0" customWidth="1"/>
    <x:col min="5" max="5" width="46" hidden="0" customWidth="1"/>
    <x:col min="6" max="6" width="20" hidden="0" customWidth="1"/>
    <x:col min="7" max="7" width="24" hidden="0" customWidth="1"/>
  </x:cols>
  <x:sheetData>
    <x:row r="1">
      <x:c r="A1" s="55" t="str">
        <x:v>10 · NÉN CỤC BỘ KHÔNG LƯỚI – CT (116)–(118)</x:v>
      </x:c>
      <x:c r="B1" s="55"/>
      <x:c r="C1" s="55"/>
      <x:c r="D1" s="55"/>
      <x:c r="E1" s="55"/>
      <x:c r="F1" s="55"/>
      <x:c r="G1" s="55"/>
    </x:row>
    <x:row r="2">
      <x:c r="A2" s="25"/>
      <x:c r="B2" s="25"/>
      <x:c r="C2" s="25"/>
      <x:c r="D2" s="25"/>
      <x:c r="E2" s="25"/>
      <x:c r="F2" s="25"/>
      <x:c r="G2" s="25"/>
    </x:row>
    <x:row r="3">
      <x:c r="A3" s="56" t="str">
        <x:v>Thông số/Bước</x:v>
      </x:c>
      <x:c r="B3" s="56" t="str">
        <x:v>Giá trị</x:v>
      </x:c>
      <x:c r="C3" s="56" t="str">
        <x:v>Đơn vị</x:v>
      </x:c>
      <x:c r="D3" s="56" t="str">
        <x:v>Diễn giải</x:v>
      </x:c>
      <x:c r="E3" s="56" t="str">
        <x:v>Công thức</x:v>
      </x:c>
      <x:c r="F3" s="56" t="str">
        <x:v>Kiểm tra</x:v>
      </x:c>
      <x:c r="G3" s="56" t="str">
        <x:v>Nguồn</x:v>
      </x:c>
    </x:row>
    <x:row r="4">
      <x:c r="A4" s="25" t="str">
        <x:v>N</x:v>
      </x:c>
      <x:c r="B4" s="57" t="n">
        <x:v>1000</x:v>
      </x:c>
      <x:c r="C4" s="25" t="str">
        <x:v>kN</x:v>
      </x:c>
      <x:c r="D4" s="25" t="str">
        <x:v>Lực nén cục bộ</x:v>
      </x:c>
      <x:c r="E4" s="25" t="str">
        <x:v>INPUT</x:v>
      </x:c>
      <x:c r="F4" s="25" t="str"/>
      <x:c r="G4" s="25" t="str"/>
    </x:row>
    <x:row r="5">
      <x:c r="A5" s="25" t="str">
        <x:v>Ab,loc</x:v>
      </x:c>
      <x:c r="B5" s="57" t="n">
        <x:v>40000</x:v>
      </x:c>
      <x:c r="C5" s="25" t="str">
        <x:v>mm²</x:v>
      </x:c>
      <x:c r="D5" s="25" t="str">
        <x:v>Diện tích chịu nén cục bộ</x:v>
      </x:c>
      <x:c r="E5" s="25" t="str">
        <x:v>INPUT</x:v>
      </x:c>
      <x:c r="F5" s="25" t="str"/>
      <x:c r="G5" s="25" t="str"/>
    </x:row>
    <x:row r="6">
      <x:c r="A6" s="25" t="str">
        <x:v>Ab,max</x:v>
      </x:c>
      <x:c r="B6" s="57" t="n">
        <x:v>160000</x:v>
      </x:c>
      <x:c r="C6" s="25" t="str">
        <x:v>mm²</x:v>
      </x:c>
      <x:c r="D6" s="25" t="str">
        <x:v>Diện tích tính toán lớn nhất</x:v>
      </x:c>
      <x:c r="E6" s="25" t="str">
        <x:v>INPUT</x:v>
      </x:c>
      <x:c r="F6" s="25" t="str"/>
      <x:c r="G6" s="25" t="str"/>
    </x:row>
    <x:row r="7">
      <x:c r="A7" s="25" t="str">
        <x:v>ψ</x:v>
      </x:c>
      <x:c r="B7" s="57" t="n">
        <x:v>1</x:v>
      </x:c>
      <x:c r="C7" s="25" t="str">
        <x:v>-</x:v>
      </x:c>
      <x:c r="D7" s="25" t="str">
        <x:v>1,0 tải đều; 0,75 tải không đều</x:v>
      </x:c>
      <x:c r="E7" s="25" t="str">
        <x:v>INPUT</x:v>
      </x:c>
      <x:c r="F7" s="25" t="str"/>
      <x:c r="G7" s="25" t="str"/>
    </x:row>
    <x:row r="8">
      <x:c r="A8" s="25"/>
      <x:c r="B8" s="25"/>
      <x:c r="C8" s="25"/>
      <x:c r="D8" s="25"/>
      <x:c r="E8" s="25"/>
      <x:c r="F8" s="25"/>
      <x:c r="G8" s="25"/>
    </x:row>
    <x:row r="9">
      <x:c r="A9" s="56" t="str">
        <x:v>Bước</x:v>
      </x:c>
      <x:c r="B9" s="56" t="str">
        <x:v>Kết quả</x:v>
      </x:c>
      <x:c r="C9" s="56" t="str">
        <x:v>Đơn vị</x:v>
      </x:c>
      <x:c r="D9" s="56" t="str">
        <x:v>Ý nghĩa</x:v>
      </x:c>
      <x:c r="E9" s="56" t="str">
        <x:v>Công thức Excel</x:v>
      </x:c>
      <x:c r="F9" s="56" t="str">
        <x:v>Kiểm tra</x:v>
      </x:c>
      <x:c r="G9" s="56" t="str">
        <x:v>Nguồn</x:v>
      </x:c>
    </x:row>
    <x:row r="10">
      <x:c r="A10" s="25" t="str">
        <x:v>φb</x:v>
      </x:c>
      <x:c r="B10" s="58" t="n">
        <x:f>MAX(1,MIN(2.5,0.8*SQRT(B6/B5)))</x:f>
        <x:v>1.6</x:v>
      </x:c>
      <x:c r="C10" s="25" t="str">
        <x:v>-</x:v>
      </x:c>
      <x:c r="D10" s="25" t="str">
        <x:v>Hệ số tăng cường độ cục bộ</x:v>
      </x:c>
      <x:c r="E10" s="25" t="str"/>
      <x:c r="F10" s="25" t="str">
        <x:v>1…2,5</x:v>
      </x:c>
      <x:c r="G10" s="25" t="str">
        <x:v>CT118</x:v>
      </x:c>
    </x:row>
    <x:row r="11">
      <x:c r="A11" s="25" t="str">
        <x:v>Rb,loc</x:v>
      </x:c>
      <x:c r="B11" s="58" t="n">
        <x:f>B10*'02_VAT_LIEU'!B26</x:f>
        <x:v>27.200000000000003</x:v>
      </x:c>
      <x:c r="C11" s="25" t="str">
        <x:v>MPa</x:v>
      </x:c>
      <x:c r="D11" s="25" t="str">
        <x:v>Cường độ nén cục bộ</x:v>
      </x:c>
      <x:c r="E11" s="25" t="str"/>
      <x:c r="F11" s="25" t="str"/>
      <x:c r="G11" s="25" t="str">
        <x:v>CT117</x:v>
      </x:c>
    </x:row>
    <x:row r="12">
      <x:c r="A12" s="25" t="str">
        <x:v>Nu</x:v>
      </x:c>
      <x:c r="B12" s="58" t="n">
        <x:f>B7*B11*B5/1000</x:f>
        <x:v>1088</x:v>
      </x:c>
      <x:c r="C12" s="25" t="str">
        <x:v>kN</x:v>
      </x:c>
      <x:c r="D12" s="25" t="str">
        <x:v>Sức kháng nén cục bộ</x:v>
      </x:c>
      <x:c r="E12" s="25" t="str"/>
      <x:c r="F12" s="25" t="str"/>
      <x:c r="G12" s="25" t="str">
        <x:v>CT116</x:v>
      </x:c>
    </x:row>
    <x:row r="13">
      <x:c r="A13" s="25" t="str">
        <x:v>N/Nu</x:v>
      </x:c>
      <x:c r="B13" s="58" t="n">
        <x:f>B4/B12</x:f>
        <x:v>0.9191176470588235</x:v>
      </x:c>
      <x:c r="C13" s="25" t="str">
        <x:v>-</x:v>
      </x:c>
      <x:c r="D13" s="25" t="str">
        <x:v>Hệ số sử dụng</x:v>
      </x:c>
      <x:c r="E13" s="25" t="str"/>
      <x:c r="F13" s="25" t="str">
        <x:f>IF(B13&lt;=1,"ĐẠT","KHÔNG ĐẠT")</x:f>
        <x:v>ĐẠT</x:v>
      </x:c>
      <x:c r="G13" s="25" t="str">
        <x:v>CT116</x:v>
      </x:c>
    </x:row>
    <x:row r="14">
      <x:c r="A14" s="25"/>
      <x:c r="B14" s="25"/>
      <x:c r="C14" s="25"/>
      <x:c r="D14" s="25"/>
      <x:c r="E14" s="25"/>
      <x:c r="F14" s="25"/>
      <x:c r="G14" s="25"/>
    </x:row>
    <x:row r="15">
      <x:c r="A15" s="25"/>
      <x:c r="B15" s="25"/>
      <x:c r="C15" s="25"/>
      <x:c r="D15" s="25"/>
      <x:c r="E15" s="25"/>
      <x:c r="F15" s="25"/>
      <x:c r="G15" s="25"/>
    </x:row>
    <x:row r="16">
      <x:c r="A16" s="25"/>
      <x:c r="B16" s="25"/>
      <x:c r="C16" s="25"/>
      <x:c r="D16" s="25"/>
      <x:c r="E16" s="25"/>
      <x:c r="F16" s="25"/>
      <x:c r="G16" s="25"/>
    </x:row>
    <x:row r="17">
      <x:c r="A17" s="25"/>
      <x:c r="B17" s="25"/>
      <x:c r="C17" s="25"/>
      <x:c r="D17" s="25"/>
      <x:c r="E17" s="25"/>
      <x:c r="F17" s="25"/>
      <x:c r="G17" s="25"/>
    </x:row>
    <x:row r="18">
      <x:c r="A18" s="25"/>
      <x:c r="B18" s="25"/>
      <x:c r="C18" s="25"/>
      <x:c r="D18" s="25"/>
      <x:c r="E18" s="25"/>
      <x:c r="F18" s="25"/>
      <x:c r="G18" s="25"/>
    </x:row>
    <x:row r="19">
      <x:c r="A19" s="25"/>
      <x:c r="B19" s="25"/>
      <x:c r="C19" s="25"/>
      <x:c r="D19" s="25"/>
      <x:c r="E19" s="25"/>
      <x:c r="F19" s="25"/>
      <x:c r="G19" s="25"/>
    </x:row>
    <x:row r="20">
      <x:c r="A20" s="25"/>
      <x:c r="B20" s="25"/>
      <x:c r="C20" s="25"/>
      <x:c r="D20" s="25"/>
      <x:c r="E20" s="25"/>
      <x:c r="F20" s="25"/>
      <x:c r="G20" s="25"/>
    </x:row>
    <x:row r="21">
      <x:c r="A21" s="25"/>
      <x:c r="B21" s="25"/>
      <x:c r="C21" s="25"/>
      <x:c r="D21" s="25"/>
      <x:c r="E21" s="25"/>
      <x:c r="F21" s="25"/>
      <x:c r="G21" s="25"/>
    </x:row>
    <x:row r="22">
      <x:c r="A22" s="25"/>
      <x:c r="B22" s="25"/>
      <x:c r="C22" s="25"/>
      <x:c r="D22" s="25"/>
      <x:c r="E22" s="25"/>
      <x:c r="F22" s="25"/>
      <x:c r="G22" s="25"/>
    </x:row>
    <x:row r="23">
      <x:c r="A23" s="25"/>
      <x:c r="B23" s="25"/>
      <x:c r="C23" s="25"/>
      <x:c r="D23" s="25"/>
      <x:c r="E23" s="25"/>
      <x:c r="F23" s="25"/>
      <x:c r="G23" s="25"/>
    </x:row>
    <x:row r="24">
      <x:c r="A24" s="25"/>
      <x:c r="B24" s="25"/>
      <x:c r="C24" s="25"/>
      <x:c r="D24" s="25"/>
      <x:c r="E24" s="25"/>
      <x:c r="F24" s="25"/>
      <x:c r="G24" s="25"/>
    </x:row>
    <x:row r="25">
      <x:c r="A25" s="25"/>
      <x:c r="B25" s="25"/>
      <x:c r="C25" s="25"/>
      <x:c r="D25" s="25"/>
      <x:c r="E25" s="25"/>
      <x:c r="F25" s="25"/>
      <x:c r="G25" s="25"/>
    </x:row>
    <x:row r="26">
      <x:c r="A26" s="25"/>
      <x:c r="B26" s="25"/>
      <x:c r="C26" s="25"/>
      <x:c r="D26" s="25"/>
      <x:c r="E26" s="25"/>
      <x:c r="F26" s="25"/>
      <x:c r="G26" s="25"/>
    </x:row>
    <x:row r="27">
      <x:c r="A27" s="25"/>
      <x:c r="B27" s="25"/>
      <x:c r="C27" s="25"/>
      <x:c r="D27" s="25"/>
      <x:c r="E27" s="25"/>
      <x:c r="F27" s="25"/>
      <x:c r="G27" s="25"/>
    </x:row>
    <x:row r="28">
      <x:c r="A28" s="25"/>
      <x:c r="B28" s="25"/>
      <x:c r="C28" s="25"/>
      <x:c r="D28" s="25"/>
      <x:c r="E28" s="25"/>
      <x:c r="F28" s="25"/>
      <x:c r="G28" s="25"/>
    </x:row>
    <x:row r="29">
      <x:c r="A29" s="25"/>
      <x:c r="B29" s="25"/>
      <x:c r="C29" s="25"/>
      <x:c r="D29" s="25"/>
      <x:c r="E29" s="25"/>
      <x:c r="F29" s="25"/>
      <x:c r="G29" s="25"/>
    </x:row>
    <x:row r="30">
      <x:c r="A30" s="25"/>
      <x:c r="B30" s="25"/>
      <x:c r="C30" s="25"/>
      <x:c r="D30" s="25"/>
      <x:c r="E30" s="25"/>
      <x:c r="F30" s="25"/>
      <x:c r="G30" s="25"/>
    </x:row>
    <x:row r="31">
      <x:c r="A31" s="25"/>
      <x:c r="B31" s="25"/>
      <x:c r="C31" s="25"/>
      <x:c r="D31" s="25"/>
      <x:c r="E31" s="25"/>
      <x:c r="F31" s="25"/>
      <x:c r="G31" s="25"/>
    </x:row>
    <x:row r="32">
      <x:c r="A32" s="25"/>
      <x:c r="B32" s="25"/>
      <x:c r="C32" s="25"/>
      <x:c r="D32" s="25"/>
      <x:c r="E32" s="25"/>
      <x:c r="F32" s="25"/>
      <x:c r="G32" s="25"/>
    </x:row>
    <x:row r="33">
      <x:c r="A33" s="25"/>
      <x:c r="B33" s="25"/>
      <x:c r="C33" s="25"/>
      <x:c r="D33" s="25"/>
      <x:c r="E33" s="25"/>
      <x:c r="F33" s="25"/>
      <x:c r="G33" s="25"/>
    </x:row>
    <x:row r="34">
      <x:c r="A34" s="25"/>
      <x:c r="B34" s="25"/>
      <x:c r="C34" s="25"/>
      <x:c r="D34" s="25"/>
      <x:c r="E34" s="25"/>
      <x:c r="F34" s="25"/>
      <x:c r="G34" s="25"/>
    </x:row>
    <x:row r="35">
      <x:c r="A35" s="25"/>
      <x:c r="B35" s="25"/>
      <x:c r="C35" s="25"/>
      <x:c r="D35" s="25"/>
      <x:c r="E35" s="25"/>
      <x:c r="F35" s="25"/>
      <x:c r="G35" s="25"/>
    </x:row>
  </x:sheetData>
  <x:mergeCells>
    <x:mergeCell ref="A1:G1"/>
  </x:mergeCells>
  <x:conditionalFormatting sqref="B13:B13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{CD31FA1F-6339-8858-9E31-D1EFBF7F74EF}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D31FA1F-6339-8858-9E31-D1EFBF7F74EF}">
            <x14:dataBar gradient="1">
              <x14:cfvo type="min"/>
              <x14:cfvo type="max"/>
              <x14:fillColor rgb="FFA02B93"/>
            </x14:dataBar>
          </x14:cfRule>
          <xm:sqref>B13:B13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3" hidden="0" customWidth="1"/>
    <x:col min="4" max="4" width="48" hidden="0" customWidth="1"/>
    <x:col min="5" max="5" width="46" hidden="0" customWidth="1"/>
    <x:col min="6" max="6" width="22" hidden="0" customWidth="1"/>
    <x:col min="7" max="7" width="24" hidden="0" customWidth="1"/>
  </x:cols>
  <x:sheetData>
    <x:row r="1">
      <x:c r="A1" s="55" t="str">
        <x:v>11 · CHỌC THỦNG DO LỰC TẬP TRUNG – CT (123)–(128)</x:v>
      </x:c>
      <x:c r="B1" s="55"/>
      <x:c r="C1" s="55"/>
      <x:c r="D1" s="55"/>
      <x:c r="E1" s="55"/>
      <x:c r="F1" s="55"/>
      <x:c r="G1" s="55"/>
    </x:row>
    <x:row r="2">
      <x:c r="A2" s="25"/>
      <x:c r="B2" s="25"/>
      <x:c r="C2" s="25"/>
      <x:c r="D2" s="25"/>
      <x:c r="E2" s="25"/>
      <x:c r="F2" s="25"/>
      <x:c r="G2" s="25"/>
    </x:row>
    <x:row r="3">
      <x:c r="A3" s="56" t="str">
        <x:v>Thông số/Bước</x:v>
      </x:c>
      <x:c r="B3" s="56" t="str">
        <x:v>Giá trị</x:v>
      </x:c>
      <x:c r="C3" s="56" t="str">
        <x:v>Đơn vị</x:v>
      </x:c>
      <x:c r="D3" s="56" t="str">
        <x:v>Diễn giải</x:v>
      </x:c>
      <x:c r="E3" s="56" t="str">
        <x:v>Công thức</x:v>
      </x:c>
      <x:c r="F3" s="56" t="str">
        <x:v>Kiểm tra</x:v>
      </x:c>
      <x:c r="G3" s="56" t="str">
        <x:v>Nguồn</x:v>
      </x:c>
    </x:row>
    <x:row r="4">
      <x:c r="A4" s="25" t="str">
        <x:v>F</x:v>
      </x:c>
      <x:c r="B4" s="57" t="n">
        <x:v>500</x:v>
      </x:c>
      <x:c r="C4" s="25" t="str">
        <x:v>kN</x:v>
      </x:c>
      <x:c r="D4" s="25" t="str">
        <x:v>Lực tập trung</x:v>
      </x:c>
      <x:c r="E4" s="25" t="str">
        <x:v>INPUT</x:v>
      </x:c>
      <x:c r="F4" s="25" t="str"/>
      <x:c r="G4" s="25" t="str"/>
    </x:row>
    <x:row r="5">
      <x:c r="A5" s="25" t="str">
        <x:v>u</x:v>
      </x:c>
      <x:c r="B5" s="57" t="n">
        <x:v>3000</x:v>
      </x:c>
      <x:c r="C5" s="25" t="str">
        <x:v>mm</x:v>
      </x:c>
      <x:c r="D5" s="25" t="str">
        <x:v>Chu vi đường bao tính toán</x:v>
      </x:c>
      <x:c r="E5" s="25" t="str">
        <x:v>INPUT</x:v>
      </x:c>
      <x:c r="F5" s="25" t="str"/>
      <x:c r="G5" s="25" t="str"/>
    </x:row>
    <x:row r="6">
      <x:c r="A6" s="25" t="str">
        <x:v>h0</x:v>
      </x:c>
      <x:c r="B6" s="57" t="n">
        <x:v>180</x:v>
      </x:c>
      <x:c r="C6" s="25" t="str">
        <x:v>mm</x:v>
      </x:c>
      <x:c r="D6" s="25" t="str">
        <x:v>Chiều cao làm việc quy đổi</x:v>
      </x:c>
      <x:c r="E6" s="25" t="str">
        <x:v>INPUT</x:v>
      </x:c>
      <x:c r="F6" s="25" t="str"/>
      <x:c r="G6" s="25" t="str"/>
    </x:row>
    <x:row r="7">
      <x:c r="A7" s="25" t="str">
        <x:v>Asw</x:v>
      </x:c>
      <x:c r="B7" s="57" t="n">
        <x:v>100</x:v>
      </x:c>
      <x:c r="C7" s="25" t="str">
        <x:v>mm²</x:v>
      </x:c>
      <x:c r="D7" s="25" t="str">
        <x:v>Cốt ngang trong một bước</x:v>
      </x:c>
      <x:c r="E7" s="25" t="str">
        <x:v>INPUT</x:v>
      </x:c>
      <x:c r="F7" s="25" t="str"/>
      <x:c r="G7" s="25" t="str"/>
    </x:row>
    <x:row r="8">
      <x:c r="A8" s="25" t="str">
        <x:v>sw</x:v>
      </x:c>
      <x:c r="B8" s="57" t="n">
        <x:v>150</x:v>
      </x:c>
      <x:c r="C8" s="25" t="str">
        <x:v>mm</x:v>
      </x:c>
      <x:c r="D8" s="25" t="str">
        <x:v>Bước cốt ngang</x:v>
      </x:c>
      <x:c r="E8" s="25" t="str">
        <x:v>INPUT</x:v>
      </x:c>
      <x:c r="F8" s="25" t="str"/>
      <x:c r="G8" s="25" t="str"/>
    </x:row>
    <x:row r="9">
      <x:c r="A9" s="25"/>
      <x:c r="B9" s="25"/>
      <x:c r="C9" s="25"/>
      <x:c r="D9" s="25"/>
      <x:c r="E9" s="25"/>
      <x:c r="F9" s="25"/>
      <x:c r="G9" s="25"/>
    </x:row>
    <x:row r="10">
      <x:c r="A10" s="56" t="str">
        <x:v>Bước</x:v>
      </x:c>
      <x:c r="B10" s="56" t="str">
        <x:v>Kết quả</x:v>
      </x:c>
      <x:c r="C10" s="56" t="str">
        <x:v>Đơn vị</x:v>
      </x:c>
      <x:c r="D10" s="56" t="str">
        <x:v>Ý nghĩa</x:v>
      </x:c>
      <x:c r="E10" s="56" t="str">
        <x:v>Công thức Excel</x:v>
      </x:c>
      <x:c r="F10" s="56" t="str">
        <x:v>Kiểm tra</x:v>
      </x:c>
      <x:c r="G10" s="56" t="str">
        <x:v>Nguồn</x:v>
      </x:c>
    </x:row>
    <x:row r="11">
      <x:c r="A11" s="25" t="str">
        <x:v>Ab</x:v>
      </x:c>
      <x:c r="B11" s="58" t="n">
        <x:f>B5*B6</x:f>
        <x:v>540000</x:v>
      </x:c>
      <x:c r="C11" s="25" t="str">
        <x:v>mm²</x:v>
      </x:c>
      <x:c r="D11" s="25" t="str">
        <x:v>Diện tích bê tông tính chọc thủng</x:v>
      </x:c>
      <x:c r="E11" s="25" t="str"/>
      <x:c r="F11" s="25" t="str"/>
      <x:c r="G11" s="25" t="str">
        <x:v>CT125</x:v>
      </x:c>
    </x:row>
    <x:row r="12">
      <x:c r="A12" s="25" t="str">
        <x:v>Fb,u</x:v>
      </x:c>
      <x:c r="B12" s="58" t="n">
        <x:f>'02_VAT_LIEU'!B27*B11/1000</x:f>
        <x:v>621</x:v>
      </x:c>
      <x:c r="C12" s="25" t="str">
        <x:v>kN</x:v>
      </x:c>
      <x:c r="D12" s="25" t="str">
        <x:v>Đóng góp bê tông</x:v>
      </x:c>
      <x:c r="E12" s="25" t="str"/>
      <x:c r="F12" s="25" t="str"/>
      <x:c r="G12" s="25" t="str">
        <x:v>CT124</x:v>
      </x:c>
    </x:row>
    <x:row r="13">
      <x:c r="A13" s="25" t="str">
        <x:v>qsw</x:v>
      </x:c>
      <x:c r="B13" s="58" t="n">
        <x:f>IF(B7&gt;0,'02_VAT_LIEU'!B31*B7/B8,0)</x:f>
        <x:v>186.66666666666666</x:v>
      </x:c>
      <x:c r="C13" s="25" t="str">
        <x:v>N/mm</x:v>
      </x:c>
      <x:c r="D13" s="25" t="str">
        <x:v>Cường độ cốt ngang</x:v>
      </x:c>
      <x:c r="E13" s="25" t="str"/>
      <x:c r="F13" s="25" t="str"/>
      <x:c r="G13" s="25" t="str">
        <x:v>CT128</x:v>
      </x:c>
    </x:row>
    <x:row r="14">
      <x:c r="A14" s="25" t="str">
        <x:v>Fsw,u raw</x:v>
      </x:c>
      <x:c r="B14" s="58" t="n">
        <x:f>0.8*B13*B5/1000</x:f>
        <x:v>448</x:v>
      </x:c>
      <x:c r="C14" s="25" t="str">
        <x:v>kN</x:v>
      </x:c>
      <x:c r="D14" s="25" t="str">
        <x:v>Đóng góp cốt ngang chưa khống chế</x:v>
      </x:c>
      <x:c r="E14" s="25" t="str"/>
      <x:c r="F14" s="25" t="str">
        <x:v>≥0,25Fb,u để kể</x:v>
      </x:c>
      <x:c r="G14" s="25" t="str">
        <x:v>CT127</x:v>
      </x:c>
    </x:row>
    <x:row r="15">
      <x:c r="A15" s="25" t="str">
        <x:v>Fsw,u</x:v>
      </x:c>
      <x:c r="B15" s="58" t="n">
        <x:f>IF(B14&gt;=0.25*B12,MIN(B14,B12),0)</x:f>
        <x:v>448</x:v>
      </x:c>
      <x:c r="C15" s="25" t="str">
        <x:v>kN</x:v>
      </x:c>
      <x:c r="D15" s="25" t="str">
        <x:v>Cốt ngang được kể, khống chế</x:v>
      </x:c>
      <x:c r="E15" s="25" t="str"/>
      <x:c r="F15" s="25" t="str">
        <x:v>≤Fb,u</x:v>
      </x:c>
      <x:c r="G15" s="25" t="str">
        <x:v>8.1.6.2.2</x:v>
      </x:c>
    </x:row>
    <x:row r="16">
      <x:c r="A16" s="25" t="str">
        <x:v>Fu</x:v>
      </x:c>
      <x:c r="B16" s="58" t="n">
        <x:f>B12+B15</x:f>
        <x:v>1069</x:v>
      </x:c>
      <x:c r="C16" s="25" t="str">
        <x:v>kN</x:v>
      </x:c>
      <x:c r="D16" s="25" t="str">
        <x:v>Tổng sức kháng</x:v>
      </x:c>
      <x:c r="E16" s="25" t="str"/>
      <x:c r="F16" s="25" t="str">
        <x:v>≤2Fb,u</x:v>
      </x:c>
      <x:c r="G16" s="25" t="str">
        <x:v>CT123/126</x:v>
      </x:c>
    </x:row>
    <x:row r="17">
      <x:c r="A17" s="25" t="str">
        <x:v>F/Fu</x:v>
      </x:c>
      <x:c r="B17" s="58" t="n">
        <x:f>B4/B16</x:f>
        <x:v>0.4677268475210477</x:v>
      </x:c>
      <x:c r="C17" s="25" t="str">
        <x:v>-</x:v>
      </x:c>
      <x:c r="D17" s="25" t="str">
        <x:v>Hệ số sử dụng</x:v>
      </x:c>
      <x:c r="E17" s="25" t="str"/>
      <x:c r="F17" s="25" t="str">
        <x:f>IF(B17&lt;=1,"ĐẠT","KHÔNG ĐẠT")</x:f>
        <x:v>ĐẠT</x:v>
      </x:c>
      <x:c r="G17" s="25" t="str">
        <x:v>CT123/126</x:v>
      </x:c>
    </x:row>
    <x:row r="18">
      <x:c r="A18" s="25"/>
      <x:c r="B18" s="25"/>
      <x:c r="C18" s="25"/>
      <x:c r="D18" s="25"/>
      <x:c r="E18" s="25"/>
      <x:c r="F18" s="25"/>
      <x:c r="G18" s="25"/>
    </x:row>
    <x:row r="19">
      <x:c r="A19" s="25"/>
      <x:c r="B19" s="25"/>
      <x:c r="C19" s="25"/>
      <x:c r="D19" s="25"/>
      <x:c r="E19" s="25"/>
      <x:c r="F19" s="25"/>
      <x:c r="G19" s="25"/>
    </x:row>
    <x:row r="20">
      <x:c r="A20" s="25"/>
      <x:c r="B20" s="25"/>
      <x:c r="C20" s="25"/>
      <x:c r="D20" s="25"/>
      <x:c r="E20" s="25"/>
      <x:c r="F20" s="25"/>
      <x:c r="G20" s="25"/>
    </x:row>
    <x:row r="21">
      <x:c r="A21" s="25"/>
      <x:c r="B21" s="25"/>
      <x:c r="C21" s="25"/>
      <x:c r="D21" s="25"/>
      <x:c r="E21" s="25"/>
      <x:c r="F21" s="25"/>
      <x:c r="G21" s="25"/>
    </x:row>
    <x:row r="22">
      <x:c r="A22" s="25"/>
      <x:c r="B22" s="25"/>
      <x:c r="C22" s="25"/>
      <x:c r="D22" s="25"/>
      <x:c r="E22" s="25"/>
      <x:c r="F22" s="25"/>
      <x:c r="G22" s="25"/>
    </x:row>
    <x:row r="23">
      <x:c r="A23" s="25"/>
      <x:c r="B23" s="25"/>
      <x:c r="C23" s="25"/>
      <x:c r="D23" s="25"/>
      <x:c r="E23" s="25"/>
      <x:c r="F23" s="25"/>
      <x:c r="G23" s="25"/>
    </x:row>
    <x:row r="24">
      <x:c r="A24" s="25"/>
      <x:c r="B24" s="25"/>
      <x:c r="C24" s="25"/>
      <x:c r="D24" s="25"/>
      <x:c r="E24" s="25"/>
      <x:c r="F24" s="25"/>
      <x:c r="G24" s="25"/>
    </x:row>
    <x:row r="25">
      <x:c r="A25" s="25"/>
      <x:c r="B25" s="25"/>
      <x:c r="C25" s="25"/>
      <x:c r="D25" s="25"/>
      <x:c r="E25" s="25"/>
      <x:c r="F25" s="25"/>
      <x:c r="G25" s="25"/>
    </x:row>
    <x:row r="26">
      <x:c r="A26" s="25"/>
      <x:c r="B26" s="25"/>
      <x:c r="C26" s="25"/>
      <x:c r="D26" s="25"/>
      <x:c r="E26" s="25"/>
      <x:c r="F26" s="25"/>
      <x:c r="G26" s="25"/>
    </x:row>
    <x:row r="27">
      <x:c r="A27" s="25"/>
      <x:c r="B27" s="25"/>
      <x:c r="C27" s="25"/>
      <x:c r="D27" s="25"/>
      <x:c r="E27" s="25"/>
      <x:c r="F27" s="25"/>
      <x:c r="G27" s="25"/>
    </x:row>
    <x:row r="28">
      <x:c r="A28" s="25"/>
      <x:c r="B28" s="25"/>
      <x:c r="C28" s="25"/>
      <x:c r="D28" s="25"/>
      <x:c r="E28" s="25"/>
      <x:c r="F28" s="25"/>
      <x:c r="G28" s="25"/>
    </x:row>
    <x:row r="29">
      <x:c r="A29" s="25"/>
      <x:c r="B29" s="25"/>
      <x:c r="C29" s="25"/>
      <x:c r="D29" s="25"/>
      <x:c r="E29" s="25"/>
      <x:c r="F29" s="25"/>
      <x:c r="G29" s="25"/>
    </x:row>
    <x:row r="30">
      <x:c r="A30" s="25"/>
      <x:c r="B30" s="25"/>
      <x:c r="C30" s="25"/>
      <x:c r="D30" s="25"/>
      <x:c r="E30" s="25"/>
      <x:c r="F30" s="25"/>
      <x:c r="G30" s="25"/>
    </x:row>
    <x:row r="31">
      <x:c r="A31" s="25"/>
      <x:c r="B31" s="25"/>
      <x:c r="C31" s="25"/>
      <x:c r="D31" s="25"/>
      <x:c r="E31" s="25"/>
      <x:c r="F31" s="25"/>
      <x:c r="G31" s="25"/>
    </x:row>
    <x:row r="32">
      <x:c r="A32" s="25"/>
      <x:c r="B32" s="25"/>
      <x:c r="C32" s="25"/>
      <x:c r="D32" s="25"/>
      <x:c r="E32" s="25"/>
      <x:c r="F32" s="25"/>
      <x:c r="G32" s="25"/>
    </x:row>
    <x:row r="33">
      <x:c r="A33" s="25"/>
      <x:c r="B33" s="25"/>
      <x:c r="C33" s="25"/>
      <x:c r="D33" s="25"/>
      <x:c r="E33" s="25"/>
      <x:c r="F33" s="25"/>
      <x:c r="G33" s="25"/>
    </x:row>
    <x:row r="34">
      <x:c r="A34" s="25"/>
      <x:c r="B34" s="25"/>
      <x:c r="C34" s="25"/>
      <x:c r="D34" s="25"/>
      <x:c r="E34" s="25"/>
      <x:c r="F34" s="25"/>
      <x:c r="G34" s="25"/>
    </x:row>
    <x:row r="35">
      <x:c r="A35" s="25"/>
      <x:c r="B35" s="25"/>
      <x:c r="C35" s="25"/>
      <x:c r="D35" s="25"/>
      <x:c r="E35" s="25"/>
      <x:c r="F35" s="25"/>
      <x:c r="G35" s="25"/>
    </x:row>
  </x:sheetData>
  <x:mergeCells>
    <x:mergeCell ref="A1:G1"/>
  </x:mergeCells>
  <x:conditionalFormatting sqref="B17:B17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{F8D19D1F-6F2E-052F-2F3F-919CC78F07AE}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8D19D1F-6F2E-052F-2F3F-919CC78F07AE}">
            <x14:dataBar gradient="1">
              <x14:cfvo type="min"/>
              <x14:cfvo type="max"/>
              <x14:fillColor rgb="FFA02B93"/>
            </x14:dataBar>
          </x14:cfRule>
          <xm:sqref>B17:B17</xm:sqref>
        </x14:conditionalFormatting>
      </x14:conditionalFormattings>
    </x:ext>
  </x:extLst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3" hidden="0" customWidth="1"/>
    <x:col min="4" max="4" width="56" hidden="0" customWidth="1"/>
    <x:col min="5" max="5" width="44" hidden="0" customWidth="1"/>
    <x:col min="6" max="6" width="22" hidden="0" customWidth="1"/>
    <x:col min="7" max="7" width="26" hidden="0" customWidth="1"/>
    <x:col min="8" max="8" width="16" hidden="0" customWidth="1"/>
  </x:cols>
  <x:sheetData>
    <x:row r="1" ht="16.799999237060547" hidden="0" customHeight="1">
      <x:c r="A1" s="100" t="str">
        <x:v>12 · NỨT SLS – TỰ TRA Rbt,ser / Rs,ser / BẢNG 17</x:v>
      </x:c>
      <x:c r="B1" s="100"/>
      <x:c r="C1" s="100"/>
      <x:c r="D1" s="100"/>
      <x:c r="E1" s="100"/>
      <x:c r="F1" s="100"/>
      <x:c r="G1" s="100"/>
      <x:c r="H1" s="100"/>
    </x:row>
    <x:row r="2" ht="15" hidden="0" customHeight="1">
      <x:c r="A2" s="25"/>
      <x:c r="B2" s="25"/>
      <x:c r="C2" s="25"/>
      <x:c r="D2" s="25"/>
      <x:c r="E2" s="25"/>
      <x:c r="F2" s="25"/>
      <x:c r="G2" s="25"/>
      <x:c r="H2" s="25"/>
    </x:row>
    <x:row r="3" ht="15" hidden="0" customHeight="1">
      <x:c r="A3" s="101" t="str">
        <x:v>Thông số</x:v>
      </x:c>
      <x:c r="B3" s="101" t="str">
        <x:v>Giá trị</x:v>
      </x:c>
      <x:c r="C3" s="101" t="str">
        <x:v>Đơn vị</x:v>
      </x:c>
      <x:c r="D3" s="101" t="str">
        <x:v>Diễn giải</x:v>
      </x:c>
      <x:c r="E3" s="101" t="str">
        <x:v>Công thức/tra</x:v>
      </x:c>
      <x:c r="F3" s="101" t="str">
        <x:v>Kiểm tra</x:v>
      </x:c>
      <x:c r="G3" s="101" t="str">
        <x:v>Nguồn</x:v>
      </x:c>
      <x:c r="H3" s="101" t="str">
        <x:v>Trạng thái</x:v>
      </x:c>
    </x:row>
    <x:row r="4" ht="15" hidden="0" customHeight="1">
      <x:c r="A4" s="25" t="str">
        <x:v>Bê tông</x:v>
      </x:c>
      <x:c r="B4" s="102" t="str">
        <x:v>B30</x:v>
      </x:c>
      <x:c r="C4" s="25" t="str">
        <x:v>-</x:v>
      </x:c>
      <x:c r="D4" s="25" t="str">
        <x:v>Chọn cấp bê tông</x:v>
      </x:c>
      <x:c r="E4" s="25" t="str">
        <x:v>Bảng 6</x:v>
      </x:c>
      <x:c r="F4" s="25" t="str"/>
      <x:c r="G4" s="25" t="str"/>
      <x:c r="H4" s="25" t="str">
        <x:v>INPUT</x:v>
      </x:c>
    </x:row>
    <x:row r="5" ht="15" hidden="0" customHeight="1">
      <x:c r="A5" s="25" t="str">
        <x:v>Thép</x:v>
      </x:c>
      <x:c r="B5" s="102" t="str">
        <x:v>CB400-V</x:v>
      </x:c>
      <x:c r="C5" s="25" t="str">
        <x:v>-</x:v>
      </x:c>
      <x:c r="D5" s="25" t="str">
        <x:v>Chọn loại thép</x:v>
      </x:c>
      <x:c r="E5" s="25" t="str">
        <x:v>Bảng 12</x:v>
      </x:c>
      <x:c r="F5" s="25" t="str"/>
      <x:c r="G5" s="25" t="str"/>
      <x:c r="H5" s="25" t="str">
        <x:v>INPUT</x:v>
      </x:c>
    </x:row>
    <x:row r="6" ht="15" hidden="0" customHeight="1">
      <x:c r="A6" s="25" t="str">
        <x:v>b</x:v>
      </x:c>
      <x:c r="B6" s="102" t="n">
        <x:v>300</x:v>
      </x:c>
      <x:c r="C6" s="25" t="str">
        <x:v>mm</x:v>
      </x:c>
      <x:c r="D6" s="25" t="str">
        <x:v>Bề rộng</x:v>
      </x:c>
      <x:c r="E6" s="25" t="str">
        <x:v>INPUT</x:v>
      </x:c>
      <x:c r="F6" s="25" t="str"/>
      <x:c r="G6" s="25" t="str"/>
      <x:c r="H6" s="25" t="str">
        <x:v>INPUT</x:v>
      </x:c>
    </x:row>
    <x:row r="7" ht="15" hidden="0" customHeight="1">
      <x:c r="A7" s="25" t="str">
        <x:v>h</x:v>
      </x:c>
      <x:c r="B7" s="102" t="n">
        <x:v>500</x:v>
      </x:c>
      <x:c r="C7" s="25" t="str">
        <x:v>mm</x:v>
      </x:c>
      <x:c r="D7" s="25" t="str">
        <x:v>Chiều cao</x:v>
      </x:c>
      <x:c r="E7" s="25" t="str">
        <x:v>INPUT</x:v>
      </x:c>
      <x:c r="F7" s="25" t="str"/>
      <x:c r="G7" s="25" t="str"/>
      <x:c r="H7" s="25" t="str">
        <x:v>INPUT</x:v>
      </x:c>
    </x:row>
    <x:row r="8" ht="15" hidden="0" customHeight="1">
      <x:c r="A8" s="25" t="str">
        <x:v>h0</x:v>
      </x:c>
      <x:c r="B8" s="102" t="n">
        <x:v>450</x:v>
      </x:c>
      <x:c r="C8" s="25" t="str">
        <x:v>mm</x:v>
      </x:c>
      <x:c r="D8" s="25" t="str">
        <x:v>Chiều cao làm việc</x:v>
      </x:c>
      <x:c r="E8" s="25" t="str">
        <x:v>INPUT</x:v>
      </x:c>
      <x:c r="F8" s="25" t="str"/>
      <x:c r="G8" s="25" t="str"/>
      <x:c r="H8" s="25" t="str">
        <x:v>INPUT</x:v>
      </x:c>
    </x:row>
    <x:row r="9" ht="15" hidden="0" customHeight="1">
      <x:c r="A9" s="25" t="str">
        <x:v>As</x:v>
      </x:c>
      <x:c r="B9" s="102" t="n">
        <x:v>1800</x:v>
      </x:c>
      <x:c r="C9" s="25" t="str">
        <x:v>mm²</x:v>
      </x:c>
      <x:c r="D9" s="25" t="str">
        <x:v>Thép chịu kéo</x:v>
      </x:c>
      <x:c r="E9" s="25" t="str">
        <x:v>INPUT</x:v>
      </x:c>
      <x:c r="F9" s="25" t="str"/>
      <x:c r="G9" s="25" t="str"/>
      <x:c r="H9" s="25" t="str">
        <x:v>INPUT</x:v>
      </x:c>
    </x:row>
    <x:row r="10" ht="15" hidden="0" customHeight="1">
      <x:c r="A10" s="25" t="str">
        <x:v>a</x:v>
      </x:c>
      <x:c r="B10" s="102" t="n">
        <x:v>50</x:v>
      </x:c>
      <x:c r="C10" s="25" t="str">
        <x:v>mm</x:v>
      </x:c>
      <x:c r="D10" s="25" t="str">
        <x:v>Từ biên kéo đến trọng tâm As</x:v>
      </x:c>
      <x:c r="E10" s="25" t="str">
        <x:v>INPUT</x:v>
      </x:c>
      <x:c r="F10" s="25" t="str"/>
      <x:c r="G10" s="25" t="str"/>
      <x:c r="H10" s="25" t="str">
        <x:v>INPUT</x:v>
      </x:c>
    </x:row>
    <x:row r="11" ht="15" hidden="0" customHeight="1">
      <x:c r="A11" s="25" t="str">
        <x:v>M</x:v>
      </x:c>
      <x:c r="B11" s="102" t="n">
        <x:v>180</x:v>
      </x:c>
      <x:c r="C11" s="25" t="str">
        <x:v>kN.m</x:v>
      </x:c>
      <x:c r="D11" s="25" t="str">
        <x:v>Mô men SLS</x:v>
      </x:c>
      <x:c r="E11" s="25" t="str">
        <x:v>INPUT</x:v>
      </x:c>
      <x:c r="F11" s="25" t="str"/>
      <x:c r="G11" s="25" t="str"/>
      <x:c r="H11" s="25" t="str">
        <x:v>INPUT</x:v>
      </x:c>
    </x:row>
    <x:row r="12" ht="15" hidden="0" customHeight="1">
      <x:c r="A12" s="25" t="str">
        <x:v>ds</x:v>
      </x:c>
      <x:c r="B12" s="102" t="n">
        <x:v>20</x:v>
      </x:c>
      <x:c r="C12" s="25" t="str">
        <x:v>mm</x:v>
      </x:c>
      <x:c r="D12" s="25" t="str">
        <x:v>Đường kính thép</x:v>
      </x:c>
      <x:c r="E12" s="25" t="str">
        <x:v>INPUT</x:v>
      </x:c>
      <x:c r="F12" s="25" t="str"/>
      <x:c r="G12" s="25" t="str"/>
      <x:c r="H12" s="25" t="str">
        <x:v>INPUT</x:v>
      </x:c>
    </x:row>
    <x:row r="13" ht="15" hidden="0" customHeight="1">
      <x:c r="A13" s="25" t="str">
        <x:v>Abt</x:v>
      </x:c>
      <x:c r="B13" s="102" t="n">
        <x:v>60000</x:v>
      </x:c>
      <x:c r="C13" s="25" t="str">
        <x:v>mm²</x:v>
      </x:c>
      <x:c r="D13" s="25" t="str">
        <x:v>Diện tích bê tông vùng kéo CT174</x:v>
      </x:c>
      <x:c r="E13" s="25" t="str">
        <x:v>INPUT</x:v>
      </x:c>
      <x:c r="F13" s="25" t="str"/>
      <x:c r="G13" s="25" t="str"/>
      <x:c r="H13" s="25" t="str">
        <x:v>INPUT</x:v>
      </x:c>
    </x:row>
    <x:row r="14" ht="15" hidden="0" customHeight="1">
      <x:c r="A14" s="25" t="str">
        <x:v>Dài hạn?</x:v>
      </x:c>
      <x:c r="B14" s="102" t="str">
        <x:v>Không</x:v>
      </x:c>
      <x:c r="C14" s="25" t="str">
        <x:v>Có/Không</x:v>
      </x:c>
      <x:c r="D14" s="25" t="str">
        <x:v>Chọn giới hạn Bảng 17</x:v>
      </x:c>
      <x:c r="E14" s="25" t="str">
        <x:v>INPUT</x:v>
      </x:c>
      <x:c r="F14" s="25" t="str"/>
      <x:c r="G14" s="25" t="str"/>
      <x:c r="H14" s="25" t="str">
        <x:v>INPUT</x:v>
      </x:c>
    </x:row>
    <x:row r="15" ht="15" hidden="0" customHeight="1">
      <x:c r="A15" s="25" t="str">
        <x:v>Hạn chế thấm?</x:v>
      </x:c>
      <x:c r="B15" s="102" t="str">
        <x:v>Không</x:v>
      </x:c>
      <x:c r="C15" s="25" t="str">
        <x:v>Có/Không</x:v>
      </x:c>
      <x:c r="D15" s="25" t="str">
        <x:v>Nếu Có → dùng hàng hạn chế thấm Bảng 17</x:v>
      </x:c>
      <x:c r="E15" s="25" t="str">
        <x:v>INPUT</x:v>
      </x:c>
      <x:c r="F15" s="25" t="str"/>
      <x:c r="G15" s="25" t="str"/>
      <x:c r="H15" s="25" t="str">
        <x:v>INPUT</x:v>
      </x:c>
    </x:row>
    <x:row r="16" ht="15" hidden="0" customHeight="1">
      <x:c r="A16" s="25"/>
      <x:c r="B16" s="36"/>
      <x:c r="C16" s="25"/>
      <x:c r="D16" s="25"/>
      <x:c r="E16" s="25"/>
      <x:c r="F16" s="25"/>
      <x:c r="G16" s="25"/>
      <x:c r="H16" s="25"/>
    </x:row>
    <x:row r="17" ht="15" hidden="0" customHeight="1">
      <x:c r="A17" s="101" t="str">
        <x:v>Bước</x:v>
      </x:c>
      <x:c r="B17" s="101" t="str">
        <x:v>Kết quả</x:v>
      </x:c>
      <x:c r="C17" s="101" t="str">
        <x:v>Đơn vị</x:v>
      </x:c>
      <x:c r="D17" s="101" t="str">
        <x:v>Giải thích</x:v>
      </x:c>
      <x:c r="E17" s="101" t="str">
        <x:v>Công thức Excel</x:v>
      </x:c>
      <x:c r="F17" s="101" t="str">
        <x:v>Kiểm tra</x:v>
      </x:c>
      <x:c r="G17" s="101" t="str">
        <x:v>Nguồn</x:v>
      </x:c>
      <x:c r="H17" s="101" t="str">
        <x:v>Trạng thái</x:v>
      </x:c>
    </x:row>
    <x:row r="18" ht="15" hidden="0" customHeight="1">
      <x:c r="A18" s="25" t="str">
        <x:v>Rb,ser</x:v>
      </x:c>
      <x:c r="B18" s="103" t="n">
        <x:f>INDEX('16_BANG_SLS'!B4:B22,MATCH(B4,'16_BANG_SLS'!A4:A22,0))</x:f>
        <x:v>22</x:v>
      </x:c>
      <x:c r="C18" s="25"/>
      <x:c r="D18" s="25" t="str">
        <x:v>Cường độ nén SLS</x:v>
      </x:c>
      <x:c r="E18" s="25"/>
      <x:c r="F18" s="25"/>
      <x:c r="G18" s="25" t="str">
        <x:v>Bảng 6</x:v>
      </x:c>
      <x:c r="H18" s="25"/>
    </x:row>
    <x:row r="19" ht="15" hidden="0" customHeight="1">
      <x:c r="A19" s="25" t="str">
        <x:v>Rbt,ser</x:v>
      </x:c>
      <x:c r="B19" s="103" t="n">
        <x:f>INDEX('16_BANG_SLS'!C4:C22,MATCH(B4,'16_BANG_SLS'!A4:A22,0))</x:f>
        <x:v>1.75</x:v>
      </x:c>
      <x:c r="C19" s="25"/>
      <x:c r="D19" s="25" t="str">
        <x:v>Cường độ kéo SLS</x:v>
      </x:c>
      <x:c r="E19" s="25"/>
      <x:c r="F19" s="25"/>
      <x:c r="G19" s="25" t="str">
        <x:v>Bảng 6</x:v>
      </x:c>
      <x:c r="H19" s="25"/>
    </x:row>
    <x:row r="20" ht="15" hidden="0" customHeight="1">
      <x:c r="A20" s="26" t="str">
        <x:v>Rs,ser</x:v>
      </x:c>
      <x:c r="B20" s="104" t="n">
        <x:f>INDEX('16_BANG_SLS'!G4:G8,MATCH(B5,'16_BANG_SLS'!F4:F8,0))</x:f>
        <x:v>400</x:v>
      </x:c>
      <x:c r="C20" s="26"/>
      <x:c r="D20" s="26" t="str">
        <x:v>Giới hạn thép SLS</x:v>
      </x:c>
      <x:c r="E20" s="26"/>
      <x:c r="F20" s="26"/>
      <x:c r="G20" s="26" t="str">
        <x:v>Bảng 12</x:v>
      </x:c>
      <x:c r="H20" s="26"/>
    </x:row>
    <x:row r="21" ht="15" hidden="0" customHeight="1">
      <x:c r="A21" s="25" t="str">
        <x:v>Eb</x:v>
      </x:c>
      <x:c r="B21" s="103" t="n">
        <x:f>INDEX('02_VAT_LIEU'!D4:D22,MATCH(B4,'02_VAT_LIEU'!A4:A22,0))</x:f>
        <x:v>32500</x:v>
      </x:c>
      <x:c r="C21" s="25"/>
      <x:c r="D21" s="25" t="str">
        <x:v>Mô đun bê tông</x:v>
      </x:c>
      <x:c r="E21" s="25"/>
      <x:c r="F21" s="25"/>
      <x:c r="G21" s="25"/>
      <x:c r="H21" s="25"/>
    </x:row>
    <x:row r="22" ht="15" hidden="0" customHeight="1">
      <x:c r="A22" s="25" t="str">
        <x:v>α</x:v>
      </x:c>
      <x:c r="B22" s="103" t="n">
        <x:f>200000/B21</x:f>
        <x:v>6.153846153846154</x:v>
      </x:c>
      <x:c r="C22" s="25"/>
      <x:c r="D22" s="25" t="str">
        <x:v>Quy đổi thép/bê tông</x:v>
      </x:c>
      <x:c r="E22" s="25"/>
      <x:c r="F22" s="25"/>
      <x:c r="G22" s="25"/>
      <x:c r="H22" s="25"/>
    </x:row>
    <x:row r="23" ht="15" hidden="0" customHeight="1">
      <x:c r="A23" s="25" t="str">
        <x:v>Ared</x:v>
      </x:c>
      <x:c r="B23" s="103" t="n">
        <x:f>B6*B7+B22*B9</x:f>
        <x:v>161076.92307692306</x:v>
      </x:c>
      <x:c r="C23" s="25"/>
      <x:c r="D23" s="25" t="str">
        <x:v>Tiết diện quy đổi</x:v>
      </x:c>
      <x:c r="E23" s="25"/>
      <x:c r="F23" s="25"/>
      <x:c r="G23" s="25"/>
      <x:c r="H23" s="25"/>
    </x:row>
    <x:row r="24" ht="15" hidden="0" customHeight="1">
      <x:c r="A24" s="25" t="str">
        <x:v>ybar</x:v>
      </x:c>
      <x:c r="B24" s="103" t="n">
        <x:f>(B6*B7*B7/2+B22*B9*(B7-B10))/B23</x:f>
        <x:v>263.75358166189113</x:v>
      </x:c>
      <x:c r="C24" s="25"/>
      <x:c r="D24" s="25" t="str">
        <x:v>Trọng tâm quy đổi</x:v>
      </x:c>
      <x:c r="E24" s="25"/>
      <x:c r="F24" s="25"/>
      <x:c r="G24" s="25"/>
      <x:c r="H24" s="25"/>
    </x:row>
    <x:row r="25" ht="15" hidden="0" customHeight="1">
      <x:c r="A25" s="25" t="str">
        <x:v>Ired</x:v>
      </x:c>
      <x:c r="B25" s="103" t="n">
        <x:f>B6*B7^3/12+B6*B7*(B7/2-B24)^2+B22*B9*(B7-B10-B24)^2</x:f>
        <x:v>3537607449.8567333</x:v>
      </x:c>
      <x:c r="C25" s="25"/>
      <x:c r="D25" s="25" t="str">
        <x:v>Mô men quán tính quy đổi</x:v>
      </x:c>
      <x:c r="E25" s="25"/>
      <x:c r="F25" s="25"/>
      <x:c r="G25" s="25"/>
      <x:c r="H25" s="25"/>
    </x:row>
    <x:row r="26" ht="15" hidden="0" customHeight="1">
      <x:c r="A26" s="25" t="str">
        <x:v>Wred</x:v>
      </x:c>
      <x:c r="B26" s="103" t="n">
        <x:f>B25/(B7-B24)</x:f>
        <x:v>14974226.80412371</x:v>
      </x:c>
      <x:c r="C26" s="25"/>
      <x:c r="D26" s="25" t="str">
        <x:v>Mô men kháng</x:v>
      </x:c>
      <x:c r="E26" s="25"/>
      <x:c r="F26" s="25"/>
      <x:c r="G26" s="25"/>
      <x:c r="H26" s="25"/>
    </x:row>
    <x:row r="27" ht="15" hidden="0" customHeight="1">
      <x:c r="A27" s="25" t="str">
        <x:v>Mcrc</x:v>
      </x:c>
      <x:c r="B27" s="103" t="n">
        <x:f>1.3*B26*B19/1000000</x:f>
        <x:v>34.066365979381445</x:v>
      </x:c>
      <x:c r="C27" s="25"/>
      <x:c r="D27" s="25" t="str">
        <x:v>Mô men bắt đầu nứt</x:v>
      </x:c>
      <x:c r="E27" s="25"/>
      <x:c r="F27" s="25"/>
      <x:c r="G27" s="25" t="str">
        <x:v>CT158–160</x:v>
      </x:c>
      <x:c r="H27" s="25"/>
    </x:row>
    <x:row r="28" ht="15" hidden="0" customHeight="1">
      <x:c r="A28" s="25" t="str">
        <x:v>zs</x:v>
      </x:c>
      <x:c r="B28" s="103" t="n">
        <x:f>0.8*B8</x:f>
        <x:v>360</x:v>
      </x:c>
      <x:c r="C28" s="25"/>
      <x:c r="D28" s="25" t="str">
        <x:v>Cánh tay đòn</x:v>
      </x:c>
      <x:c r="E28" s="25"/>
      <x:c r="F28" s="25"/>
      <x:c r="G28" s="25" t="str">
        <x:v>8.2.2.3.2</x:v>
      </x:c>
      <x:c r="H28" s="25"/>
    </x:row>
    <x:row r="29" ht="15" hidden="0" customHeight="1">
      <x:c r="A29" s="25" t="str">
        <x:v>σs</x:v>
      </x:c>
      <x:c r="B29" s="103" t="n">
        <x:f>B11*1000000/(B28*B9)</x:f>
        <x:v>277.77777777777777</x:v>
      </x:c>
      <x:c r="C29" s="25"/>
      <x:c r="D29" s="25" t="str">
        <x:v>Ứng suất thép</x:v>
      </x:c>
      <x:c r="E29" s="25"/>
      <x:c r="F29" s="25"/>
      <x:c r="G29" s="25" t="str">
        <x:v>CT170</x:v>
      </x:c>
      <x:c r="H29" s="25"/>
    </x:row>
    <x:row r="30" ht="15" hidden="0" customHeight="1">
      <x:c r="A30" s="25" t="str">
        <x:v>Ls</x:v>
      </x:c>
      <x:c r="B30" s="103" t="n">
        <x:f>MAX(MAX(10*B12,100),MIN(0.5*B13/B9*B12,MIN(40*B12,400)))</x:f>
        <x:v>333.33333333333337</x:v>
      </x:c>
      <x:c r="C30" s="25"/>
      <x:c r="D30" s="25" t="str">
        <x:v>Khoảng cách vết nứt</x:v>
      </x:c>
      <x:c r="E30" s="25"/>
      <x:c r="F30" s="25"/>
      <x:c r="G30" s="25" t="str">
        <x:v>CT174</x:v>
      </x:c>
      <x:c r="H30" s="25"/>
    </x:row>
    <x:row r="31" ht="15" hidden="0" customHeight="1">
      <x:c r="A31" s="25" t="str">
        <x:v>ψs</x:v>
      </x:c>
      <x:c r="B31" s="103" t="n">
        <x:f>MAX(0,MIN(1,1-0.8*B27/B11))</x:f>
        <x:v>0.8485939289805269</x:v>
      </x:c>
      <x:c r="C31" s="25"/>
      <x:c r="D31" s="25" t="str">
        <x:v>Hệ số giữa vết nứt</x:v>
      </x:c>
      <x:c r="E31" s="25"/>
      <x:c r="F31" s="25"/>
      <x:c r="G31" s="25" t="str">
        <x:v>CT176</x:v>
      </x:c>
      <x:c r="H31" s="25"/>
    </x:row>
    <x:row r="32" ht="15" hidden="0" customHeight="1">
      <x:c r="A32" s="25" t="str">
        <x:v>acrc</x:v>
      </x:c>
      <x:c r="B32" s="103" t="n">
        <x:f>IF(B14="Có",1.4,1)*0.5*B31*B29/200000*B30</x:f>
        <x:v>0.19643377985660346</x:v>
      </x:c>
      <x:c r="C32" s="25"/>
      <x:c r="D32" s="25" t="str">
        <x:v>Chiều rộng vết nứt</x:v>
      </x:c>
      <x:c r="E32" s="25"/>
      <x:c r="F32" s="25"/>
      <x:c r="G32" s="25" t="str">
        <x:v>CT166</x:v>
      </x:c>
      <x:c r="H32" s="25"/>
    </x:row>
    <x:row r="33" ht="15" hidden="0" customHeight="1">
      <x:c r="A33" s="25" t="str">
        <x:v>acrc,u</x:v>
      </x:c>
      <x:c r="B33" s="103" t="n">
        <x:f>IF(B15="Có",IF(B14="Có",0.2,0.3),IF(B14="Có",0.3,0.4))</x:f>
        <x:v>0.4</x:v>
      </x:c>
      <x:c r="C33" s="25"/>
      <x:c r="D33" s="25" t="str">
        <x:v>Giới hạn Bảng 17</x:v>
      </x:c>
      <x:c r="E33" s="25"/>
      <x:c r="F33" s="25"/>
      <x:c r="G33" s="25" t="str">
        <x:v>Bảng 17</x:v>
      </x:c>
      <x:c r="H33" s="25"/>
    </x:row>
    <x:row r="34" ht="15" hidden="0" customHeight="1">
      <x:c r="A34" s="25" t="str">
        <x:v>Kết luận</x:v>
      </x:c>
      <x:c r="B34" s="103" t="str">
        <x:f>IF(AND(B29&lt;=B20,B32&lt;=B33),"ĐẠT","KHÔNG ĐẠT")</x:f>
        <x:v>ĐẠT</x:v>
      </x:c>
      <x:c r="C34" s="25"/>
      <x:c r="D34" s="25" t="str">
        <x:v>Kiểm σs≤Rs,ser và acrc≤acrc,u</x:v>
      </x:c>
      <x:c r="E34" s="25"/>
      <x:c r="F34" s="25"/>
      <x:c r="G34" s="25" t="str">
        <x:v>SLS</x:v>
      </x:c>
      <x:c r="H34" s="25"/>
    </x:row>
    <x:row r="35" ht="15" hidden="0" customHeight="1">
      <x:c r="A35" s="25"/>
      <x:c r="B35" s="25"/>
      <x:c r="C35" s="25"/>
      <x:c r="D35" s="25"/>
      <x:c r="E35" s="25"/>
      <x:c r="F35" s="25"/>
      <x:c r="G35" s="25"/>
      <x:c r="H35" s="25"/>
    </x:row>
    <x:row r="36">
      <x:c r="A36" s="20"/>
      <x:c r="B36" s="20"/>
      <x:c r="C36" s="20"/>
      <x:c r="D36" s="20"/>
      <x:c r="E36" s="20"/>
      <x:c r="F36" s="20"/>
      <x:c r="G36" s="20"/>
      <x:c r="H36" s="20"/>
    </x:row>
    <x:row r="37">
      <x:c r="A37" s="20"/>
      <x:c r="B37" s="20"/>
      <x:c r="C37" s="20"/>
      <x:c r="D37" s="20"/>
      <x:c r="E37" s="20"/>
      <x:c r="F37" s="20"/>
      <x:c r="G37" s="20"/>
      <x:c r="H37" s="20"/>
    </x:row>
    <x:row r="38">
      <x:c r="A38" s="20"/>
      <x:c r="B38" s="20"/>
      <x:c r="C38" s="20"/>
      <x:c r="D38" s="20"/>
      <x:c r="E38" s="20"/>
      <x:c r="F38" s="20"/>
      <x:c r="G38" s="20"/>
      <x:c r="H38" s="20"/>
    </x:row>
    <x:row r="39">
      <x:c r="A39" s="20"/>
      <x:c r="B39" s="20"/>
      <x:c r="C39" s="20"/>
      <x:c r="D39" s="20"/>
      <x:c r="E39" s="20"/>
      <x:c r="F39" s="20"/>
      <x:c r="G39" s="20"/>
      <x:c r="H39" s="20"/>
    </x:row>
    <x:row r="40">
      <x:c r="A40" s="20"/>
      <x:c r="B40" s="20"/>
      <x:c r="C40" s="20"/>
      <x:c r="D40" s="20"/>
      <x:c r="E40" s="20"/>
      <x:c r="F40" s="20"/>
      <x:c r="G40" s="20"/>
      <x:c r="H40" s="20"/>
    </x:row>
  </x:sheetData>
  <x:mergeCells>
    <x:mergeCell ref="A1:H1"/>
  </x:mergeCells>
  <x:conditionalFormatting sqref="B32:B33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{35586A0A-8E02-D777-FA87-C12B363131E2}</x14:id>
        </x:ext>
      </x:extLst>
    </x:cfRule>
  </x:conditionalFormatting>
  <x:dataValidations count="3">
    <x:dataValidation type="list" sqref="B4">
      <x:formula1>"B3.5,B5,B7.5,B10,B12.5,B15,B20,B25,B30,B35,B40,B45,B50,B55,B60,B70,B80,B90,B100"</x:formula1>
    </x:dataValidation>
    <x:dataValidation type="list" sqref="B5">
      <x:formula1>"CB240-T,CB300-T,CB300-V,CB400-V,CB500-V"</x:formula1>
    </x:dataValidation>
    <x:dataValidation type="list" sqref="B14:B15">
      <x:formula1>"Có,Không"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5586A0A-8E02-D777-FA87-C12B363131E2}">
            <x14:dataBar gradient="1">
              <x14:cfvo type="min"/>
              <x14:cfvo type="max"/>
              <x14:fillColor rgb="FFA02B93"/>
            </x14:dataBar>
          </x14:cfRule>
          <xm:sqref>B32:B33</xm:sqref>
        </x14:conditionalFormatting>
      </x14:conditionalFormattings>
    </x:ext>
  </x:extLst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4" hidden="0" customWidth="1"/>
    <x:col min="4" max="4" width="52" hidden="0" customWidth="1"/>
    <x:col min="5" max="5" width="40" hidden="0" customWidth="1"/>
    <x:col min="6" max="6" width="20" hidden="0" customWidth="1"/>
    <x:col min="7" max="7" width="24" hidden="0" customWidth="1"/>
    <x:col min="8" max="8" width="16" hidden="0" customWidth="1"/>
    <x:col min="10" max="10" width="20" hidden="0" customWidth="1"/>
    <x:col min="11" max="11" width="16" hidden="0" customWidth="1"/>
  </x:cols>
  <x:sheetData>
    <x:row r="1" ht="16.799999237060547" hidden="0" customHeight="1">
      <x:c r="A1" s="100" t="str">
        <x:v>13 · BIẾN DẠNG SÂU – KHÔNG NỨT / CÓ NỨT / BIẾN DẠNG TRƯỢT</x:v>
      </x:c>
      <x:c r="B1" s="100"/>
      <x:c r="C1" s="100"/>
      <x:c r="D1" s="100"/>
      <x:c r="E1" s="100"/>
      <x:c r="F1" s="100"/>
      <x:c r="G1" s="100"/>
      <x:c r="H1" s="100"/>
      <x:c r="I1" s="25"/>
      <x:c r="J1" s="25"/>
      <x:c r="K1" s="25"/>
      <x:c r="L1" s="25"/>
      <x:c r="M1" s="25"/>
      <x:c r="N1" s="25"/>
      <x:c r="O1" s="25"/>
      <x:c r="P1" s="25"/>
      <x:c r="Q1" s="25"/>
    </x:row>
    <x:row r="2" ht="15" hidden="0" customHeight="1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</x:row>
    <x:row r="3" ht="15" hidden="0" customHeight="1">
      <x:c r="A3" s="101" t="str">
        <x:v>Thông số</x:v>
      </x:c>
      <x:c r="B3" s="101" t="str">
        <x:v>Giá trị</x:v>
      </x:c>
      <x:c r="C3" s="101" t="str">
        <x:v>Đơn vị</x:v>
      </x:c>
      <x:c r="D3" s="101" t="str">
        <x:v>Giải thích</x:v>
      </x:c>
      <x:c r="E3" s="101" t="str">
        <x:v>Dùng cho</x:v>
      </x:c>
      <x:c r="F3" s="101" t="str">
        <x:v>Kiểm tra</x:v>
      </x:c>
      <x:c r="G3" s="101" t="str">
        <x:v>Nguồn</x:v>
      </x:c>
      <x:c r="H3" s="101" t="str">
        <x:v>Trạng thái</x:v>
      </x:c>
      <x:c r="I3" s="25"/>
      <x:c r="J3" s="101" t="str">
        <x:v>Thành phần</x:v>
      </x:c>
      <x:c r="K3" s="101" t="str">
        <x:v>mm</x:v>
      </x:c>
      <x:c r="L3" s="25"/>
      <x:c r="M3" s="25"/>
      <x:c r="N3" s="25"/>
      <x:c r="O3" s="25"/>
      <x:c r="P3" s="25"/>
      <x:c r="Q3" s="25"/>
    </x:row>
    <x:row r="4" ht="15" hidden="0" customHeight="1">
      <x:c r="A4" s="25" t="str">
        <x:v>Bê tông</x:v>
      </x:c>
      <x:c r="B4" s="102" t="str">
        <x:v>B30</x:v>
      </x:c>
      <x:c r="C4" s="25" t="str">
        <x:v>-</x:v>
      </x:c>
      <x:c r="D4" s="25" t="str">
        <x:v>Tra Rb,ser/Rbt,ser/Eb/Bảng 11</x:v>
      </x:c>
      <x:c r="E4" s="25" t="str">
        <x:v>Tất cả</x:v>
      </x:c>
      <x:c r="F4" s="25" t="str"/>
      <x:c r="G4" s="25" t="str"/>
      <x:c r="H4" s="25" t="str">
        <x:v>INPUT</x:v>
      </x:c>
      <x:c r="I4" s="25"/>
      <x:c r="J4" s="25" t="str">
        <x:v>Uốn có nứt</x:v>
      </x:c>
      <x:c r="K4" s="25" t="n">
        <x:f>B33</x:f>
        <x:v>21.312845185308635</x:v>
      </x:c>
      <x:c r="L4" s="25"/>
      <x:c r="M4" s="25"/>
      <x:c r="N4" s="25"/>
      <x:c r="O4" s="25"/>
      <x:c r="P4" s="25"/>
      <x:c r="Q4" s="25"/>
    </x:row>
    <x:row r="5" ht="15" hidden="0" customHeight="1">
      <x:c r="A5" s="25" t="str">
        <x:v>L</x:v>
      </x:c>
      <x:c r="B5" s="102" t="n">
        <x:v>6</x:v>
      </x:c>
      <x:c r="C5" s="25" t="str">
        <x:v>m</x:v>
      </x:c>
      <x:c r="D5" s="25" t="str">
        <x:v>Nhịp dầm tựa đơn</x:v>
      </x:c>
      <x:c r="E5" s="25" t="str">
        <x:v>Tất cả</x:v>
      </x:c>
      <x:c r="F5" s="25" t="str"/>
      <x:c r="G5" s="25" t="str"/>
      <x:c r="H5" s="25" t="str">
        <x:v>INPUT</x:v>
      </x:c>
      <x:c r="I5" s="25"/>
      <x:c r="J5" s="25" t="str">
        <x:v>Trượt</x:v>
      </x:c>
      <x:c r="K5" s="25" t="n">
        <x:f>B39</x:f>
        <x:v>0.20307692307692304</x:v>
      </x:c>
      <x:c r="L5" s="25"/>
      <x:c r="M5" s="25"/>
      <x:c r="N5" s="25"/>
      <x:c r="O5" s="25"/>
      <x:c r="P5" s="25"/>
      <x:c r="Q5" s="25"/>
    </x:row>
    <x:row r="6" ht="15" hidden="0" customHeight="1">
      <x:c r="A6" s="25" t="str">
        <x:v>b</x:v>
      </x:c>
      <x:c r="B6" s="102" t="n">
        <x:v>300</x:v>
      </x:c>
      <x:c r="C6" s="25" t="str">
        <x:v>mm</x:v>
      </x:c>
      <x:c r="D6" s="25" t="str">
        <x:v>Bề rộng</x:v>
      </x:c>
      <x:c r="E6" s="25" t="str">
        <x:v>Tất cả</x:v>
      </x:c>
      <x:c r="F6" s="25" t="str"/>
      <x:c r="G6" s="25" t="str"/>
      <x:c r="H6" s="25" t="str">
        <x:v>INPUT</x:v>
      </x:c>
      <x:c r="I6" s="25"/>
      <x:c r="J6" s="25"/>
      <x:c r="K6" s="25"/>
      <x:c r="L6" s="25"/>
      <x:c r="M6" s="25"/>
      <x:c r="N6" s="25"/>
      <x:c r="O6" s="25"/>
      <x:c r="P6" s="25"/>
      <x:c r="Q6" s="25"/>
    </x:row>
    <x:row r="7" ht="15" hidden="0" customHeight="1">
      <x:c r="A7" s="25" t="str">
        <x:v>h</x:v>
      </x:c>
      <x:c r="B7" s="102" t="n">
        <x:v>500</x:v>
      </x:c>
      <x:c r="C7" s="25" t="str">
        <x:v>mm</x:v>
      </x:c>
      <x:c r="D7" s="25" t="str">
        <x:v>Chiều cao</x:v>
      </x:c>
      <x:c r="E7" s="25" t="str">
        <x:v>Uốn</x:v>
      </x:c>
      <x:c r="F7" s="25" t="str"/>
      <x:c r="G7" s="25" t="str"/>
      <x:c r="H7" s="25" t="str">
        <x:v>INPUT</x:v>
      </x:c>
      <x:c r="I7" s="25"/>
      <x:c r="J7" s="25"/>
      <x:c r="K7" s="25"/>
      <x:c r="L7" s="25"/>
      <x:c r="M7" s="25"/>
      <x:c r="N7" s="25"/>
      <x:c r="O7" s="25"/>
      <x:c r="P7" s="25"/>
      <x:c r="Q7" s="25"/>
    </x:row>
    <x:row r="8" ht="15" hidden="0" customHeight="1">
      <x:c r="A8" s="25" t="str">
        <x:v>h0</x:v>
      </x:c>
      <x:c r="B8" s="102" t="n">
        <x:v>450</x:v>
      </x:c>
      <x:c r="C8" s="25" t="str">
        <x:v>mm</x:v>
      </x:c>
      <x:c r="D8" s="25" t="str">
        <x:v>Chiều cao làm việc</x:v>
      </x:c>
      <x:c r="E8" s="25" t="str">
        <x:v>Có nứt/trượt</x:v>
      </x:c>
      <x:c r="F8" s="25" t="str"/>
      <x:c r="G8" s="25" t="str"/>
      <x:c r="H8" s="25" t="str">
        <x:v>INPUT</x:v>
      </x:c>
      <x:c r="I8" s="25"/>
      <x:c r="J8" s="25"/>
      <x:c r="K8" s="25"/>
      <x:c r="L8" s="25"/>
      <x:c r="M8" s="25"/>
      <x:c r="N8" s="25"/>
      <x:c r="O8" s="25"/>
      <x:c r="P8" s="25"/>
      <x:c r="Q8" s="25"/>
    </x:row>
    <x:row r="9" ht="15" hidden="0" customHeight="1">
      <x:c r="A9" s="25" t="str">
        <x:v>As</x:v>
      </x:c>
      <x:c r="B9" s="102" t="n">
        <x:v>1800</x:v>
      </x:c>
      <x:c r="C9" s="25" t="str">
        <x:v>mm²</x:v>
      </x:c>
      <x:c r="D9" s="25" t="str">
        <x:v>Thép kéo</x:v>
      </x:c>
      <x:c r="E9" s="25" t="str">
        <x:v>Có nứt</x:v>
      </x:c>
      <x:c r="F9" s="25" t="str"/>
      <x:c r="G9" s="25" t="str"/>
      <x:c r="H9" s="25" t="str">
        <x:v>INPUT</x:v>
      </x:c>
      <x:c r="I9" s="25"/>
      <x:c r="J9" s="25"/>
      <x:c r="K9" s="25"/>
      <x:c r="L9" s="25"/>
      <x:c r="M9" s="25"/>
      <x:c r="N9" s="25"/>
      <x:c r="O9" s="25"/>
      <x:c r="P9" s="25"/>
      <x:c r="Q9" s="25"/>
    </x:row>
    <x:row r="10" ht="15" hidden="0" customHeight="1">
      <x:c r="A10" s="25" t="str">
        <x:v>a</x:v>
      </x:c>
      <x:c r="B10" s="102" t="n">
        <x:v>50</x:v>
      </x:c>
      <x:c r="C10" s="25" t="str">
        <x:v>mm</x:v>
      </x:c>
      <x:c r="D10" s="25" t="str">
        <x:v>Biên kéo → As</x:v>
      </x:c>
      <x:c r="E10" s="25" t="str">
        <x:v>Có nứt</x:v>
      </x:c>
      <x:c r="F10" s="25" t="str"/>
      <x:c r="G10" s="25" t="str"/>
      <x:c r="H10" s="25" t="str">
        <x:v>INPUT</x:v>
      </x:c>
      <x:c r="I10" s="25"/>
      <x:c r="J10" s="25"/>
      <x:c r="K10" s="25"/>
      <x:c r="L10" s="25"/>
      <x:c r="M10" s="25"/>
      <x:c r="N10" s="25"/>
      <x:c r="O10" s="25"/>
      <x:c r="P10" s="25"/>
      <x:c r="Q10" s="25"/>
    </x:row>
    <x:row r="11" ht="15" hidden="0" customHeight="1">
      <x:c r="A11" s="25" t="str">
        <x:v>M tổng</x:v>
      </x:c>
      <x:c r="B11" s="102" t="n">
        <x:v>180</x:v>
      </x:c>
      <x:c r="C11" s="25" t="str">
        <x:v>kN.m</x:v>
      </x:c>
      <x:c r="D11" s="25" t="str">
        <x:v>Mô men toàn phần</x:v>
      </x:c>
      <x:c r="E11" s="25" t="str">
        <x:v>Có nứt</x:v>
      </x:c>
      <x:c r="F11" s="25" t="str"/>
      <x:c r="G11" s="25" t="str"/>
      <x:c r="H11" s="25" t="str">
        <x:v>INPUT</x:v>
      </x:c>
      <x:c r="I11" s="25"/>
      <x:c r="J11" s="25"/>
      <x:c r="K11" s="25"/>
      <x:c r="L11" s="25"/>
      <x:c r="M11" s="25"/>
      <x:c r="N11" s="25"/>
      <x:c r="O11" s="25"/>
      <x:c r="P11" s="25"/>
      <x:c r="Q11" s="25"/>
    </x:row>
    <x:row r="12" ht="15" hidden="0" customHeight="1">
      <x:c r="A12" s="25" t="str">
        <x:v>M dài hạn</x:v>
      </x:c>
      <x:c r="B12" s="102" t="n">
        <x:v>120</x:v>
      </x:c>
      <x:c r="C12" s="25" t="str">
        <x:v>kN.m</x:v>
      </x:c>
      <x:c r="D12" s="25" t="str">
        <x:v>Phần thường xuyên+dài hạn</x:v>
      </x:c>
      <x:c r="E12" s="25" t="str">
        <x:v>Có nứt</x:v>
      </x:c>
      <x:c r="F12" s="25" t="str"/>
      <x:c r="G12" s="25" t="str"/>
      <x:c r="H12" s="25" t="str">
        <x:v>INPUT</x:v>
      </x:c>
      <x:c r="I12" s="25"/>
      <x:c r="J12" s="25"/>
      <x:c r="K12" s="25"/>
      <x:c r="L12" s="25"/>
      <x:c r="M12" s="25"/>
      <x:c r="N12" s="25"/>
      <x:c r="O12" s="25"/>
      <x:c r="P12" s="25"/>
      <x:c r="Q12" s="25"/>
    </x:row>
    <x:row r="13" ht="15" hidden="0" customHeight="1">
      <x:c r="A13" s="26" t="str">
        <x:v>Độ ẩm</x:v>
      </x:c>
      <x:c r="B13" s="105" t="n">
        <x:v>60</x:v>
      </x:c>
      <x:c r="C13" s="26" t="str">
        <x:v>%</x:v>
      </x:c>
      <x:c r="D13" s="26" t="str">
        <x:v>Tra Bảng 11/Bảng 9</x:v>
      </x:c>
      <x:c r="E13" s="26" t="str">
        <x:v>Dài hạn</x:v>
      </x:c>
      <x:c r="F13" s="26" t="str"/>
      <x:c r="G13" s="26" t="str"/>
      <x:c r="H13" s="26" t="str">
        <x:v>INPUT</x:v>
      </x:c>
      <x:c r="I13" s="25"/>
      <x:c r="J13" s="25"/>
      <x:c r="K13" s="25"/>
      <x:c r="L13" s="25"/>
      <x:c r="M13" s="25"/>
      <x:c r="N13" s="25"/>
      <x:c r="O13" s="25"/>
      <x:c r="P13" s="25"/>
      <x:c r="Q13" s="25"/>
    </x:row>
    <x:row r="14" ht="15" hidden="0" customHeight="1">
      <x:c r="A14" s="25" t="str">
        <x:v>w</x:v>
      </x:c>
      <x:c r="B14" s="102" t="n">
        <x:v>20</x:v>
      </x:c>
      <x:c r="C14" s="25" t="str">
        <x:v>kN/m</x:v>
      </x:c>
      <x:c r="D14" s="25" t="str">
        <x:v>Tải đều để tính biến dạng trượt mẫu</x:v>
      </x:c>
      <x:c r="E14" s="25" t="str">
        <x:v>Trượt</x:v>
      </x:c>
      <x:c r="F14" s="25" t="str"/>
      <x:c r="G14" s="25" t="str"/>
      <x:c r="H14" s="25" t="str">
        <x:v>INPUT</x:v>
      </x:c>
      <x:c r="I14" s="25"/>
      <x:c r="J14" s="25"/>
      <x:c r="K14" s="25"/>
      <x:c r="L14" s="25"/>
      <x:c r="M14" s="25"/>
      <x:c r="N14" s="25"/>
      <x:c r="O14" s="25"/>
      <x:c r="P14" s="25"/>
      <x:c r="Q14" s="25"/>
    </x:row>
    <x:row r="15" ht="15" hidden="0" customHeight="1">
      <x:c r="A15" s="25"/>
      <x:c r="B15" s="42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</x:row>
    <x:row r="16" ht="15" hidden="0" customHeight="1">
      <x:c r="A16" s="101" t="str">
        <x:v>Bước</x:v>
      </x:c>
      <x:c r="B16" s="101" t="str">
        <x:v>Kết quả</x:v>
      </x:c>
      <x:c r="C16" s="101" t="str">
        <x:v>Đơn vị</x:v>
      </x:c>
      <x:c r="D16" s="101" t="str">
        <x:v>Diễn giải</x:v>
      </x:c>
      <x:c r="E16" s="101" t="str">
        <x:v>Công thức</x:v>
      </x:c>
      <x:c r="F16" s="101" t="str">
        <x:v>Kiểm tra</x:v>
      </x:c>
      <x:c r="G16" s="101" t="str">
        <x:v>Nguồn</x:v>
      </x:c>
      <x:c r="H16" s="101" t="str">
        <x:v>Trạng thái</x:v>
      </x:c>
      <x:c r="I16" s="25"/>
      <x:c r="J16" s="25"/>
      <x:c r="K16" s="25"/>
      <x:c r="L16" s="25"/>
      <x:c r="M16" s="25"/>
      <x:c r="N16" s="25"/>
      <x:c r="O16" s="25"/>
      <x:c r="P16" s="25"/>
      <x:c r="Q16" s="25"/>
    </x:row>
    <x:row r="17" ht="15" hidden="0" customHeight="1">
      <x:c r="A17" s="25" t="str">
        <x:v>φb,cr</x:v>
      </x:c>
      <x:c r="B17" s="103" t="n">
        <x:f>IF(B13&gt;75,INDEX('16_BANG_SLS'!$B$27:$B$37,MATCH(IF(VALUE(SUBSTITUTE(B4,"B",""))&gt;=60,"B60",B4),'16_BANG_SLS'!$A$27:$A$37,0)),IF(B13&gt;=40,INDEX('16_BANG_SLS'!$C$27:$C$37,MATCH(IF(VALUE(SUBSTITUTE(B4,"B",""))&gt;=60,"B60",B4),'16_BANG_SLS'!$A$27:$A$37,0)),INDEX('16_BANG_SLS'!$D$27:$D$37,MATCH(IF(VALUE(SUBSTITUTE(B4,"B",""))&gt;=60,"B60",B4),'16_BANG_SLS'!$A$27:$A$37,0))))</x:f>
        <x:v>2.3</x:v>
      </x:c>
      <x:c r="C17" s="25"/>
      <x:c r="D17" s="25"/>
      <x:c r="E17" s="25"/>
      <x:c r="F17" s="25"/>
      <x:c r="G17" s="25" t="str">
        <x:v>Bảng 11</x:v>
      </x:c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</x:row>
    <x:row r="18" ht="15" hidden="0" customHeight="1">
      <x:c r="A18" s="25" t="str">
        <x:v>εb1,red dài hạn</x:v>
      </x:c>
      <x:c r="B18" s="103" t="n">
        <x:f>IF(B13&gt;75,0.0024,IF(B13&gt;=40,0.0028,0.0034))*IF(VALUE(SUBSTITUTE(B4,"B",""))&gt;=70,(270-VALUE(SUBSTITUTE(B4,"B","")))/210,1)</x:f>
        <x:v>0.0028</x:v>
      </x:c>
      <x:c r="C18" s="25"/>
      <x:c r="D18" s="25"/>
      <x:c r="E18" s="25"/>
      <x:c r="F18" s="25"/>
      <x:c r="G18" s="25" t="str">
        <x:v>Bảng 9</x:v>
      </x:c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</x:row>
    <x:row r="19" ht="15" hidden="0" customHeight="1">
      <x:c r="A19" s="25" t="str">
        <x:v>Rb,ser</x:v>
      </x:c>
      <x:c r="B19" s="103" t="n">
        <x:f>INDEX('16_BANG_SLS'!B4:B22,MATCH(B4,'16_BANG_SLS'!A4:A22,0))</x:f>
        <x:v>22</x:v>
      </x:c>
      <x:c r="C19" s="25"/>
      <x:c r="D19" s="25"/>
      <x:c r="E19" s="25"/>
      <x:c r="F19" s="25"/>
      <x:c r="G19" s="25" t="str">
        <x:v>Bảng 6</x:v>
      </x:c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</x:row>
    <x:row r="20" ht="15" hidden="0" customHeight="1">
      <x:c r="A20" s="25" t="str">
        <x:v>Rbt,ser</x:v>
      </x:c>
      <x:c r="B20" s="103" t="n">
        <x:f>INDEX('16_BANG_SLS'!C4:C22,MATCH(B4,'16_BANG_SLS'!A4:A22,0))</x:f>
        <x:v>1.75</x:v>
      </x:c>
      <x:c r="C20" s="25"/>
      <x:c r="D20" s="25"/>
      <x:c r="E20" s="25"/>
      <x:c r="F20" s="25"/>
      <x:c r="G20" s="25" t="str">
        <x:v>Bảng 6</x:v>
      </x:c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</x:row>
    <x:row r="21" ht="15" hidden="0" customHeight="1">
      <x:c r="A21" s="25" t="str">
        <x:v>Mcrc</x:v>
      </x:c>
      <x:c r="B21" s="103" t="n">
        <x:f>'12_NUT'!B27</x:f>
        <x:v>34.066365979381445</x:v>
      </x:c>
      <x:c r="C21" s="25"/>
      <x:c r="D21" s="25"/>
      <x:c r="E21" s="25"/>
      <x:c r="F21" s="25"/>
      <x:c r="G21" s="25" t="str">
        <x:v>CT158–160</x:v>
      </x:c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</x:row>
    <x:row r="22" ht="15" hidden="0" customHeight="1">
      <x:c r="A22" s="25" t="str">
        <x:v>ψ tổng</x:v>
      </x:c>
      <x:c r="B22" s="103" t="n">
        <x:f>MAX(0,MIN(1,1-0.8*B21/B11))</x:f>
        <x:v>0.8485939289805269</x:v>
      </x:c>
      <x:c r="C22" s="25"/>
      <x:c r="D22" s="25"/>
      <x:c r="E22" s="25"/>
      <x:c r="F22" s="25"/>
      <x:c r="G22" s="25" t="str">
        <x:v>CT176</x:v>
      </x:c>
      <x:c r="H22" s="25"/>
      <x:c r="I22" s="25"/>
      <x:c r="J22" s="101" t="str">
        <x:v>Helper CT193–204</x:v>
      </x:c>
      <x:c r="K22" s="101" t="str">
        <x:v>Giá trị</x:v>
      </x:c>
      <x:c r="L22" s="25"/>
      <x:c r="M22" s="25"/>
      <x:c r="N22" s="25"/>
      <x:c r="O22" s="25"/>
      <x:c r="P22" s="25"/>
      <x:c r="Q22" s="25"/>
    </x:row>
    <x:row r="23" ht="15" hidden="0" customHeight="1">
      <x:c r="A23" s="25" t="str">
        <x:v>ψ dài</x:v>
      </x:c>
      <x:c r="B23" s="103" t="n">
        <x:f>MAX(0,MIN(1,1-0.8*B21/B12))</x:f>
        <x:v>0.7728908934707903</x:v>
      </x:c>
      <x:c r="C23" s="25"/>
      <x:c r="D23" s="25"/>
      <x:c r="E23" s="25"/>
      <x:c r="F23" s="25"/>
      <x:c r="G23" s="25" t="str">
        <x:v>CT176</x:v>
      </x:c>
      <x:c r="H23" s="25"/>
      <x:c r="I23" s="25"/>
      <x:c r="J23" s="25" t="str">
        <x:v>Eb,red short</x:v>
      </x:c>
      <x:c r="K23" s="25" t="n">
        <x:f>B19/0.0015</x:f>
        <x:v>14666.666666666666</x:v>
      </x:c>
      <x:c r="L23" s="25"/>
      <x:c r="M23" s="25"/>
      <x:c r="N23" s="25"/>
      <x:c r="O23" s="25"/>
      <x:c r="P23" s="25"/>
      <x:c r="Q23" s="25"/>
    </x:row>
    <x:row r="24" ht="15" hidden="0" customHeight="1">
      <x:c r="A24" s="25" t="str">
        <x:v>xm tổng</x:v>
      </x:c>
      <x:c r="B24" s="103" t="n">
        <x:f>B8*(SQRT((K27*K28)^2+2*K27*K28)-K27*K28)</x:f>
        <x:v>213.53646152866446</x:v>
      </x:c>
      <x:c r="C24" s="25"/>
      <x:c r="D24" s="25"/>
      <x:c r="E24" s="25"/>
      <x:c r="F24" s="25"/>
      <x:c r="G24" s="25" t="str">
        <x:v>CT195</x:v>
      </x:c>
      <x:c r="H24" s="25"/>
      <x:c r="I24" s="25"/>
      <x:c r="J24" s="25" t="str">
        <x:v>Eb,red long</x:v>
      </x:c>
      <x:c r="K24" s="25" t="n">
        <x:f>B19/B18</x:f>
        <x:v>7857.142857142857</x:v>
      </x:c>
      <x:c r="L24" s="25"/>
      <x:c r="M24" s="25"/>
      <x:c r="N24" s="25"/>
      <x:c r="O24" s="25"/>
      <x:c r="P24" s="25"/>
      <x:c r="Q24" s="25"/>
    </x:row>
    <x:row r="25" ht="15" hidden="0" customHeight="1">
      <x:c r="A25" s="25" t="str">
        <x:v>z tổng</x:v>
      </x:c>
      <x:c r="B25" s="103" t="n">
        <x:f>B8-B24/3</x:f>
        <x:v>378.82117949044516</x:v>
      </x:c>
      <x:c r="C25" s="25"/>
      <x:c r="D25" s="25"/>
      <x:c r="E25" s="25"/>
      <x:c r="F25" s="25"/>
      <x:c r="G25" s="25" t="str">
        <x:v>CT201</x:v>
      </x:c>
      <x:c r="H25" s="25"/>
      <x:c r="I25" s="25"/>
      <x:c r="J25" s="25" t="str">
        <x:v>Es,red total</x:v>
      </x:c>
      <x:c r="K25" s="25" t="n">
        <x:f>200000/B22</x:f>
        <x:v>235683.9863800033</x:v>
      </x:c>
      <x:c r="L25" s="25"/>
      <x:c r="M25" s="25"/>
      <x:c r="N25" s="25"/>
      <x:c r="O25" s="25"/>
      <x:c r="P25" s="25"/>
      <x:c r="Q25" s="25"/>
    </x:row>
    <x:row r="26" ht="15" hidden="0" customHeight="1">
      <x:c r="A26" s="25" t="str">
        <x:v>D tổng ngắn</x:v>
      </x:c>
      <x:c r="B26" s="103" t="n">
        <x:f>K25*B9*B25*(B8-B24)</x:f>
        <x:v>38001524235286.41</x:v>
      </x:c>
      <x:c r="C26" s="25"/>
      <x:c r="D26" s="25"/>
      <x:c r="E26" s="25"/>
      <x:c r="F26" s="25"/>
      <x:c r="G26" s="25" t="str">
        <x:v>CT200</x:v>
      </x:c>
      <x:c r="H26" s="25"/>
      <x:c r="I26" s="25"/>
      <x:c r="J26" s="25" t="str">
        <x:v>Es,red long</x:v>
      </x:c>
      <x:c r="K26" s="25" t="n">
        <x:f>200000/B23</x:f>
        <x:v>258768.73655719758</x:v>
      </x:c>
      <x:c r="L26" s="25"/>
      <x:c r="M26" s="25"/>
      <x:c r="N26" s="25"/>
      <x:c r="O26" s="25"/>
      <x:c r="P26" s="25"/>
      <x:c r="Q26" s="25"/>
    </x:row>
    <x:row r="27" ht="15" hidden="0" customHeight="1">
      <x:c r="A27" s="25" t="str">
        <x:v>1/r tổng ngắn</x:v>
      </x:c>
      <x:c r="B27" s="103" t="n">
        <x:f>B11*1000000/B26</x:f>
        <x:v>0.000004736652111255594</x:v>
      </x:c>
      <x:c r="C27" s="25"/>
      <x:c r="D27" s="25"/>
      <x:c r="E27" s="25"/>
      <x:c r="F27" s="25"/>
      <x:c r="G27" s="25" t="str">
        <x:v>CT187</x:v>
      </x:c>
      <x:c r="H27" s="25"/>
      <x:c r="I27" s="25"/>
      <x:c r="J27" s="25" t="str">
        <x:v>μs</x:v>
      </x:c>
      <x:c r="K27" s="25" t="n">
        <x:f>B9/(B6*B8)</x:f>
        <x:v>0.013333333333333334</x:v>
      </x:c>
      <x:c r="L27" s="25"/>
      <x:c r="M27" s="25"/>
      <x:c r="N27" s="25"/>
      <x:c r="O27" s="25"/>
      <x:c r="P27" s="25"/>
      <x:c r="Q27" s="25"/>
    </x:row>
    <x:row r="28" ht="15" hidden="0" customHeight="1">
      <x:c r="A28" s="25" t="str">
        <x:v>D dài ngắn</x:v>
      </x:c>
      <x:c r="B28" s="103" t="n">
        <x:f>K26*B9*K32*(B8-K31)</x:f>
        <x:v>40256730990462.36</x:v>
      </x:c>
      <x:c r="C28" s="25"/>
      <x:c r="D28" s="25"/>
      <x:c r="E28" s="25"/>
      <x:c r="F28" s="25"/>
      <x:c r="G28" s="25" t="str">
        <x:v>CT200</x:v>
      </x:c>
      <x:c r="H28" s="25"/>
      <x:c r="I28" s="25"/>
      <x:c r="J28" s="25" t="str">
        <x:v>α2 total short</x:v>
      </x:c>
      <x:c r="K28" s="25" t="n">
        <x:f>K25/K23</x:f>
        <x:v>16.0693627077275</x:v>
      </x:c>
      <x:c r="L28" s="25"/>
      <x:c r="M28" s="25"/>
      <x:c r="N28" s="25"/>
      <x:c r="O28" s="25"/>
      <x:c r="P28" s="25"/>
      <x:c r="Q28" s="25"/>
    </x:row>
    <x:row r="29" ht="15" hidden="0" customHeight="1">
      <x:c r="A29" s="25" t="str">
        <x:v>1/r dài ngắn</x:v>
      </x:c>
      <x:c r="B29" s="103" t="n">
        <x:f>B12*1000000/B28</x:f>
        <x:v>0.0000029808679703384373</x:v>
      </x:c>
      <x:c r="C29" s="25"/>
      <x:c r="D29" s="25"/>
      <x:c r="E29" s="25"/>
      <x:c r="F29" s="25"/>
      <x:c r="G29" s="25" t="str">
        <x:v>CT187</x:v>
      </x:c>
      <x:c r="H29" s="25"/>
      <x:c r="I29" s="25"/>
      <x:c r="J29" s="25" t="str">
        <x:v>α2 long short</x:v>
      </x:c>
      <x:c r="K29" s="25" t="n">
        <x:f>K26/K23</x:f>
        <x:v>17.643322947081653</x:v>
      </x:c>
      <x:c r="L29" s="25"/>
      <x:c r="M29" s="25"/>
      <x:c r="N29" s="25"/>
      <x:c r="O29" s="25"/>
      <x:c r="P29" s="25"/>
      <x:c r="Q29" s="25"/>
    </x:row>
    <x:row r="30" ht="15" hidden="0" customHeight="1">
      <x:c r="A30" s="25" t="str">
        <x:v>D dài hạn</x:v>
      </x:c>
      <x:c r="B30" s="103" t="n">
        <x:f>K26*B9*K34*(B8-K33)</x:f>
        <x:v>30552688652396.668</x:v>
      </x:c>
      <x:c r="C30" s="25"/>
      <x:c r="D30" s="25"/>
      <x:c r="E30" s="25"/>
      <x:c r="F30" s="25"/>
      <x:c r="G30" s="25" t="str">
        <x:v>CT200</x:v>
      </x:c>
      <x:c r="H30" s="25"/>
      <x:c r="I30" s="25"/>
      <x:c r="J30" s="25" t="str">
        <x:v>α2 long long</x:v>
      </x:c>
      <x:c r="K30" s="25" t="n">
        <x:f>K26/K24</x:f>
        <x:v>32.93420283455242</x:v>
      </x:c>
      <x:c r="L30" s="25"/>
      <x:c r="M30" s="25"/>
      <x:c r="N30" s="25"/>
      <x:c r="O30" s="25"/>
      <x:c r="P30" s="25"/>
      <x:c r="Q30" s="25"/>
    </x:row>
    <x:row r="31">
      <x:c r="A31" s="20" t="str">
        <x:v>1/r dài hạn</x:v>
      </x:c>
      <x:c r="B31" s="108" t="n">
        <x:f>B12*1000000/B30</x:f>
        <x:v>0.000003927641241831813</x:v>
      </x:c>
      <x:c r="C31" s="20"/>
      <x:c r="D31" s="20"/>
      <x:c r="E31" s="20"/>
      <x:c r="F31" s="20"/>
      <x:c r="G31" s="20" t="str">
        <x:v>CT187</x:v>
      </x:c>
      <x:c r="H31" s="20"/>
      <x:c r="I31" s="20"/>
      <x:c r="J31" s="20" t="str">
        <x:v>xm long short</x:v>
      </x:c>
      <x:c r="K31" s="20" t="n">
        <x:f>B8*(SQRT((K27*K29)^2+2*K27*K29)-K27*K29)</x:f>
        <x:v>220.45320995392018</x:v>
      </x:c>
      <x:c r="L31" s="20"/>
      <x:c r="M31" s="20"/>
      <x:c r="N31" s="20"/>
      <x:c r="O31" s="20"/>
      <x:c r="P31" s="20"/>
      <x:c r="Q31" s="20"/>
    </x:row>
    <x:row r="32">
      <x:c r="A32" s="20" t="str">
        <x:v>1/r toàn phần CT186</x:v>
      </x:c>
      <x:c r="B32" s="108" t="n">
        <x:f>B27-B29+B31</x:f>
        <x:v>0.00000568342538274897</x:v>
      </x:c>
      <x:c r="C32" s="20"/>
      <x:c r="D32" s="20"/>
      <x:c r="E32" s="20"/>
      <x:c r="F32" s="20"/>
      <x:c r="G32" s="20" t="str">
        <x:v>CT186</x:v>
      </x:c>
      <x:c r="H32" s="20"/>
      <x:c r="I32" s="20"/>
      <x:c r="J32" s="20" t="str">
        <x:v>z long short</x:v>
      </x:c>
      <x:c r="K32" s="20" t="n">
        <x:f>B8-K31/3</x:f>
        <x:v>376.5155966820266</x:v>
      </x:c>
      <x:c r="L32" s="20"/>
      <x:c r="M32" s="20"/>
      <x:c r="N32" s="20"/>
      <x:c r="O32" s="20"/>
      <x:c r="P32" s="20"/>
      <x:c r="Q32" s="20"/>
    </x:row>
    <x:row r="33">
      <x:c r="A33" s="20" t="str">
        <x:v>f uốn có nứt</x:v>
      </x:c>
      <x:c r="B33" s="108" t="n">
        <x:f>(5/48)*(B5*1000)^2*B32</x:f>
        <x:v>21.312845185308635</x:v>
      </x:c>
      <x:c r="C33" s="20"/>
      <x:c r="D33" s="20"/>
      <x:c r="E33" s="20"/>
      <x:c r="F33" s="20"/>
      <x:c r="G33" s="20" t="str">
        <x:v>CT180</x:v>
      </x:c>
      <x:c r="H33" s="20"/>
      <x:c r="I33" s="20"/>
      <x:c r="J33" s="20" t="str">
        <x:v>xm long long</x:v>
      </x:c>
      <x:c r="K33" s="20" t="n">
        <x:f>B8*(SQRT((K27*K30)^2+2*K27*K30)-K27*K30)</x:f>
        <x:v>268.11199020656005</x:v>
      </x:c>
      <x:c r="L33" s="20"/>
      <x:c r="M33" s="20"/>
      <x:c r="N33" s="20"/>
      <x:c r="O33" s="20"/>
      <x:c r="P33" s="20"/>
      <x:c r="Q33" s="20"/>
    </x:row>
    <x:row r="34">
      <x:c r="A34" s="20" t="str">
        <x:v>G</x:v>
      </x:c>
      <x:c r="B34" s="108" t="n">
        <x:f>0.4*INDEX('02_VAT_LIEU'!D4:D22,MATCH(B4,'02_VAT_LIEU'!A4:A22,0))</x:f>
        <x:v>13000</x:v>
      </x:c>
      <x:c r="C34" s="20"/>
      <x:c r="D34" s="20"/>
      <x:c r="E34" s="20"/>
      <x:c r="F34" s="20"/>
      <x:c r="G34" s="20" t="str">
        <x:v>G=0,4Eb</x:v>
      </x:c>
      <x:c r="H34" s="20"/>
      <x:c r="I34" s="20"/>
      <x:c r="J34" s="20" t="str">
        <x:v>z long long</x:v>
      </x:c>
      <x:c r="K34" s="20" t="n">
        <x:f>B8-K33/3</x:f>
        <x:v>360.62933659781334</x:v>
      </x:c>
      <x:c r="L34" s="20"/>
      <x:c r="M34" s="20"/>
      <x:c r="N34" s="20"/>
      <x:c r="O34" s="20"/>
      <x:c r="P34" s="20"/>
      <x:c r="Q34" s="20"/>
    </x:row>
    <x:row r="35">
      <x:c r="A35" s="20" t="str">
        <x:v>Qmax</x:v>
      </x:c>
      <x:c r="B35" s="108" t="n">
        <x:f>B14*B5/2</x:f>
        <x:v>60</x:v>
      </x:c>
      <x:c r="C35" s="20"/>
      <x:c r="D35" s="20"/>
      <x:c r="E35" s="20"/>
      <x:c r="F35" s="20"/>
      <x:c r="G35" s="20" t="str">
        <x:v>Cơ học</x:v>
      </x:c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</x:row>
    <x:row r="36">
      <x:c r="A36" s="20" t="str">
        <x:v>nứt xiên?</x:v>
      </x:c>
      <x:c r="B36" s="108" t="str">
        <x:f>IF(B35*1000&gt;0.5*B20*B6*B8,"CÓ","KHÔNG")</x:f>
        <x:v>KHÔNG</x:v>
      </x:c>
      <x:c r="C36" s="20"/>
      <x:c r="D36" s="20"/>
      <x:c r="E36" s="20"/>
      <x:c r="F36" s="20"/>
      <x:c r="G36" s="20" t="str">
        <x:v>CT184</x:v>
      </x:c>
      <x:c r="H36" s="20"/>
      <x:c r="I36" s="20"/>
      <x:c r="J36" s="20"/>
      <x:c r="K36" s="20"/>
      <x:c r="L36" s="20"/>
      <x:c r="M36" s="20"/>
      <x:c r="N36" s="20"/>
      <x:c r="O36" s="20"/>
      <x:c r="P36" s="20"/>
      <x:c r="Q36" s="20"/>
    </x:row>
    <x:row r="37">
      <x:c r="A37" s="20" t="str">
        <x:v>φb trượt</x:v>
      </x:c>
      <x:c r="B37" s="108" t="n">
        <x:f>1+B17</x:f>
        <x:v>3.3</x:v>
      </x:c>
      <x:c r="C37" s="20"/>
      <x:c r="D37" s="20"/>
      <x:c r="E37" s="20"/>
      <x:c r="F37" s="20"/>
      <x:c r="G37" s="20" t="str">
        <x:v>CT182</x:v>
      </x:c>
      <x:c r="H37" s="20"/>
      <x:c r="I37" s="20"/>
      <x:c r="J37" s="114" t="str">
        <x:v>Biến dạng trượt – CT183</x:v>
      </x:c>
      <x:c r="K37" s="114" t="str">
        <x:v>INPUT / giá trị</x:v>
      </x:c>
      <x:c r="L37" s="20"/>
      <x:c r="M37" s="20"/>
      <x:c r="N37" s="20"/>
      <x:c r="O37" s="20"/>
      <x:c r="P37" s="20"/>
      <x:c r="Q37" s="20"/>
    </x:row>
    <x:row r="38">
      <x:c r="A38" s="20" t="str">
        <x:v>φcrc</x:v>
      </x:c>
      <x:c r="B38" s="108" t="n">
        <x:f>IF(B36="KHÔNG",IF(K38="none",1,IF(K38="diagonal",4,IF(OR(K38="normal",K38="both"),3*INDEX('02_VAT_LIEU'!D4:D22,MATCH(B4,'02_VAT_LIEU'!A4:A22,0))*K41/(K39*1000000)*K40,NA()))),IF(K38="diagonal",4,IF(OR(K38="normal",K38="both"),3*INDEX('02_VAT_LIEU'!D4:D22,MATCH(B4,'02_VAT_LIEU'!A4:A22,0))*K41/(K39*1000000)*K40,NA())))</x:f>
        <x:v>1</x:v>
      </x:c>
      <x:c r="C38" s="20"/>
      <x:c r="D38" s="20" t="str">
        <x:v>φcrc: none=1; diagonal-only=4; normal/both dùng CT183. Nếu CT184 báo nứt xiên mà chưa khai trạng thái, Excel không tự bịa.</x:v>
      </x:c>
      <x:c r="E38" s="20"/>
      <x:c r="F38" s="20"/>
      <x:c r="G38" s="20" t="str">
        <x:v>CT182–183</x:v>
      </x:c>
      <x:c r="H38" s="20"/>
      <x:c r="I38" s="20"/>
      <x:c r="J38" s="20" t="str">
        <x:v>Trạng thái vết nứt</x:v>
      </x:c>
      <x:c r="K38" s="115" t="str">
        <x:v>none</x:v>
      </x:c>
      <x:c r="L38" s="20"/>
      <x:c r="M38" s="20"/>
      <x:c r="N38" s="20"/>
      <x:c r="O38" s="20"/>
      <x:c r="P38" s="20"/>
      <x:c r="Q38" s="20"/>
    </x:row>
    <x:row r="39">
      <x:c r="A39" s="20" t="str">
        <x:v>fq trượt</x:v>
      </x:c>
      <x:c r="B39" s="108" t="n">
        <x:f>1.2*B37*B38/(B34*B6*B8)*(B14*(B5*1000)^2/8)</x:f>
        <x:v>0.20307692307692304</x:v>
      </x:c>
      <x:c r="C39" s="20"/>
      <x:c r="D39" s="20"/>
      <x:c r="E39" s="20"/>
      <x:c r="F39" s="20"/>
      <x:c r="G39" s="20" t="str">
        <x:v>CT181–182</x:v>
      </x:c>
      <x:c r="H39" s="20"/>
      <x:c r="I39" s="20"/>
      <x:c r="J39" s="20" t="str">
        <x:v>Mx</x:v>
      </x:c>
      <x:c r="K39" s="115" t="n">
        <x:v>100</x:v>
      </x:c>
      <x:c r="L39" s="20"/>
      <x:c r="M39" s="20"/>
      <x:c r="N39" s="20"/>
      <x:c r="O39" s="20"/>
      <x:c r="P39" s="20"/>
      <x:c r="Q39" s="20"/>
    </x:row>
    <x:row r="40">
      <x:c r="A40" s="20" t="str">
        <x:v>f tổng</x:v>
      </x:c>
      <x:c r="B40" s="108" t="n">
        <x:f>B33+B39</x:f>
        <x:v>21.51592210838556</x:v>
      </x:c>
      <x:c r="C40" s="20"/>
      <x:c r="D40" s="20"/>
      <x:c r="E40" s="20"/>
      <x:c r="F40" s="20"/>
      <x:c r="G40" s="20" t="str">
        <x:v>CT177</x:v>
      </x:c>
      <x:c r="H40" s="20"/>
      <x:c r="I40" s="20"/>
      <x:c r="J40" s="20" t="str">
        <x:v>(1/r)x</x:v>
      </x:c>
      <x:c r="K40" s="115" t="n">
        <x:v>0.000004</x:v>
      </x:c>
      <x:c r="L40" s="20"/>
      <x:c r="M40" s="20"/>
      <x:c r="N40" s="20"/>
      <x:c r="O40" s="20"/>
      <x:c r="P40" s="20"/>
      <x:c r="Q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 t="str">
        <x:v>Ired</x:v>
      </x:c>
      <x:c r="K41" s="115" t="n">
        <x:v>3000000000</x:v>
      </x:c>
      <x:c r="L41" s="20"/>
      <x:c r="M41" s="20"/>
      <x:c r="N41" s="20"/>
      <x:c r="O41" s="20"/>
      <x:c r="P41" s="20"/>
      <x:c r="Q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  <x:c r="Q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  <x:c r="Q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</x:row>
  </x:sheetData>
  <x:mergeCells>
    <x:mergeCell ref="A1:H1"/>
  </x:mergeCells>
  <x:dataValidations count="1">
    <x:dataValidation type="list" sqref="K38">
      <x:formula1>"none,diagonal,normal,both"</x:formula1>
    </x:dataValidation>
  </x:dataValidations>
  <x:pageMargins left="0.7" right="0.7" top="0.75" bottom="0.75" header="0.3" footer="0.3"/>
  <x:drawing xmlns:r="http://schemas.openxmlformats.org/officeDocument/2006/relationships" r:id="R35873ebfedb147ac"/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4" hidden="0" customWidth="1"/>
    <x:col min="4" max="4" width="56" hidden="0" customWidth="1"/>
    <x:col min="5" max="5" width="38" hidden="0" customWidth="1"/>
    <x:col min="6" max="6" width="20" hidden="0" customWidth="1"/>
    <x:col min="7" max="7" width="24" hidden="0" customWidth="1"/>
    <x:col min="8" max="8" width="16" hidden="0" customWidth="1"/>
    <x:col min="10" max="10" width="20" hidden="0" customWidth="1"/>
    <x:col min="11" max="11" width="16" hidden="0" customWidth="1"/>
  </x:cols>
  <x:sheetData>
    <x:row r="1" ht="16.799999237060547" hidden="0" customHeight="1">
      <x:c r="A1" s="100" t="str">
        <x:v>14 · ỨNG SUẤT TRƯỚC SÂU – CT (214) MA SÁT + CT (216) TỪ BIẾN</x:v>
      </x:c>
      <x:c r="B1" s="100"/>
      <x:c r="C1" s="100"/>
      <x:c r="D1" s="100"/>
      <x:c r="E1" s="100"/>
      <x:c r="F1" s="100"/>
      <x:c r="G1" s="100"/>
      <x:c r="H1" s="100"/>
      <x:c r="I1" s="25"/>
      <x:c r="J1" s="25"/>
      <x:c r="K1" s="25"/>
      <x:c r="L1" s="25"/>
      <x:c r="M1" s="25"/>
      <x:c r="N1" s="25"/>
      <x:c r="O1" s="25"/>
      <x:c r="P1" s="25"/>
      <x:c r="Q1" s="25"/>
    </x:row>
    <x:row r="2" ht="15" hidden="0" customHeight="1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</x:row>
    <x:row r="3" ht="15" hidden="0" customHeight="1">
      <x:c r="A3" s="101" t="str">
        <x:v>Thông số</x:v>
      </x:c>
      <x:c r="B3" s="101" t="str">
        <x:v>Giá trị</x:v>
      </x:c>
      <x:c r="C3" s="101" t="str">
        <x:v>Đơn vị</x:v>
      </x:c>
      <x:c r="D3" s="101" t="str">
        <x:v>Giải thích</x:v>
      </x:c>
      <x:c r="E3" s="101" t="str">
        <x:v>Dùng cho</x:v>
      </x:c>
      <x:c r="F3" s="101" t="str">
        <x:v>Kiểm tra</x:v>
      </x:c>
      <x:c r="G3" s="101" t="str">
        <x:v>Nguồn</x:v>
      </x:c>
      <x:c r="H3" s="101" t="str">
        <x:v>Trạng thái</x:v>
      </x:c>
      <x:c r="I3" s="25"/>
      <x:c r="J3" s="101" t="str">
        <x:v>Hao tổn</x:v>
      </x:c>
      <x:c r="K3" s="101" t="str">
        <x:v>MPa</x:v>
      </x:c>
      <x:c r="L3" s="25"/>
      <x:c r="M3" s="25"/>
      <x:c r="N3" s="25"/>
      <x:c r="O3" s="25"/>
      <x:c r="P3" s="25"/>
      <x:c r="Q3" s="25"/>
    </x:row>
    <x:row r="4" ht="15" hidden="0" customHeight="1">
      <x:c r="A4" s="25" t="str">
        <x:v>σsp</x:v>
      </x:c>
      <x:c r="B4" s="102" t="n">
        <x:v>900</x:v>
      </x:c>
      <x:c r="C4" s="25" t="str">
        <x:v>MPa</x:v>
      </x:c>
      <x:c r="D4" s="25" t="str">
        <x:v>Ứng suất trước trước hao tổn</x:v>
      </x:c>
      <x:c r="E4" s="25" t="str">
        <x:v>CT214</x:v>
      </x:c>
      <x:c r="F4" s="25" t="str"/>
      <x:c r="G4" s="25" t="str"/>
      <x:c r="H4" s="25" t="str">
        <x:v>INPUT</x:v>
      </x:c>
      <x:c r="I4" s="25"/>
      <x:c r="J4" s="25" t="str">
        <x:v>Ma sát CT214</x:v>
      </x:c>
      <x:c r="K4" s="25" t="n">
        <x:f>B22</x:f>
        <x:v>109.71411217149483</x:v>
      </x:c>
      <x:c r="L4" s="25"/>
      <x:c r="M4" s="25"/>
      <x:c r="N4" s="25"/>
      <x:c r="O4" s="25"/>
      <x:c r="P4" s="25"/>
      <x:c r="Q4" s="25"/>
    </x:row>
    <x:row r="5" ht="15" hidden="0" customHeight="1">
      <x:c r="A5" s="25" t="str">
        <x:v>x</x:v>
      </x:c>
      <x:c r="B5" s="102" t="n">
        <x:v>20</x:v>
      </x:c>
      <x:c r="C5" s="25" t="str">
        <x:v>m</x:v>
      </x:c>
      <x:c r="D5" s="25" t="str">
        <x:v>Chiều dài từ đầu căng đến tiết diện</x:v>
      </x:c>
      <x:c r="E5" s="25" t="str">
        <x:v>CT214</x:v>
      </x:c>
      <x:c r="F5" s="25" t="str"/>
      <x:c r="G5" s="25" t="str"/>
      <x:c r="H5" s="25" t="str">
        <x:v>INPUT</x:v>
      </x:c>
      <x:c r="I5" s="25"/>
      <x:c r="J5" s="25" t="str">
        <x:v>Từ biến CT216</x:v>
      </x:c>
      <x:c r="K5" s="25" t="n">
        <x:f>B29</x:f>
        <x:v>85.16378158928313</x:v>
      </x:c>
      <x:c r="L5" s="25"/>
      <x:c r="M5" s="25"/>
      <x:c r="N5" s="25"/>
      <x:c r="O5" s="25"/>
      <x:c r="P5" s="25"/>
      <x:c r="Q5" s="25"/>
    </x:row>
    <x:row r="6" ht="15" hidden="0" customHeight="1">
      <x:c r="A6" s="25" t="str">
        <x:v>θ</x:v>
      </x:c>
      <x:c r="B6" s="102" t="n">
        <x:v>0.2</x:v>
      </x:c>
      <x:c r="C6" s="25" t="str">
        <x:v>rad</x:v>
      </x:c>
      <x:c r="D6" s="25" t="str">
        <x:v>Tổng góc đổi hướng</x:v>
      </x:c>
      <x:c r="E6" s="25" t="str">
        <x:v>CT214</x:v>
      </x:c>
      <x:c r="F6" s="25" t="str"/>
      <x:c r="G6" s="25" t="str"/>
      <x:c r="H6" s="25" t="str">
        <x:v>INPUT</x:v>
      </x:c>
      <x:c r="I6" s="25"/>
      <x:c r="J6" s="25"/>
      <x:c r="K6" s="25"/>
      <x:c r="L6" s="25"/>
      <x:c r="M6" s="25"/>
      <x:c r="N6" s="25"/>
      <x:c r="O6" s="25"/>
      <x:c r="P6" s="25"/>
      <x:c r="Q6" s="25"/>
    </x:row>
    <x:row r="7" ht="15" hidden="0" customHeight="1">
      <x:c r="A7" s="25" t="str">
        <x:v>Bề mặt</x:v>
      </x:c>
      <x:c r="B7" s="102" t="str">
        <x:v>Ống/rãnh kim loại</x:v>
      </x:c>
      <x:c r="C7" s="25" t="str">
        <x:v>-</x:v>
      </x:c>
      <x:c r="D7" s="25" t="str">
        <x:v>Chọn Bảng 18</x:v>
      </x:c>
      <x:c r="E7" s="25" t="str">
        <x:v>CT214</x:v>
      </x:c>
      <x:c r="F7" s="25" t="str"/>
      <x:c r="G7" s="25" t="str"/>
      <x:c r="H7" s="25" t="str">
        <x:v>INPUT</x:v>
      </x:c>
      <x:c r="I7" s="25"/>
      <x:c r="J7" s="25"/>
      <x:c r="K7" s="25"/>
      <x:c r="L7" s="25"/>
      <x:c r="M7" s="25"/>
      <x:c r="N7" s="25"/>
      <x:c r="O7" s="25"/>
      <x:c r="P7" s="25"/>
      <x:c r="Q7" s="25"/>
    </x:row>
    <x:row r="8" ht="15" hidden="0" customHeight="1">
      <x:c r="A8" s="25" t="str">
        <x:v>Loại thép</x:v>
      </x:c>
      <x:c r="B8" s="102" t="str">
        <x:v>Cáp/dây</x:v>
      </x:c>
      <x:c r="C8" s="25" t="str">
        <x:v>-</x:v>
      </x:c>
      <x:c r="D8" s="25" t="str">
        <x:v>Cáp/dây hoặc Thanh</x:v>
      </x:c>
      <x:c r="E8" s="25" t="str">
        <x:v>Bảng 18</x:v>
      </x:c>
      <x:c r="F8" s="25" t="str"/>
      <x:c r="G8" s="25" t="str"/>
      <x:c r="H8" s="25" t="str">
        <x:v>INPUT</x:v>
      </x:c>
      <x:c r="I8" s="25"/>
      <x:c r="J8" s="25"/>
      <x:c r="K8" s="25"/>
      <x:c r="L8" s="25"/>
      <x:c r="M8" s="25"/>
      <x:c r="N8" s="25"/>
      <x:c r="O8" s="25"/>
      <x:c r="P8" s="25"/>
      <x:c r="Q8" s="25"/>
    </x:row>
    <x:row r="9" ht="15" hidden="0" customHeight="1">
      <x:c r="A9" s="25" t="str">
        <x:v>Bê tông</x:v>
      </x:c>
      <x:c r="B9" s="102" t="str">
        <x:v>B30</x:v>
      </x:c>
      <x:c r="C9" s="25" t="str">
        <x:v>-</x:v>
      </x:c>
      <x:c r="D9" s="25" t="str">
        <x:v>Tra Eb và φb,cr</x:v>
      </x:c>
      <x:c r="E9" s="25" t="str">
        <x:v>CT216</x:v>
      </x:c>
      <x:c r="F9" s="25" t="str"/>
      <x:c r="G9" s="25" t="str"/>
      <x:c r="H9" s="25" t="str">
        <x:v>INPUT</x:v>
      </x:c>
      <x:c r="I9" s="25"/>
      <x:c r="J9" s="25"/>
      <x:c r="K9" s="25"/>
      <x:c r="L9" s="25"/>
      <x:c r="M9" s="25"/>
      <x:c r="N9" s="25"/>
      <x:c r="O9" s="25"/>
      <x:c r="P9" s="25"/>
      <x:c r="Q9" s="25"/>
    </x:row>
    <x:row r="10" ht="15" hidden="0" customHeight="1">
      <x:c r="A10" s="25" t="str">
        <x:v>σbpj</x:v>
      </x:c>
      <x:c r="B10" s="102" t="n">
        <x:v>10</x:v>
      </x:c>
      <x:c r="C10" s="25" t="str">
        <x:v>MPa</x:v>
      </x:c>
      <x:c r="D10" s="25" t="str">
        <x:v>Ứng suất bê tông tại mức thép j</x:v>
      </x:c>
      <x:c r="E10" s="25" t="str">
        <x:v>CT216</x:v>
      </x:c>
      <x:c r="F10" s="25" t="str"/>
      <x:c r="G10" s="25" t="str"/>
      <x:c r="H10" s="25" t="str">
        <x:v>INPUT</x:v>
      </x:c>
      <x:c r="I10" s="25"/>
      <x:c r="J10" s="25"/>
      <x:c r="K10" s="25"/>
      <x:c r="L10" s="25"/>
      <x:c r="M10" s="25"/>
      <x:c r="N10" s="25"/>
      <x:c r="O10" s="25"/>
      <x:c r="P10" s="25"/>
      <x:c r="Q10" s="25"/>
    </x:row>
    <x:row r="11" ht="15" hidden="0" customHeight="1">
      <x:c r="A11" s="25" t="str">
        <x:v>ysj</x:v>
      </x:c>
      <x:c r="B11" s="102" t="n">
        <x:v>200</x:v>
      </x:c>
      <x:c r="C11" s="25" t="str">
        <x:v>mm</x:v>
      </x:c>
      <x:c r="D11" s="25" t="str">
        <x:v>Khoảng cách trọng tâm quy đổi đến thép j</x:v>
      </x:c>
      <x:c r="E11" s="25" t="str">
        <x:v>CT216</x:v>
      </x:c>
      <x:c r="F11" s="25" t="str"/>
      <x:c r="G11" s="25" t="str"/>
      <x:c r="H11" s="25" t="str">
        <x:v>INPUT</x:v>
      </x:c>
      <x:c r="I11" s="25"/>
      <x:c r="J11" s="25"/>
      <x:c r="K11" s="25"/>
      <x:c r="L11" s="25"/>
      <x:c r="M11" s="25"/>
      <x:c r="N11" s="25"/>
      <x:c r="O11" s="25"/>
      <x:c r="P11" s="25"/>
      <x:c r="Q11" s="25"/>
    </x:row>
    <x:row r="12" ht="15" hidden="0" customHeight="1">
      <x:c r="A12" s="25" t="str">
        <x:v>Ared</x:v>
      </x:c>
      <x:c r="B12" s="102" t="n">
        <x:v>160000</x:v>
      </x:c>
      <x:c r="C12" s="25" t="str">
        <x:v>mm²</x:v>
      </x:c>
      <x:c r="D12" s="25" t="str">
        <x:v>Diện tích quy đổi</x:v>
      </x:c>
      <x:c r="E12" s="25" t="str">
        <x:v>CT216</x:v>
      </x:c>
      <x:c r="F12" s="25" t="str"/>
      <x:c r="G12" s="25" t="str"/>
      <x:c r="H12" s="25" t="str">
        <x:v>INPUT</x:v>
      </x:c>
      <x:c r="I12" s="25"/>
      <x:c r="J12" s="25"/>
      <x:c r="K12" s="25"/>
      <x:c r="L12" s="25"/>
      <x:c r="M12" s="25"/>
      <x:c r="N12" s="25"/>
      <x:c r="O12" s="25"/>
      <x:c r="P12" s="25"/>
      <x:c r="Q12" s="25"/>
    </x:row>
    <x:row r="13" ht="15" hidden="0" customHeight="1">
      <x:c r="A13" s="25" t="str">
        <x:v>Ired</x:v>
      </x:c>
      <x:c r="B13" s="102" t="n">
        <x:v>3500000000</x:v>
      </x:c>
      <x:c r="C13" s="25" t="str">
        <x:v>mm⁴</x:v>
      </x:c>
      <x:c r="D13" s="25" t="str">
        <x:v>Mô men quán tính quy đổi</x:v>
      </x:c>
      <x:c r="E13" s="25" t="str">
        <x:v>CT216</x:v>
      </x:c>
      <x:c r="F13" s="25" t="str"/>
      <x:c r="G13" s="25" t="str"/>
      <x:c r="H13" s="25" t="str">
        <x:v>INPUT</x:v>
      </x:c>
      <x:c r="I13" s="25"/>
      <x:c r="J13" s="25"/>
      <x:c r="K13" s="25"/>
      <x:c r="L13" s="25"/>
      <x:c r="M13" s="25"/>
      <x:c r="N13" s="25"/>
      <x:c r="O13" s="25"/>
      <x:c r="P13" s="25"/>
      <x:c r="Q13" s="25"/>
    </x:row>
    <x:row r="14" ht="15" hidden="0" customHeight="1">
      <x:c r="A14" s="25" t="str">
        <x:v>A</x:v>
      </x:c>
      <x:c r="B14" s="102" t="n">
        <x:v>150000</x:v>
      </x:c>
      <x:c r="C14" s="25" t="str">
        <x:v>mm²</x:v>
      </x:c>
      <x:c r="D14" s="25" t="str">
        <x:v>Diện tích bê tông</x:v>
      </x:c>
      <x:c r="E14" s="25" t="str">
        <x:v>CT216</x:v>
      </x:c>
      <x:c r="F14" s="25" t="str"/>
      <x:c r="G14" s="25" t="str"/>
      <x:c r="H14" s="25" t="str">
        <x:v>INPUT</x:v>
      </x:c>
      <x:c r="I14" s="25"/>
      <x:c r="J14" s="25"/>
      <x:c r="K14" s="25"/>
      <x:c r="L14" s="25"/>
      <x:c r="M14" s="25"/>
      <x:c r="N14" s="25"/>
      <x:c r="O14" s="25"/>
      <x:c r="P14" s="25"/>
      <x:c r="Q14" s="25"/>
    </x:row>
    <x:row r="15" ht="15" hidden="0" customHeight="1">
      <x:c r="A15" s="25" t="str">
        <x:v>Aspj</x:v>
      </x:c>
      <x:c r="B15" s="102" t="n">
        <x:v>1000</x:v>
      </x:c>
      <x:c r="C15" s="25" t="str">
        <x:v>mm²</x:v>
      </x:c>
      <x:c r="D15" s="25" t="str">
        <x:v>Diện tích thép nhóm j</x:v>
      </x:c>
      <x:c r="E15" s="25" t="str">
        <x:v>CT216</x:v>
      </x:c>
      <x:c r="F15" s="25" t="str"/>
      <x:c r="G15" s="25" t="str"/>
      <x:c r="H15" s="25" t="str">
        <x:v>INPUT</x:v>
      </x:c>
      <x:c r="I15" s="25"/>
      <x:c r="J15" s="25"/>
      <x:c r="K15" s="25"/>
      <x:c r="L15" s="25"/>
      <x:c r="M15" s="25"/>
      <x:c r="N15" s="25"/>
      <x:c r="O15" s="25"/>
      <x:c r="P15" s="25"/>
      <x:c r="Q15" s="25"/>
    </x:row>
    <x:row r="16" ht="15" hidden="0" customHeight="1">
      <x:c r="A16" s="25" t="str">
        <x:v>Độ ẩm</x:v>
      </x:c>
      <x:c r="B16" s="102" t="n">
        <x:v>60</x:v>
      </x:c>
      <x:c r="C16" s="25" t="str">
        <x:v>%</x:v>
      </x:c>
      <x:c r="D16" s="25" t="str">
        <x:v>Tra Bảng 11</x:v>
      </x:c>
      <x:c r="E16" s="25" t="str">
        <x:v>CT216</x:v>
      </x:c>
      <x:c r="F16" s="25" t="str"/>
      <x:c r="G16" s="25" t="str"/>
      <x:c r="H16" s="25" t="str">
        <x:v>INPUT</x:v>
      </x:c>
      <x:c r="I16" s="25"/>
      <x:c r="J16" s="25"/>
      <x:c r="K16" s="25"/>
      <x:c r="L16" s="25"/>
      <x:c r="M16" s="25"/>
      <x:c r="N16" s="25"/>
      <x:c r="O16" s="25"/>
      <x:c r="P16" s="25"/>
      <x:c r="Q16" s="25"/>
    </x:row>
    <x:row r="17" ht="15" hidden="0" customHeight="1">
      <x:c r="A17" s="25" t="str">
        <x:v>Nhiệt luyện?</x:v>
      </x:c>
      <x:c r="B17" s="102" t="str">
        <x:v>Không</x:v>
      </x:c>
      <x:c r="C17" s="25" t="str">
        <x:v>Có/Không</x:v>
      </x:c>
      <x:c r="D17" s="25" t="str">
        <x:v>Có → hao tổn CT216 ×0,85</x:v>
      </x:c>
      <x:c r="E17" s="25" t="str">
        <x:v>CT216</x:v>
      </x:c>
      <x:c r="F17" s="25" t="str"/>
      <x:c r="G17" s="25" t="str"/>
      <x:c r="H17" s="25" t="str">
        <x:v>INPUT</x:v>
      </x:c>
      <x:c r="I17" s="25"/>
      <x:c r="J17" s="25"/>
      <x:c r="K17" s="25"/>
      <x:c r="L17" s="25"/>
      <x:c r="M17" s="25"/>
      <x:c r="N17" s="25"/>
      <x:c r="O17" s="25"/>
      <x:c r="P17" s="25"/>
      <x:c r="Q17" s="25"/>
    </x:row>
    <x:row r="18" ht="15" hidden="0" customHeight="1">
      <x:c r="A18" s="26"/>
      <x:c r="B18" s="26"/>
      <x:c r="C18" s="26"/>
      <x:c r="D18" s="26"/>
      <x:c r="E18" s="26"/>
      <x:c r="F18" s="26"/>
      <x:c r="G18" s="26"/>
      <x:c r="H18" s="26"/>
      <x:c r="I18" s="25"/>
      <x:c r="J18" s="25"/>
      <x:c r="K18" s="25"/>
      <x:c r="L18" s="25"/>
      <x:c r="M18" s="25"/>
      <x:c r="N18" s="25"/>
      <x:c r="O18" s="25"/>
      <x:c r="P18" s="25"/>
      <x:c r="Q18" s="25"/>
    </x:row>
    <x:row r="19" ht="15" hidden="0" customHeight="1">
      <x:c r="A19" s="101" t="str">
        <x:v>Bước</x:v>
      </x:c>
      <x:c r="B19" s="101" t="str">
        <x:v>Kết quả</x:v>
      </x:c>
      <x:c r="C19" s="101" t="str">
        <x:v>Đơn vị</x:v>
      </x:c>
      <x:c r="D19" s="101" t="str">
        <x:v>Diễn giải</x:v>
      </x:c>
      <x:c r="E19" s="101" t="str">
        <x:v>Công thức Excel</x:v>
      </x:c>
      <x:c r="F19" s="101" t="str">
        <x:v>Kiểm tra</x:v>
      </x:c>
      <x:c r="G19" s="101" t="str">
        <x:v>Nguồn</x:v>
      </x:c>
      <x:c r="H19" s="101" t="str">
        <x:v>Trạng thái</x:v>
      </x:c>
      <x:c r="I19" s="25"/>
      <x:c r="J19" s="25"/>
      <x:c r="K19" s="25"/>
      <x:c r="L19" s="25"/>
      <x:c r="M19" s="25"/>
      <x:c r="N19" s="25"/>
      <x:c r="O19" s="25"/>
      <x:c r="P19" s="25"/>
      <x:c r="Q19" s="25"/>
    </x:row>
    <x:row r="20" ht="15" hidden="0" customHeight="1">
      <x:c r="A20" s="25" t="str">
        <x:v>ω</x:v>
      </x:c>
      <x:c r="B20" s="103" t="n">
        <x:f>IF(B7="Ống/rãnh kim loại",0.003,IF(B7="Bê tông – lõi mềm",0.0015,0))</x:f>
        <x:v>0.003</x:v>
      </x:c>
      <x:c r="C20" s="25"/>
      <x:c r="D20" s="25"/>
      <x:c r="E20" s="25"/>
      <x:c r="F20" s="25"/>
      <x:c r="G20" s="25" t="str">
        <x:v>Bảng 18</x:v>
      </x:c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</x:row>
    <x:row r="21" ht="15" hidden="0" customHeight="1">
      <x:c r="A21" s="25" t="str">
        <x:v>δ</x:v>
      </x:c>
      <x:c r="B21" s="103" t="n">
        <x:f>IF(B8="Thanh",IF(B7="Ống/rãnh kim loại",0.4,0.65),IF(B7="Ống/rãnh kim loại",0.35,0.55))</x:f>
        <x:v>0.35</x:v>
      </x:c>
      <x:c r="C21" s="25"/>
      <x:c r="D21" s="25"/>
      <x:c r="E21" s="25"/>
      <x:c r="F21" s="25"/>
      <x:c r="G21" s="25" t="str">
        <x:v>Bảng 18</x:v>
      </x:c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</x:row>
    <x:row r="22" ht="15" hidden="0" customHeight="1">
      <x:c r="A22" s="25" t="str">
        <x:v>Δσsp7 ma sát</x:v>
      </x:c>
      <x:c r="B22" s="103" t="n">
        <x:f>(1-EXP(-(B20*B5+B21*B6)))*B4</x:f>
        <x:v>109.71411217149483</x:v>
      </x:c>
      <x:c r="C22" s="25"/>
      <x:c r="D22" s="25"/>
      <x:c r="E22" s="25"/>
      <x:c r="F22" s="25"/>
      <x:c r="G22" s="25" t="str">
        <x:v>CT214</x:v>
      </x:c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</x:row>
    <x:row r="23" ht="15" hidden="0" customHeight="1">
      <x:c r="A23" s="25" t="str">
        <x:v>φb,cr</x:v>
      </x:c>
      <x:c r="B23" s="103" t="n">
        <x:f>IF(B16&gt;75,INDEX('16_BANG_SLS'!$B$27:$B$37,MATCH(IF(VALUE(SUBSTITUTE(B9,"B",""))&gt;=60,"B60",B9),'16_BANG_SLS'!$A$27:$A$37,0)),IF(B16&gt;=40,INDEX('16_BANG_SLS'!$C$27:$C$37,MATCH(IF(VALUE(SUBSTITUTE(B9,"B",""))&gt;=60,"B60",B9),'16_BANG_SLS'!$A$27:$A$37,0)),INDEX('16_BANG_SLS'!$D$27:$D$37,MATCH(IF(VALUE(SUBSTITUTE(B9,"B",""))&gt;=60,"B60",B9),'16_BANG_SLS'!$A$27:$A$37,0))))</x:f>
        <x:v>2.3</x:v>
      </x:c>
      <x:c r="C23" s="25"/>
      <x:c r="D23" s="25"/>
      <x:c r="E23" s="25"/>
      <x:c r="F23" s="25"/>
      <x:c r="G23" s="25" t="str">
        <x:v>Bảng 11</x:v>
      </x:c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</x:row>
    <x:row r="24" ht="15" hidden="0" customHeight="1">
      <x:c r="A24" s="25" t="str">
        <x:v>Eb</x:v>
      </x:c>
      <x:c r="B24" s="103" t="n">
        <x:f>INDEX('02_VAT_LIEU'!D4:D22,MATCH(B9,'02_VAT_LIEU'!A4:A22,0))</x:f>
        <x:v>32500</x:v>
      </x:c>
      <x:c r="C24" s="25"/>
      <x:c r="D24" s="25"/>
      <x:c r="E24" s="25"/>
      <x:c r="F24" s="25"/>
      <x:c r="G24" s="25" t="str">
        <x:v>Bảng 10</x:v>
      </x:c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</x:row>
    <x:row r="25" ht="15" hidden="0" customHeight="1">
      <x:c r="A25" s="25" t="str">
        <x:v>α=Es/Eb</x:v>
      </x:c>
      <x:c r="B25" s="103" t="n">
        <x:f>200000/B24</x:f>
        <x:v>6.153846153846154</x:v>
      </x:c>
      <x:c r="C25" s="25"/>
      <x:c r="D25" s="25"/>
      <x:c r="E25" s="25"/>
      <x:c r="F25" s="25"/>
      <x:c r="G25" s="25" t="str">
        <x:v>CT216</x:v>
      </x:c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</x:row>
    <x:row r="26" ht="15" hidden="0" customHeight="1">
      <x:c r="A26" s="25" t="str">
        <x:v>μspj</x:v>
      </x:c>
      <x:c r="B26" s="103" t="n">
        <x:f>B15/B14</x:f>
        <x:v>0.006666666666666667</x:v>
      </x:c>
      <x:c r="C26" s="25"/>
      <x:c r="D26" s="25"/>
      <x:c r="E26" s="25"/>
      <x:c r="F26" s="25"/>
      <x:c r="G26" s="25" t="str">
        <x:v>CT216</x:v>
      </x:c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</x:row>
    <x:row r="27" ht="15" hidden="0" customHeight="1">
      <x:c r="A27" s="25" t="str">
        <x:v>Hệ số hình học</x:v>
      </x:c>
      <x:c r="B27" s="103" t="n">
        <x:f>1+B11^2*B12/B13</x:f>
        <x:v>2.8285714285714283</x:v>
      </x:c>
      <x:c r="C27" s="25"/>
      <x:c r="D27" s="25"/>
      <x:c r="E27" s="25"/>
      <x:c r="F27" s="25"/>
      <x:c r="G27" s="25" t="str">
        <x:v>CT216</x:v>
      </x:c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</x:row>
    <x:row r="28" ht="15" hidden="0" customHeight="1">
      <x:c r="A28" s="25" t="str">
        <x:v>Mẫu số CT216</x:v>
      </x:c>
      <x:c r="B28" s="103" t="n">
        <x:f>1+B25*B26*B27*(1+0.8*B23)</x:f>
        <x:v>1.329564835164835</x:v>
      </x:c>
      <x:c r="C28" s="25"/>
      <x:c r="D28" s="25"/>
      <x:c r="E28" s="25"/>
      <x:c r="F28" s="25"/>
      <x:c r="G28" s="25" t="str">
        <x:v>CT216</x:v>
      </x:c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</x:row>
    <x:row r="29" ht="26.399999618530273" hidden="0" customHeight="1">
      <x:c r="A29" s="25" t="str">
        <x:v>Δσsp6 từ biến</x:v>
      </x:c>
      <x:c r="B29" s="103" t="n">
        <x:f>IF(B10&lt;0,0,IF(B17="Có",0.85,1)*0.8*B25*B23*B10/B28)</x:f>
        <x:v>85.16378158928313</x:v>
      </x:c>
      <x:c r="C29" s="25"/>
      <x:c r="D29" s="25"/>
      <x:c r="E29" s="25"/>
      <x:c r="F29" s="25"/>
      <x:c r="G29" s="25" t="str">
        <x:v>CT216</x:v>
      </x:c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</x:row>
    <x:row r="30" ht="15" hidden="0" customHeight="1">
      <x:c r="A30" s="25" t="str">
        <x:v>σ còn sau CT214+216</x:v>
      </x:c>
      <x:c r="B30" s="103" t="n">
        <x:f>MAX(0,B4-B22-B29)</x:f>
        <x:v>705.1221062392219</x:v>
      </x:c>
      <x:c r="C30" s="25"/>
      <x:c r="D30" s="25"/>
      <x:c r="E30" s="25"/>
      <x:c r="F30" s="25"/>
      <x:c r="G30" s="25" t="str">
        <x:v>Tổng hợp</x:v>
      </x:c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</x:row>
    <x:row r="31" ht="15" hidden="0" customHeight="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</x:row>
    <x:row r="32" ht="15" hidden="0" customHeight="1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</x:row>
    <x:row r="33" ht="15" hidden="0" customHeight="1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</x:row>
    <x:row r="34" ht="15" hidden="0" customHeight="1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</x:row>
    <x:row r="35" ht="15" hidden="0" customHeight="1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</x:row>
    <x:row r="36" ht="15" hidden="0" customHeight="1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</x:row>
    <x:row r="37" ht="15" hidden="0" customHeight="1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</x:row>
    <x:row r="38" ht="15" hidden="0" customHeight="1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</x:row>
    <x:row r="39" ht="15" hidden="0" customHeight="1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</x:row>
    <x:row r="40" ht="15" hidden="0" customHeight="1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</x:row>
  </x:sheetData>
  <x:mergeCells>
    <x:mergeCell ref="A1:H1"/>
  </x:mergeCells>
  <x:dataValidations count="3">
    <x:dataValidation type="list" sqref="B7">
      <x:formula1>"Ống/rãnh kim loại,Bê tông – lõi cứng,Bê tông – lõi mềm,Bề mặt bê tông"</x:formula1>
    </x:dataValidation>
    <x:dataValidation type="list" sqref="B8">
      <x:formula1>"Cáp/dây,Thanh"</x:formula1>
    </x:dataValidation>
    <x:dataValidation type="list" sqref="B17">
      <x:formula1>"Có,Không"</x:formula1>
    </x:dataValidation>
  </x:dataValidations>
  <x:pageMargins left="0.7" right="0.7" top="0.75" bottom="0.75" header="0.3" footer="0.3"/>
  <x:drawing xmlns:r="http://schemas.openxmlformats.org/officeDocument/2006/relationships" r:id="Rf1c791da488449c2"/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18" hidden="0" customWidth="1"/>
    <x:col min="5" max="5" width="16" hidden="0" customWidth="1"/>
    <x:col min="6" max="6" width="16" hidden="0" customWidth="1"/>
    <x:col min="7" max="7" width="14" hidden="0" customWidth="1"/>
    <x:col min="8" max="8" width="40" hidden="0" customWidth="1"/>
  </x:cols>
  <x:sheetData>
    <x:row r="1">
      <x:c r="A1" s="118" t="str">
        <x:v>15 · BENCHMARK HNL CALCULATION ENGINE ↔ EXCEL – v1.21.0</x:v>
      </x:c>
      <x:c r="B1" s="118"/>
      <x:c r="C1" s="118"/>
      <x:c r="D1" s="118"/>
      <x:c r="E1" s="118"/>
      <x:c r="F1" s="118"/>
      <x:c r="G1" s="118"/>
      <x:c r="H1" s="118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>
      <x:c r="A3" s="121" t="str">
        <x:v>Workflow</x:v>
      </x:c>
      <x:c r="B3" s="121" t="str">
        <x:v>HNL Engine</x:v>
      </x:c>
      <x:c r="C3" s="121" t="str">
        <x:v>Excel</x:v>
      </x:c>
      <x:c r="D3" s="121" t="str">
        <x:v>Sai lệch</x:v>
      </x:c>
      <x:c r="E3" s="121" t="str">
        <x:v>Tolerance</x:v>
      </x:c>
      <x:c r="F3" s="121" t="str">
        <x:v>Kết quả</x:v>
      </x:c>
      <x:c r="G3" s="121" t="str">
        <x:v>Đơn vị</x:v>
      </x:c>
      <x:c r="H3" s="121" t="str">
        <x:v>Nguồn</x:v>
      </x:c>
    </x:row>
    <x:row r="4">
      <x:c r="A4" s="20" t="str">
        <x:v>Nứt acrc</x:v>
      </x:c>
      <x:c r="B4" s="20" t="n">
        <x:v>0.19643377985660346</x:v>
      </x:c>
      <x:c r="C4" s="20" t="n">
        <x:f>'12_NUT'!B32</x:f>
        <x:v>0.19643377985660346</x:v>
      </x:c>
      <x:c r="D4" s="20" t="n">
        <x:f>ABS(C4-B4)</x:f>
        <x:v>0</x:v>
      </x:c>
      <x:c r="E4" s="20" t="n">
        <x:v>1e-8</x:v>
      </x:c>
      <x:c r="F4" s="20" t="str">
        <x:f>IF(D4&lt;=E4,"PASS","FAIL")</x:f>
        <x:v>PASS</x:v>
      </x:c>
      <x:c r="G4" s="20" t="str">
        <x:v>mm</x:v>
      </x:c>
      <x:c r="H4" s="20" t="str">
        <x:v>Bảng 6/12/17 + CT166</x:v>
      </x:c>
    </x:row>
    <x:row r="5">
      <x:c r="A5" s="20" t="str">
        <x:v>Độ võng uốn có nứt</x:v>
      </x:c>
      <x:c r="B5" s="20" t="n">
        <x:v>21.312845185308635</x:v>
      </x:c>
      <x:c r="C5" s="20" t="n">
        <x:f>'13_BIEN_DANG'!B33</x:f>
        <x:v>21.312845185308635</x:v>
      </x:c>
      <x:c r="D5" s="20" t="n">
        <x:f>ABS(C5-B5)</x:f>
        <x:v>0</x:v>
      </x:c>
      <x:c r="E5" s="20" t="n">
        <x:v>1e-8</x:v>
      </x:c>
      <x:c r="F5" s="20" t="str">
        <x:f>IF(D5&lt;=E5,"PASS","FAIL")</x:f>
        <x:v>PASS</x:v>
      </x:c>
      <x:c r="G5" s="20" t="str">
        <x:v>mm</x:v>
      </x:c>
      <x:c r="H5" s="20" t="str">
        <x:v>CT186 + CT193–204</x:v>
      </x:c>
    </x:row>
    <x:row r="6">
      <x:c r="A6" s="20" t="str">
        <x:v>Biến dạng trượt</x:v>
      </x:c>
      <x:c r="B6" s="20" t="n">
        <x:v>0.20307692307692304</x:v>
      </x:c>
      <x:c r="C6" s="20" t="n">
        <x:f>'13_BIEN_DANG'!B39</x:f>
        <x:v>0.20307692307692304</x:v>
      </x:c>
      <x:c r="D6" s="20" t="n">
        <x:f>ABS(C6-B6)</x:f>
        <x:v>0</x:v>
      </x:c>
      <x:c r="E6" s="20" t="n">
        <x:v>1e-10</x:v>
      </x:c>
      <x:c r="F6" s="20" t="str">
        <x:f>IF(D6&lt;=E6,"PASS","FAIL")</x:f>
        <x:v>PASS</x:v>
      </x:c>
      <x:c r="G6" s="20" t="str">
        <x:v>mm</x:v>
      </x:c>
      <x:c r="H6" s="20" t="str">
        <x:v>CT181–184</x:v>
      </x:c>
    </x:row>
    <x:row r="7">
      <x:c r="A7" s="20" t="str">
        <x:v>Hao tổn ma sát CT214</x:v>
      </x:c>
      <x:c r="B7" s="20" t="n">
        <x:v>109.71411217149483</x:v>
      </x:c>
      <x:c r="C7" s="20" t="n">
        <x:f>'14_UNG_SUAT_TRUOC'!B22</x:f>
        <x:v>109.71411217149483</x:v>
      </x:c>
      <x:c r="D7" s="20" t="n">
        <x:f>ABS(C7-B7)</x:f>
        <x:v>0</x:v>
      </x:c>
      <x:c r="E7" s="20" t="n">
        <x:v>1e-8</x:v>
      </x:c>
      <x:c r="F7" s="20" t="str">
        <x:f>IF(D7&lt;=E7,"PASS","FAIL")</x:f>
        <x:v>PASS</x:v>
      </x:c>
      <x:c r="G7" s="20" t="str">
        <x:v>MPa</x:v>
      </x:c>
      <x:c r="H7" s="20" t="str">
        <x:v>CT214 + Bảng18</x:v>
      </x:c>
    </x:row>
    <x:row r="8">
      <x:c r="A8" s="93" t="str">
        <x:v>Hao tổn từ biến CT216</x:v>
      </x:c>
      <x:c r="B8" s="93" t="n">
        <x:v>85.16378158928313</x:v>
      </x:c>
      <x:c r="C8" s="93" t="n">
        <x:f>'14_UNG_SUAT_TRUOC'!B29</x:f>
        <x:v>85.16378158928313</x:v>
      </x:c>
      <x:c r="D8" s="93" t="n">
        <x:f>ABS(C8-B8)</x:f>
        <x:v>0</x:v>
      </x:c>
      <x:c r="E8" s="93" t="n">
        <x:v>1e-8</x:v>
      </x:c>
      <x:c r="F8" s="93" t="str">
        <x:f>IF(D8&lt;=E8,"PASS","FAIL")</x:f>
        <x:v>PASS</x:v>
      </x:c>
      <x:c r="G8" s="93" t="str">
        <x:v>MPa</x:v>
      </x:c>
      <x:c r="H8" s="93" t="str">
        <x:v>CT216 + Bảng11</x:v>
      </x:c>
    </x:row>
    <x:row r="9">
      <x:c r="A9" s="20" t="str">
        <x:v>Neo Lan</x:v>
      </x:c>
      <x:c r="B9" s="20" t="n">
        <x:v>608.695652173913</x:v>
      </x:c>
      <x:c r="C9" s="20" t="n">
        <x:f>'17_NEO_NOI'!B25</x:f>
        <x:v>608.695652173913</x:v>
      </x:c>
      <x:c r="D9" s="20" t="n">
        <x:f>ABS(C9-B9)</x:f>
        <x:v>0</x:v>
      </x:c>
      <x:c r="E9" s="20" t="n">
        <x:v>1e-8</x:v>
      </x:c>
      <x:c r="F9" s="20" t="str">
        <x:f>IF(D9&lt;=E9,"PASS","FAIL")</x:f>
        <x:v>PASS</x:v>
      </x:c>
      <x:c r="G9" s="20" t="str">
        <x:v>mm</x:v>
      </x:c>
      <x:c r="H9" s="20" t="str">
        <x:v>CT255–257</x:v>
      </x:c>
    </x:row>
    <x:row r="10">
      <x:c r="A10" s="20" t="str">
        <x:v>Nối Llap</x:v>
      </x:c>
      <x:c r="B10" s="20" t="n">
        <x:v>730.4347826086956</x:v>
      </x:c>
      <x:c r="C10" s="20" t="n">
        <x:f>'17_NEO_NOI'!B28</x:f>
        <x:v>730.4347826086956</x:v>
      </x:c>
      <x:c r="D10" s="20" t="n">
        <x:f>ABS(C10-B10)</x:f>
        <x:v>0</x:v>
      </x:c>
      <x:c r="E10" s="20" t="n">
        <x:v>1e-8</x:v>
      </x:c>
      <x:c r="F10" s="20" t="str">
        <x:f>IF(D10&lt;=E10,"PASS","FAIL")</x:f>
        <x:v>PASS</x:v>
      </x:c>
      <x:c r="G10" s="20" t="str">
        <x:v>mm</x:v>
      </x:c>
      <x:c r="H10" s="20" t="str">
        <x:v>CT259</x:v>
      </x:c>
    </x:row>
    <x:row r="11">
      <x:c r="A11" s="20" t="str">
        <x:v>Vành khuyên Mu</x:v>
      </x:c>
      <x:c r="B11" s="20" t="n">
        <x:v>538.0081855371169</x:v>
      </x:c>
      <x:c r="C11" s="20" t="n">
        <x:f>'18_TIET_DIEN_TRON'!B25</x:f>
        <x:v>538.0081855371169</x:v>
      </x:c>
      <x:c r="D11" s="20" t="n">
        <x:f>ABS(C11-B11)</x:f>
        <x:v>0</x:v>
      </x:c>
      <x:c r="E11" s="20" t="n">
        <x:v>1e-8</x:v>
      </x:c>
      <x:c r="F11" s="20" t="str">
        <x:f>IF(D11&lt;=E11,"PASS","FAIL")</x:f>
        <x:v>PASS</x:v>
      </x:c>
      <x:c r="G11" s="20" t="str">
        <x:v>kN.m</x:v>
      </x:c>
      <x:c r="H11" s="20" t="str">
        <x:v>F.1–F.6</x:v>
      </x:c>
    </x:row>
    <x:row r="12">
      <x:c r="A12" s="20" t="str">
        <x:v>Tròn ξcir F.9</x:v>
      </x:c>
      <x:c r="B12" s="20" t="n">
        <x:v>0.4108754644924474</x:v>
      </x:c>
      <x:c r="C12" s="20" t="n">
        <x:f>'18_TIET_DIEN_TRON'!C29</x:f>
        <x:v>0.4108754644919473</x:v>
      </x:c>
      <x:c r="D12" s="20" t="n">
        <x:f>ABS(C12-B12)</x:f>
        <x:v>5.000999614424018e-13</x:v>
      </x:c>
      <x:c r="E12" s="20" t="n">
        <x:v>1e-9</x:v>
      </x:c>
      <x:c r="F12" s="20" t="str">
        <x:f>IF(D12&lt;=E12,"PASS","FAIL")</x:f>
        <x:v>PASS</x:v>
      </x:c>
      <x:c r="G12" s="20" t="str">
        <x:v>-</x:v>
      </x:c>
      <x:c r="H12" s="20" t="str">
        <x:v>F.8–F.10</x:v>
      </x:c>
    </x:row>
    <x:row r="13">
      <x:c r="A13" s="20" t="str">
        <x:v>Tròn Mu F.7</x:v>
      </x:c>
      <x:c r="B13" s="20" t="n">
        <x:v>414.5939702926483</x:v>
      </x:c>
      <x:c r="C13" s="20" t="n">
        <x:f>'18_TIET_DIEN_TRON'!C31</x:f>
        <x:v>414.59397029230144</x:v>
      </x:c>
      <x:c r="D13" s="20" t="n">
        <x:f>ABS(C13-B13)</x:f>
        <x:v>3.468585418886505e-10</x:v>
      </x:c>
      <x:c r="E13" s="20" t="n">
        <x:v>1e-8</x:v>
      </x:c>
      <x:c r="F13" s="20" t="str">
        <x:f>IF(D13&lt;=E13,"PASS","FAIL")</x:f>
        <x:v>PASS</x:v>
      </x:c>
      <x:c r="G13" s="20" t="str">
        <x:v>kN.m</x:v>
      </x:c>
      <x:c r="H13" s="20" t="str">
        <x:v>F.7</x:v>
      </x:c>
    </x:row>
    <x:row r="14">
      <x:c r="A14" s="20" t="str">
        <x:v>Chốt tk G.1</x:v>
      </x:c>
      <x:c r="B14" s="20" t="n">
        <x:v>19.607843137254903</x:v>
      </x:c>
      <x:c r="C14" s="20" t="n">
        <x:f>'20_PHU_LUC_G'!B14</x:f>
        <x:v>19.607843137254903</x:v>
      </x:c>
      <x:c r="D14" s="20" t="n">
        <x:f>ABS(C14-B14)</x:f>
        <x:v>0</x:v>
      </x:c>
      <x:c r="E14" s="20" t="n">
        <x:v>1e-9</x:v>
      </x:c>
      <x:c r="F14" s="20" t="str">
        <x:f>IF(D14&lt;=E14,"PASS","FAIL")</x:f>
        <x:v>PASS</x:v>
      </x:c>
      <x:c r="G14" s="20" t="str">
        <x:v>mm</x:v>
      </x:c>
      <x:c r="H14" s="20" t="str">
        <x:v>G.1</x:v>
      </x:c>
    </x:row>
    <x:row r="15">
      <x:c r="A15" s="20" t="str">
        <x:v>Chốt hk G.3 (N=50)</x:v>
      </x:c>
      <x:c r="B15" s="20" t="n">
        <x:v>119.56521739130434</x:v>
      </x:c>
      <x:c r="C15" s="20" t="n">
        <x:f>'20_PHU_LUC_G'!B17</x:f>
        <x:v>119.56521739130434</x:v>
      </x:c>
      <x:c r="D15" s="20" t="n">
        <x:f>ABS(C15-B15)</x:f>
        <x:v>0</x:v>
      </x:c>
      <x:c r="E15" s="20" t="n">
        <x:v>1e-9</x:v>
      </x:c>
      <x:c r="F15" s="20" t="str">
        <x:f>IF(D15&lt;=E15,"PASS","FAIL")</x:f>
        <x:v>PASS</x:v>
      </x:c>
      <x:c r="G15" s="20" t="str">
        <x:v>mm</x:v>
      </x:c>
      <x:c r="H15" s="20" t="str">
        <x:v>G.2/G.3</x:v>
      </x:c>
    </x:row>
    <x:row r="16">
      <x:c r="A16" s="20" t="str">
        <x:v>Công xôn Qu H.1</x:v>
      </x:c>
      <x:c r="B16" s="20" t="n">
        <x:v>603.75</x:v>
      </x:c>
      <x:c r="C16" s="20" t="n">
        <x:f>'19_CONG_XON_NGAN'!B24</x:f>
        <x:v>603.7499999999999</x:v>
      </x:c>
      <x:c r="D16" s="20" t="n">
        <x:f>ABS(C16-B16)</x:f>
        <x:v>1.1368683772161603e-13</x:v>
      </x:c>
      <x:c r="E16" s="20" t="n">
        <x:v>1e-8</x:v>
      </x:c>
      <x:c r="F16" s="20" t="str">
        <x:f>IF(D16&lt;=E16,"PASS","FAIL")</x:f>
        <x:v>PASS</x:v>
      </x:c>
      <x:c r="G16" s="20" t="str">
        <x:v>kN</x:v>
      </x:c>
      <x:c r="H16" s="20" t="str">
        <x:v>H.1</x:v>
      </x:c>
    </x:row>
    <x:row r="17">
      <x:c r="A17" s="20"/>
      <x:c r="B17" s="20"/>
      <x:c r="C17" s="20"/>
      <x:c r="D17" s="20"/>
      <x:c r="E17" s="20"/>
      <x:c r="F17" s="20"/>
      <x:c r="G17" s="20"/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</x:sheetData>
  <x:mergeCells>
    <x:mergeCell ref="A1:H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42" hidden="0" customWidth="1"/>
    <x:col min="6" max="6" width="22" hidden="0" customWidth="1"/>
    <x:col min="7" max="7" width="14" hidden="0" customWidth="1"/>
    <x:col min="8" max="8" width="40" hidden="0" customWidth="1"/>
    <x:col min="9" max="9" width="44" hidden="0" customWidth="1"/>
    <x:col min="11" max="11" width="26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96" t="str">
        <x:v>16 · BẢNG SLS VERIFIED – BẢNG 6 / 12 / 17 / 18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  <x:c r="M1" s="96"/>
      <x:c r="N1" s="96"/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</x:row>
    <x:row r="3">
      <x:c r="A3" s="99" t="str">
        <x:v>Bê tông</x:v>
      </x:c>
      <x:c r="B3" s="99" t="str">
        <x:v>Rb,ser MPa</x:v>
      </x:c>
      <x:c r="C3" s="99" t="str">
        <x:v>Rbt,ser MPa</x:v>
      </x:c>
      <x:c r="D3" s="99" t="str">
        <x:v>Nguồn</x:v>
      </x:c>
      <x:c r="E3" s="20"/>
      <x:c r="F3" s="110" t="str">
        <x:v>Thép / mã HNL</x:v>
      </x:c>
      <x:c r="G3" s="110" t="str">
        <x:v>Rs,ser MPa</x:v>
      </x:c>
      <x:c r="H3" s="110" t="str">
        <x:v>Mô tả</x:v>
      </x:c>
      <x:c r="I3" s="110" t="str">
        <x:v>Nguồn</x:v>
      </x:c>
      <x:c r="J3" s="20"/>
      <x:c r="K3" s="99" t="str">
        <x:v>Bề mặt</x:v>
      </x:c>
      <x:c r="L3" s="99" t="str">
        <x:v>ω</x:v>
      </x:c>
      <x:c r="M3" s="99" t="str">
        <x:v>δ cáp/dây</x:v>
      </x:c>
      <x:c r="N3" s="99" t="str">
        <x:v>δ thanh</x:v>
      </x:c>
    </x:row>
    <x:row r="4">
      <x:c r="A4" s="20" t="str">
        <x:v>B3.5</x:v>
      </x:c>
      <x:c r="B4" s="20" t="n">
        <x:v>2.7</x:v>
      </x:c>
      <x:c r="C4" s="20" t="n">
        <x:v>0.39</x:v>
      </x:c>
      <x:c r="D4" s="20" t="str">
        <x:v>TCVN 5574:2018 · Bảng 6 · tr.34 / PDF 32</x:v>
      </x:c>
      <x:c r="E4" s="20"/>
      <x:c r="F4" s="20" t="str">
        <x:v>CB240-T</x:v>
      </x:c>
      <x:c r="G4" s="20" t="n">
        <x:v>240</x:v>
      </x:c>
      <x:c r="H4" s="20" t="str">
        <x:v>Thép thanh</x:v>
      </x:c>
      <x:c r="I4" s="20" t="str">
        <x:v>TCVN 5574:2018 · Bảng 12 · tr.45–46 / PDF 43–44</x:v>
      </x:c>
      <x:c r="J4" s="20"/>
      <x:c r="K4" s="20" t="str">
        <x:v>Ống/rãnh kim loại</x:v>
      </x:c>
      <x:c r="L4" s="20" t="n">
        <x:v>0.003</x:v>
      </x:c>
      <x:c r="M4" s="20" t="n">
        <x:v>0.35</x:v>
      </x:c>
      <x:c r="N4" s="20" t="n">
        <x:v>0.4</x:v>
      </x:c>
    </x:row>
    <x:row r="5">
      <x:c r="A5" s="20" t="str">
        <x:v>B5</x:v>
      </x:c>
      <x:c r="B5" s="20" t="n">
        <x:v>3.5</x:v>
      </x:c>
      <x:c r="C5" s="20" t="n">
        <x:v>0.55</x:v>
      </x:c>
      <x:c r="D5" s="20" t="str">
        <x:v>TCVN 5574:2018 · Bảng 6 · tr.34 / PDF 32</x:v>
      </x:c>
      <x:c r="E5" s="20"/>
      <x:c r="F5" s="20" t="str">
        <x:v>CB300-T</x:v>
      </x:c>
      <x:c r="G5" s="20" t="n">
        <x:v>300</x:v>
      </x:c>
      <x:c r="H5" s="20" t="str">
        <x:v>Thép thanh</x:v>
      </x:c>
      <x:c r="I5" s="20" t="str">
        <x:v>TCVN 5574:2018 · Bảng 12 · tr.45–46 / PDF 43–44</x:v>
      </x:c>
      <x:c r="J5" s="20"/>
      <x:c r="K5" s="20" t="str">
        <x:v>Bê tông – lõi cứng</x:v>
      </x:c>
      <x:c r="L5" s="20" t="n">
        <x:v>0</x:v>
      </x:c>
      <x:c r="M5" s="20" t="n">
        <x:v>0.55</x:v>
      </x:c>
      <x:c r="N5" s="20" t="n">
        <x:v>0.65</x:v>
      </x:c>
    </x:row>
    <x:row r="6">
      <x:c r="A6" s="20" t="str">
        <x:v>B7.5</x:v>
      </x:c>
      <x:c r="B6" s="20" t="n">
        <x:v>5.5</x:v>
      </x:c>
      <x:c r="C6" s="20" t="n">
        <x:v>0.7</x:v>
      </x:c>
      <x:c r="D6" s="20" t="str">
        <x:v>TCVN 5574:2018 · Bảng 6 · tr.34 / PDF 32</x:v>
      </x:c>
      <x:c r="E6" s="20"/>
      <x:c r="F6" s="20" t="str">
        <x:v>CB300-V</x:v>
      </x:c>
      <x:c r="G6" s="20" t="n">
        <x:v>300</x:v>
      </x:c>
      <x:c r="H6" s="20" t="str">
        <x:v>Thép thanh</x:v>
      </x:c>
      <x:c r="I6" s="20" t="str">
        <x:v>TCVN 5574:2018 · Bảng 12 · tr.45–46 / PDF 43–44</x:v>
      </x:c>
      <x:c r="J6" s="20"/>
      <x:c r="K6" s="20" t="str">
        <x:v>Bê tông – lõi mềm</x:v>
      </x:c>
      <x:c r="L6" s="20" t="n">
        <x:v>0.0015</x:v>
      </x:c>
      <x:c r="M6" s="20" t="n">
        <x:v>0.55</x:v>
      </x:c>
      <x:c r="N6" s="20" t="n">
        <x:v>0.65</x:v>
      </x:c>
    </x:row>
    <x:row r="7">
      <x:c r="A7" s="20" t="str">
        <x:v>B10</x:v>
      </x:c>
      <x:c r="B7" s="20" t="n">
        <x:v>7.5</x:v>
      </x:c>
      <x:c r="C7" s="20" t="n">
        <x:v>0.85</x:v>
      </x:c>
      <x:c r="D7" s="20" t="str">
        <x:v>TCVN 5574:2018 · Bảng 6 · tr.34 / PDF 32</x:v>
      </x:c>
      <x:c r="E7" s="20"/>
      <x:c r="F7" s="20" t="str">
        <x:v>CB400-V</x:v>
      </x:c>
      <x:c r="G7" s="20" t="n">
        <x:v>400</x:v>
      </x:c>
      <x:c r="H7" s="20" t="str">
        <x:v>Thép thanh</x:v>
      </x:c>
      <x:c r="I7" s="20" t="str">
        <x:v>TCVN 5574:2018 · Bảng 12 · tr.45–46 / PDF 43–44</x:v>
      </x:c>
      <x:c r="J7" s="20"/>
      <x:c r="K7" s="20" t="str">
        <x:v>Bề mặt bê tông</x:v>
      </x:c>
      <x:c r="L7" s="20" t="n">
        <x:v>0</x:v>
      </x:c>
      <x:c r="M7" s="20" t="n">
        <x:v>0.55</x:v>
      </x:c>
      <x:c r="N7" s="20" t="n">
        <x:v>0.65</x:v>
      </x:c>
    </x:row>
    <x:row r="8">
      <x:c r="A8" s="20" t="str">
        <x:v>B12.5</x:v>
      </x:c>
      <x:c r="B8" s="20" t="n">
        <x:v>9.5</x:v>
      </x:c>
      <x:c r="C8" s="20" t="n">
        <x:v>1</x:v>
      </x:c>
      <x:c r="D8" s="20" t="str">
        <x:v>TCVN 5574:2018 · Bảng 6 · tr.34 / PDF 32</x:v>
      </x:c>
      <x:c r="E8" s="20"/>
      <x:c r="F8" s="20" t="str">
        <x:v>CB500-V</x:v>
      </x:c>
      <x:c r="G8" s="20" t="n">
        <x:v>500</x:v>
      </x:c>
      <x:c r="H8" s="20" t="str">
        <x:v>Thép thanh</x:v>
      </x:c>
      <x:c r="I8" s="20" t="str">
        <x:v>TCVN 5574:2018 · Bảng 12 · tr.45–46 / PDF 43–44</x:v>
      </x:c>
      <x:c r="J8" s="20"/>
      <x:c r="K8" s="20"/>
      <x:c r="L8" s="20"/>
      <x:c r="M8" s="20"/>
      <x:c r="N8" s="20"/>
    </x:row>
    <x:row r="9">
      <x:c r="A9" s="20" t="str">
        <x:v>B15</x:v>
      </x:c>
      <x:c r="B9" s="20" t="n">
        <x:v>11</x:v>
      </x:c>
      <x:c r="C9" s="20" t="n">
        <x:v>1.1</x:v>
      </x:c>
      <x:c r="D9" s="20" t="str">
        <x:v>TCVN 5574:2018 · Bảng 6 · tr.34 / PDF 32</x:v>
      </x:c>
      <x:c r="E9" s="20"/>
      <x:c r="F9" s="20" t="str">
        <x:v>YS835</x:v>
      </x:c>
      <x:c r="G9" s="20" t="n">
        <x:v>835</x:v>
      </x:c>
      <x:c r="H9" s="20" t="str">
        <x:v>Thép thanh giới hạn chảy quy ước 835</x:v>
      </x:c>
      <x:c r="I9" s="20" t="str">
        <x:v>TCVN 5574:2018 · Bảng 12 · tr.45–46 / PDF 43–44</x:v>
      </x:c>
      <x:c r="J9" s="20"/>
      <x:c r="K9" s="20" t="str">
        <x:v>Nguồn</x:v>
      </x:c>
      <x:c r="L9" s="20" t="str">
        <x:v>TCVN 5574:2018</x:v>
      </x:c>
      <x:c r="M9" s="20" t="str">
        <x:v>Bảng 18</x:v>
      </x:c>
      <x:c r="N9" s="20" t="str">
        <x:v>tr.117 / PDF 115</x:v>
      </x:c>
    </x:row>
    <x:row r="10">
      <x:c r="A10" s="20" t="str">
        <x:v>B20</x:v>
      </x:c>
      <x:c r="B10" s="20" t="n">
        <x:v>15</x:v>
      </x:c>
      <x:c r="C10" s="20" t="n">
        <x:v>1.35</x:v>
      </x:c>
      <x:c r="D10" s="20" t="str">
        <x:v>TCVN 5574:2018 · Bảng 6 · tr.34 / PDF 32</x:v>
      </x:c>
      <x:c r="E10" s="20"/>
      <x:c r="F10" s="20" t="str">
        <x:v>YS930</x:v>
      </x:c>
      <x:c r="G10" s="20" t="n">
        <x:v>930</x:v>
      </x:c>
      <x:c r="H10" s="20" t="str">
        <x:v>Thép thanh giới hạn chảy quy ước 930</x:v>
      </x:c>
      <x:c r="I10" s="20" t="str">
        <x:v>TCVN 5574:2018 · Bảng 12 · tr.45–46 / PDF 43–44</x:v>
      </x:c>
      <x:c r="J10" s="20"/>
      <x:c r="K10" s="20" t="str">
        <x:v>Trạng thái</x:v>
      </x:c>
      <x:c r="L10" s="20" t="str">
        <x:v>VERIFIED</x:v>
      </x:c>
      <x:c r="M10" s="20" t="str"/>
      <x:c r="N10" s="20" t="str"/>
    </x:row>
    <x:row r="11">
      <x:c r="A11" s="20" t="str">
        <x:v>B25</x:v>
      </x:c>
      <x:c r="B11" s="20" t="n">
        <x:v>18.5</x:v>
      </x:c>
      <x:c r="C11" s="20" t="n">
        <x:v>1.55</x:v>
      </x:c>
      <x:c r="D11" s="20" t="str">
        <x:v>TCVN 5574:2018 · Bảng 6 · tr.34 / PDF 32</x:v>
      </x:c>
      <x:c r="E11" s="20"/>
      <x:c r="F11" s="99" t="str">
        <x:v>YS1080</x:v>
      </x:c>
      <x:c r="G11" s="99" t="n">
        <x:v>1080</x:v>
      </x:c>
      <x:c r="H11" s="99" t="str">
        <x:v>Thép thanh giới hạn chảy quy ước 1080</x:v>
      </x:c>
      <x:c r="I11" s="99" t="str">
        <x:v>TCVN 5574:2018 · Bảng 12 · tr.45–46 / PDF 43–44</x:v>
      </x:c>
      <x:c r="J11" s="20"/>
      <x:c r="K11" s="20"/>
      <x:c r="L11" s="20"/>
      <x:c r="M11" s="20"/>
      <x:c r="N11" s="20"/>
    </x:row>
    <x:row r="12">
      <x:c r="A12" s="20" t="str">
        <x:v>B30</x:v>
      </x:c>
      <x:c r="B12" s="20" t="n">
        <x:v>22</x:v>
      </x:c>
      <x:c r="C12" s="20" t="n">
        <x:v>1.75</x:v>
      </x:c>
      <x:c r="D12" s="20" t="str">
        <x:v>TCVN 5574:2018 · Bảng 6 · tr.34 / PDF 32</x:v>
      </x:c>
      <x:c r="E12" s="20"/>
      <x:c r="F12" s="20" t="str">
        <x:v>WIRE1470</x:v>
      </x:c>
      <x:c r="G12" s="20" t="n">
        <x:v>1200</x:v>
      </x:c>
      <x:c r="H12" s="20" t="str">
        <x:v>Dây thép giới hạn bền 1470</x:v>
      </x:c>
      <x:c r="I12" s="20" t="str">
        <x:v>TCVN 5574:2018 · Bảng 12 · tr.45–46 / PDF 43–44</x:v>
      </x:c>
      <x:c r="J12" s="20"/>
      <x:c r="K12" s="20"/>
      <x:c r="L12" s="20"/>
      <x:c r="M12" s="20"/>
      <x:c r="N12" s="20"/>
    </x:row>
    <x:row r="13">
      <x:c r="A13" s="20" t="str">
        <x:v>B35</x:v>
      </x:c>
      <x:c r="B13" s="20" t="n">
        <x:v>25.5</x:v>
      </x:c>
      <x:c r="C13" s="20" t="n">
        <x:v>1.95</x:v>
      </x:c>
      <x:c r="D13" s="20" t="str">
        <x:v>TCVN 5574:2018 · Bảng 6 · tr.34 / PDF 32</x:v>
      </x:c>
      <x:c r="E13" s="20"/>
      <x:c r="F13" s="20" t="str">
        <x:v>WIRE1570</x:v>
      </x:c>
      <x:c r="G13" s="20" t="n">
        <x:v>1300</x:v>
      </x:c>
      <x:c r="H13" s="20" t="str">
        <x:v>Dây thép giới hạn bền 1570</x:v>
      </x:c>
      <x:c r="I13" s="20" t="str">
        <x:v>TCVN 5574:2018 · Bảng 12 · tr.45–46 / PDF 43–44</x:v>
      </x:c>
      <x:c r="J13" s="20"/>
      <x:c r="K13" s="20"/>
      <x:c r="L13" s="20"/>
      <x:c r="M13" s="20"/>
      <x:c r="N13" s="20"/>
    </x:row>
    <x:row r="14">
      <x:c r="A14" s="20" t="str">
        <x:v>B40</x:v>
      </x:c>
      <x:c r="B14" s="20" t="n">
        <x:v>29</x:v>
      </x:c>
      <x:c r="C14" s="20" t="n">
        <x:v>2.1</x:v>
      </x:c>
      <x:c r="D14" s="20" t="str">
        <x:v>TCVN 5574:2018 · Bảng 6 · tr.34 / PDF 32</x:v>
      </x:c>
      <x:c r="E14" s="20"/>
      <x:c r="F14" s="20" t="str">
        <x:v>WIRE1670</x:v>
      </x:c>
      <x:c r="G14" s="20" t="n">
        <x:v>1400</x:v>
      </x:c>
      <x:c r="H14" s="20" t="str">
        <x:v>Dây thép giới hạn bền 1670</x:v>
      </x:c>
      <x:c r="I14" s="20" t="str">
        <x:v>TCVN 5574:2018 · Bảng 12 · tr.45–46 / PDF 43–44</x:v>
      </x:c>
      <x:c r="J14" s="20"/>
      <x:c r="K14" s="20"/>
      <x:c r="L14" s="20"/>
      <x:c r="M14" s="20"/>
      <x:c r="N14" s="20"/>
    </x:row>
    <x:row r="15">
      <x:c r="A15" s="20" t="str">
        <x:v>B45</x:v>
      </x:c>
      <x:c r="B15" s="20" t="n">
        <x:v>32</x:v>
      </x:c>
      <x:c r="C15" s="20" t="n">
        <x:v>2.25</x:v>
      </x:c>
      <x:c r="D15" s="20" t="str">
        <x:v>TCVN 5574:2018 · Bảng 6 · tr.34 / PDF 32</x:v>
      </x:c>
      <x:c r="E15" s="20"/>
      <x:c r="F15" s="20" t="str">
        <x:v>WIRE1770</x:v>
      </x:c>
      <x:c r="G15" s="20" t="n">
        <x:v>1500</x:v>
      </x:c>
      <x:c r="H15" s="20" t="str">
        <x:v>Dây thép giới hạn bền 1770</x:v>
      </x:c>
      <x:c r="I15" s="20" t="str">
        <x:v>TCVN 5574:2018 · Bảng 12 · tr.45–46 / PDF 43–44</x:v>
      </x:c>
      <x:c r="J15" s="20"/>
      <x:c r="K15" s="20"/>
      <x:c r="L15" s="20"/>
      <x:c r="M15" s="20"/>
      <x:c r="N15" s="20"/>
    </x:row>
    <x:row r="16">
      <x:c r="A16" s="20" t="str">
        <x:v>B50</x:v>
      </x:c>
      <x:c r="B16" s="20" t="n">
        <x:v>36</x:v>
      </x:c>
      <x:c r="C16" s="20" t="n">
        <x:v>2.45</x:v>
      </x:c>
      <x:c r="D16" s="20" t="str">
        <x:v>TCVN 5574:2018 · Bảng 6 · tr.34 / PDF 32</x:v>
      </x:c>
      <x:c r="E16" s="20"/>
      <x:c r="F16" s="20" t="str">
        <x:v>COLD-DRAWN-500</x:v>
      </x:c>
      <x:c r="G16" s="20" t="n">
        <x:v>500</x:v>
      </x:c>
      <x:c r="H16" s="20" t="str">
        <x:v>Dây thép vuốt nguội TCVN 6288</x:v>
      </x:c>
      <x:c r="I16" s="20" t="str">
        <x:v>TCVN 5574:2018 · Bảng 12 · tr.45–46 / PDF 43–44</x:v>
      </x:c>
      <x:c r="J16" s="20"/>
      <x:c r="K16" s="20"/>
      <x:c r="L16" s="20"/>
      <x:c r="M16" s="20"/>
      <x:c r="N16" s="20"/>
    </x:row>
    <x:row r="17">
      <x:c r="A17" s="20" t="str">
        <x:v>B55</x:v>
      </x:c>
      <x:c r="B17" s="20" t="n">
        <x:v>39.5</x:v>
      </x:c>
      <x:c r="C17" s="20" t="n">
        <x:v>2.6</x:v>
      </x:c>
      <x:c r="D17" s="20" t="str">
        <x:v>TCVN 5574:2018 · Bảng 6 · tr.34 / PDF 32</x:v>
      </x:c>
      <x:c r="E17" s="20"/>
      <x:c r="F17" s="20" t="str">
        <x:v>STRAND7-1720</x:v>
      </x:c>
      <x:c r="G17" s="20" t="n">
        <x:v>1450</x:v>
      </x:c>
      <x:c r="H17" s="20" t="str">
        <x:v>Cáp 7 sợi thường 1720</x:v>
      </x:c>
      <x:c r="I17" s="20" t="str">
        <x:v>TCVN 5574:2018 · Bảng 12 · tr.45–46 / PDF 43–44</x:v>
      </x:c>
      <x:c r="J17" s="20"/>
      <x:c r="K17" s="20"/>
      <x:c r="L17" s="20"/>
      <x:c r="M17" s="20"/>
      <x:c r="N17" s="20"/>
    </x:row>
    <x:row r="18">
      <x:c r="A18" s="20" t="str">
        <x:v>B60</x:v>
      </x:c>
      <x:c r="B18" s="20" t="n">
        <x:v>43</x:v>
      </x:c>
      <x:c r="C18" s="20" t="n">
        <x:v>2.75</x:v>
      </x:c>
      <x:c r="D18" s="20" t="str">
        <x:v>TCVN 5574:2018 · Bảng 6 · tr.34 / PDF 32</x:v>
      </x:c>
      <x:c r="E18" s="20"/>
      <x:c r="F18" s="20" t="str">
        <x:v>STRAND7-1860</x:v>
      </x:c>
      <x:c r="G18" s="20" t="n">
        <x:v>1550</x:v>
      </x:c>
      <x:c r="H18" s="20" t="str">
        <x:v>Cáp 7 sợi thường 1860</x:v>
      </x:c>
      <x:c r="I18" s="20" t="str">
        <x:v>TCVN 5574:2018 · Bảng 12 · tr.45–46 / PDF 43–44</x:v>
      </x:c>
      <x:c r="J18" s="20"/>
      <x:c r="K18" s="20"/>
      <x:c r="L18" s="20"/>
      <x:c r="M18" s="20"/>
      <x:c r="N18" s="20"/>
    </x:row>
    <x:row r="19">
      <x:c r="A19" s="20" t="str">
        <x:v>B70</x:v>
      </x:c>
      <x:c r="B19" s="20" t="n">
        <x:v>50</x:v>
      </x:c>
      <x:c r="C19" s="20" t="n">
        <x:v>3</x:v>
      </x:c>
      <x:c r="D19" s="20" t="str">
        <x:v>TCVN 5574:2018 · Bảng 6 · tr.34 / PDF 32</x:v>
      </x:c>
      <x:c r="E19" s="20"/>
      <x:c r="F19" s="20" t="str">
        <x:v>STRAND7C-1700</x:v>
      </x:c>
      <x:c r="G19" s="20" t="n">
        <x:v>1500</x:v>
      </x:c>
      <x:c r="H19" s="20" t="str">
        <x:v>Cáp 7 sợi nén chặt 1700</x:v>
      </x:c>
      <x:c r="I19" s="20" t="str">
        <x:v>TCVN 5574:2018 · Bảng 12 · tr.45–46 / PDF 43–44</x:v>
      </x:c>
      <x:c r="J19" s="20"/>
      <x:c r="K19" s="20"/>
      <x:c r="L19" s="20"/>
      <x:c r="M19" s="20"/>
      <x:c r="N19" s="20"/>
    </x:row>
    <x:row r="20">
      <x:c r="A20" s="20" t="str">
        <x:v>B80</x:v>
      </x:c>
      <x:c r="B20" s="20" t="n">
        <x:v>57</x:v>
      </x:c>
      <x:c r="C20" s="20" t="n">
        <x:v>3.3</x:v>
      </x:c>
      <x:c r="D20" s="20" t="str">
        <x:v>TCVN 5574:2018 · Bảng 6 · tr.34 / PDF 32</x:v>
      </x:c>
      <x:c r="E20" s="20"/>
      <x:c r="F20" s="20" t="str">
        <x:v>STRAND7C-1820</x:v>
      </x:c>
      <x:c r="G20" s="20" t="n">
        <x:v>1600</x:v>
      </x:c>
      <x:c r="H20" s="20" t="str">
        <x:v>Cáp 7 sợi nén chặt 1820</x:v>
      </x:c>
      <x:c r="I20" s="20" t="str">
        <x:v>TCVN 5574:2018 · Bảng 12 · tr.45–46 / PDF 43–44</x:v>
      </x:c>
      <x:c r="J20" s="20"/>
      <x:c r="K20" s="20"/>
      <x:c r="L20" s="20"/>
      <x:c r="M20" s="20"/>
      <x:c r="N20" s="20"/>
    </x:row>
    <x:row r="21">
      <x:c r="A21" s="20" t="str">
        <x:v>B90</x:v>
      </x:c>
      <x:c r="B21" s="20" t="n">
        <x:v>64</x:v>
      </x:c>
      <x:c r="C21" s="20" t="n">
        <x:v>3.6</x:v>
      </x:c>
      <x:c r="D21" s="20" t="str">
        <x:v>TCVN 5574:2018 · Bảng 6 · tr.34 / PDF 32</x:v>
      </x:c>
      <x:c r="E21" s="20"/>
      <x:c r="F21" s="20" t="str">
        <x:v>STRAND7C-1960</x:v>
      </x:c>
      <x:c r="G21" s="20" t="n">
        <x:v>1700</x:v>
      </x:c>
      <x:c r="H21" s="20" t="str">
        <x:v>Cáp 7 sợi nén chặt 1960</x:v>
      </x:c>
      <x:c r="I21" s="20" t="str">
        <x:v>TCVN 5574:2018 · Bảng 12 · tr.45–46 / PDF 43–44</x:v>
      </x:c>
      <x:c r="J21" s="20"/>
      <x:c r="K21" s="20"/>
      <x:c r="L21" s="20"/>
      <x:c r="M21" s="20"/>
      <x:c r="N21" s="20"/>
    </x:row>
    <x:row r="22">
      <x:c r="A22" s="20" t="str">
        <x:v>B100</x:v>
      </x:c>
      <x:c r="B22" s="20" t="n">
        <x:v>71</x:v>
      </x:c>
      <x:c r="C22" s="20" t="n">
        <x:v>3.8</x:v>
      </x:c>
      <x:c r="D22" s="20" t="str">
        <x:v>TCVN 5574:2018 · Bảng 6 · tr.34 / PDF 32</x:v>
      </x:c>
      <x:c r="E22" s="20"/>
      <x:c r="F22" s="20" t="str">
        <x:v>STRAND19-1810</x:v>
      </x:c>
      <x:c r="G22" s="20" t="n">
        <x:v>1500</x:v>
      </x:c>
      <x:c r="H22" s="20" t="str">
        <x:v>Cáp 19 sợi 1810</x:v>
      </x:c>
      <x:c r="I22" s="20" t="str">
        <x:v>TCVN 5574:2018 · Bảng 12 · tr.45–46 / PDF 43–44</x:v>
      </x:c>
      <x:c r="J22" s="20"/>
      <x:c r="K22" s="20"/>
      <x:c r="L22" s="20"/>
      <x:c r="M22" s="20"/>
      <x:c r="N22" s="20"/>
    </x:row>
    <x:row r="23">
      <x:c r="A23" s="20"/>
      <x:c r="B23" s="20"/>
      <x:c r="C23" s="20"/>
      <x:c r="D23" s="20"/>
      <x:c r="E23" s="20"/>
      <x:c r="F23" s="20" t="str">
        <x:v>STRAND19-1860</x:v>
      </x:c>
      <x:c r="G23" s="20" t="n">
        <x:v>1600</x:v>
      </x:c>
      <x:c r="H23" s="20" t="str">
        <x:v>Cáp 19 sợi 1860</x:v>
      </x:c>
      <x:c r="I23" s="20" t="str">
        <x:v>TCVN 5574:2018 · Bảng 12 · tr.45–46 / PDF 43–44</x:v>
      </x:c>
      <x:c r="J23" s="20"/>
      <x:c r="K23" s="20"/>
      <x:c r="L23" s="20"/>
      <x:c r="M23" s="20"/>
      <x:c r="N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</x:row>
    <x:row r="26">
      <x:c r="A26" s="114" t="str">
        <x:v>Bảng 11</x:v>
      </x:c>
      <x:c r="B26" s="114" t="str">
        <x:v>φ &gt;75%</x:v>
      </x:c>
      <x:c r="C26" s="114" t="str">
        <x:v>φ 40–75%</x:v>
      </x:c>
      <x:c r="D26" s="114" t="str">
        <x:v>φ &lt;40%</x:v>
      </x:c>
      <x:c r="E26" s="20"/>
      <x:c r="F26" s="114" t="str">
        <x:v>Bảng 9</x:v>
      </x:c>
      <x:c r="G26" s="114" t="str">
        <x:v>&gt;75%</x:v>
      </x:c>
      <x:c r="H26" s="114" t="str">
        <x:v>40–75%</x:v>
      </x:c>
      <x:c r="I26" s="114" t="str">
        <x:v>&lt;40%</x:v>
      </x:c>
      <x:c r="J26" s="20"/>
      <x:c r="K26" s="20"/>
      <x:c r="L26" s="20"/>
      <x:c r="M26" s="20"/>
      <x:c r="N26" s="20"/>
    </x:row>
    <x:row r="27">
      <x:c r="A27" s="20" t="str">
        <x:v>B10</x:v>
      </x:c>
      <x:c r="B27" s="20" t="n">
        <x:v>2.8</x:v>
      </x:c>
      <x:c r="C27" s="20" t="n">
        <x:v>3.9</x:v>
      </x:c>
      <x:c r="D27" s="20" t="n">
        <x:v>5.6</x:v>
      </x:c>
      <x:c r="E27" s="20"/>
      <x:c r="F27" s="20" t="str">
        <x:v>εb1,red cơ sở B≤60</x:v>
      </x:c>
      <x:c r="G27" s="20" t="n">
        <x:v>0.0024</x:v>
      </x:c>
      <x:c r="H27" s="20" t="n">
        <x:v>0.0028</x:v>
      </x:c>
      <x:c r="I27" s="20" t="n">
        <x:v>0.0034</x:v>
      </x:c>
      <x:c r="J27" s="20"/>
      <x:c r="K27" s="20"/>
      <x:c r="L27" s="20"/>
      <x:c r="M27" s="20"/>
      <x:c r="N27" s="20"/>
    </x:row>
    <x:row r="28">
      <x:c r="A28" s="20" t="str">
        <x:v>B15</x:v>
      </x:c>
      <x:c r="B28" s="20" t="n">
        <x:v>2.4</x:v>
      </x:c>
      <x:c r="C28" s="20" t="n">
        <x:v>3.4</x:v>
      </x:c>
      <x:c r="D28" s="20" t="n">
        <x:v>4.8</x:v>
      </x:c>
      <x:c r="E28" s="20"/>
      <x:c r="F28" s="20" t="str">
        <x:v>B70–B100</x:v>
      </x:c>
      <x:c r="G28" s="20" t="str">
        <x:v>nhân (270-B)/210</x:v>
      </x:c>
      <x:c r="H28" s="20" t="str"/>
      <x:c r="I28" s="20" t="str"/>
      <x:c r="J28" s="20"/>
      <x:c r="K28" s="20"/>
      <x:c r="L28" s="20"/>
      <x:c r="M28" s="20"/>
      <x:c r="N28" s="20"/>
    </x:row>
    <x:row r="29">
      <x:c r="A29" s="20" t="str">
        <x:v>B20</x:v>
      </x:c>
      <x:c r="B29" s="20" t="n">
        <x:v>2</x:v>
      </x:c>
      <x:c r="C29" s="20" t="n">
        <x:v>2.8</x:v>
      </x:c>
      <x:c r="D29" s="20" t="n">
        <x:v>4</x:v>
      </x:c>
      <x:c r="E29" s="20"/>
      <x:c r="F29" s="20" t="str">
        <x:v>Nguồn</x:v>
      </x:c>
      <x:c r="G29" s="20" t="str">
        <x:v>TCVN 5574:2018 · Bảng 9 · trang chuẩn 36 / PDF 34</x:v>
      </x:c>
      <x:c r="H29" s="20" t="str"/>
      <x:c r="I29" s="20" t="str"/>
      <x:c r="J29" s="20"/>
      <x:c r="K29" s="20"/>
      <x:c r="L29" s="20"/>
      <x:c r="M29" s="20"/>
      <x:c r="N29" s="20"/>
    </x:row>
    <x:row r="30">
      <x:c r="A30" s="20" t="str">
        <x:v>B25</x:v>
      </x:c>
      <x:c r="B30" s="20" t="n">
        <x:v>1.8</x:v>
      </x:c>
      <x:c r="C30" s="20" t="n">
        <x:v>2.5</x:v>
      </x:c>
      <x:c r="D30" s="20" t="n">
        <x:v>3.6</x:v>
      </x:c>
      <x:c r="E30" s="20"/>
      <x:c r="F30" s="20" t="str">
        <x:v>Trạng thái</x:v>
      </x:c>
      <x:c r="G30" s="20" t="str">
        <x:v>VERIFIED</x:v>
      </x:c>
      <x:c r="H30" s="20" t="str"/>
      <x:c r="I30" s="20" t="str"/>
      <x:c r="J30" s="20"/>
      <x:c r="K30" s="20"/>
      <x:c r="L30" s="20"/>
      <x:c r="M30" s="20"/>
      <x:c r="N30" s="20"/>
    </x:row>
    <x:row r="31">
      <x:c r="A31" s="20" t="str">
        <x:v>B30</x:v>
      </x:c>
      <x:c r="B31" s="20" t="n">
        <x:v>1.6</x:v>
      </x:c>
      <x:c r="C31" s="20" t="n">
        <x:v>2.3</x:v>
      </x:c>
      <x:c r="D31" s="20" t="n">
        <x:v>3.2</x:v>
      </x:c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</x:row>
    <x:row r="32">
      <x:c r="A32" s="20" t="str">
        <x:v>B35</x:v>
      </x:c>
      <x:c r="B32" s="20" t="n">
        <x:v>1.5</x:v>
      </x:c>
      <x:c r="C32" s="20" t="n">
        <x:v>2.1</x:v>
      </x:c>
      <x:c r="D32" s="20" t="n">
        <x:v>3</x:v>
      </x:c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</x:row>
    <x:row r="33">
      <x:c r="A33" s="20" t="str">
        <x:v>B40</x:v>
      </x:c>
      <x:c r="B33" s="20" t="n">
        <x:v>1.4</x:v>
      </x:c>
      <x:c r="C33" s="20" t="n">
        <x:v>1.9</x:v>
      </x:c>
      <x:c r="D33" s="20" t="n">
        <x:v>2.8</x:v>
      </x:c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</x:row>
    <x:row r="34">
      <x:c r="A34" s="20" t="str">
        <x:v>B45</x:v>
      </x:c>
      <x:c r="B34" s="20" t="n">
        <x:v>1.3</x:v>
      </x:c>
      <x:c r="C34" s="20" t="n">
        <x:v>1.8</x:v>
      </x:c>
      <x:c r="D34" s="20" t="n">
        <x:v>2.6</x:v>
      </x:c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</x:row>
    <x:row r="35">
      <x:c r="A35" s="20" t="str">
        <x:v>B50</x:v>
      </x:c>
      <x:c r="B35" s="20" t="n">
        <x:v>1.2</x:v>
      </x:c>
      <x:c r="C35" s="20" t="n">
        <x:v>1.6</x:v>
      </x:c>
      <x:c r="D35" s="20" t="n">
        <x:v>2.4</x:v>
      </x:c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</x:row>
    <x:row r="36">
      <x:c r="A36" t="str">
        <x:v>B55</x:v>
      </x:c>
      <x:c r="B36" t="n">
        <x:v>1.1</x:v>
      </x:c>
      <x:c r="C36" t="n">
        <x:v>1.5</x:v>
      </x:c>
      <x:c r="D36" t="n">
        <x:v>2.2</x:v>
      </x:c>
    </x:row>
    <x:row r="37">
      <x:c r="A37" t="str">
        <x:v>B60</x:v>
      </x:c>
      <x:c r="B37" t="n">
        <x:v>1</x:v>
      </x:c>
      <x:c r="C37" t="n">
        <x:v>1.4</x:v>
      </x:c>
      <x:c r="D37" t="n">
        <x:v>2</x:v>
      </x:c>
    </x:row>
  </x:sheetData>
  <x:mergeCells>
    <x:mergeCell ref="A1:N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3" hidden="0" customWidth="1"/>
    <x:col min="4" max="4" width="54" hidden="0" customWidth="1"/>
    <x:col min="5" max="5" width="45" hidden="0" customWidth="1"/>
    <x:col min="6" max="6" width="22" hidden="0" customWidth="1"/>
    <x:col min="7" max="7" width="24" hidden="0" customWidth="1"/>
    <x:col min="8" max="8" width="16" hidden="0" customWidth="1"/>
  </x:cols>
  <x:sheetData>
    <x:row r="1">
      <x:c r="A1" s="118" t="str">
        <x:v>17 · NEO / NỐI CỐT THÉP – CT (255)–(259)</x:v>
      </x:c>
      <x:c r="B1" s="118"/>
      <x:c r="C1" s="118"/>
      <x:c r="D1" s="118"/>
      <x:c r="E1" s="118"/>
      <x:c r="F1" s="118"/>
      <x:c r="G1" s="118"/>
      <x:c r="H1" s="118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>
      <x:c r="A3" s="121" t="str">
        <x:v>Thông số</x:v>
      </x:c>
      <x:c r="B3" s="121" t="str">
        <x:v>Giá trị</x:v>
      </x:c>
      <x:c r="C3" s="121" t="str">
        <x:v>Đơn vị</x:v>
      </x:c>
      <x:c r="D3" s="121" t="str">
        <x:v>Giải thích</x:v>
      </x:c>
      <x:c r="E3" s="121" t="str">
        <x:v>Công thức/logic</x:v>
      </x:c>
      <x:c r="F3" s="121" t="str">
        <x:v>Kiểm tra</x:v>
      </x:c>
      <x:c r="G3" s="121" t="str">
        <x:v>Nguồn</x:v>
      </x:c>
      <x:c r="H3" s="121" t="str">
        <x:v>Trạng thái</x:v>
      </x:c>
    </x:row>
    <x:row r="4">
      <x:c r="A4" s="20" t="str">
        <x:v>Bê tông</x:v>
      </x:c>
      <x:c r="B4" s="126" t="str">
        <x:v>B30</x:v>
      </x:c>
      <x:c r="C4" s="20" t="str">
        <x:v>-</x:v>
      </x:c>
      <x:c r="D4" s="20" t="str">
        <x:v>Tra Rbt</x:v>
      </x:c>
      <x:c r="E4" s="20" t="str">
        <x:v>Bảng 7</x:v>
      </x:c>
      <x:c r="F4" s="20" t="str"/>
      <x:c r="G4" s="20" t="str"/>
      <x:c r="H4" s="20" t="str">
        <x:v>INPUT</x:v>
      </x:c>
    </x:row>
    <x:row r="5">
      <x:c r="A5" s="20" t="str">
        <x:v>Thép</x:v>
      </x:c>
      <x:c r="B5" s="126" t="str">
        <x:v>CB400-V</x:v>
      </x:c>
      <x:c r="C5" s="20" t="str">
        <x:v>-</x:v>
      </x:c>
      <x:c r="D5" s="20" t="str">
        <x:v>Tra Rs</x:v>
      </x:c>
      <x:c r="E5" s="20" t="str">
        <x:v>Bảng 13</x:v>
      </x:c>
      <x:c r="F5" s="20" t="str"/>
      <x:c r="G5" s="20" t="str"/>
      <x:c r="H5" s="20" t="str">
        <x:v>INPUT</x:v>
      </x:c>
    </x:row>
    <x:row r="6">
      <x:c r="A6" s="20" t="str">
        <x:v>ds</x:v>
      </x:c>
      <x:c r="B6" s="126" t="n">
        <x:v>20</x:v>
      </x:c>
      <x:c r="C6" s="20" t="str">
        <x:v>mm</x:v>
      </x:c>
      <x:c r="D6" s="20" t="str">
        <x:v>Đường kính danh nghĩa thanh</x:v>
      </x:c>
      <x:c r="E6" s="20" t="str">
        <x:v>INPUT</x:v>
      </x:c>
      <x:c r="F6" s="20" t="str"/>
      <x:c r="G6" s="20" t="str"/>
      <x:c r="H6" s="20" t="str">
        <x:v>INPUT</x:v>
      </x:c>
    </x:row>
    <x:row r="7">
      <x:c r="A7" s="20" t="str">
        <x:v>As</x:v>
      </x:c>
      <x:c r="B7" s="126" t="n">
        <x:v>314.1592653589793</x:v>
      </x:c>
      <x:c r="C7" s="20" t="str">
        <x:v>mm²</x:v>
      </x:c>
      <x:c r="D7" s="20" t="str">
        <x:v>Diện tích thanh</x:v>
      </x:c>
      <x:c r="E7" s="20" t="str">
        <x:v>INPUT</x:v>
      </x:c>
      <x:c r="F7" s="20" t="str"/>
      <x:c r="G7" s="20" t="str"/>
      <x:c r="H7" s="20" t="str">
        <x:v>INPUT</x:v>
      </x:c>
    </x:row>
    <x:row r="8">
      <x:c r="A8" s="20" t="str">
        <x:v>As,cal</x:v>
      </x:c>
      <x:c r="B8" s="126" t="n">
        <x:v>314.1592653589793</x:v>
      </x:c>
      <x:c r="C8" s="20" t="str">
        <x:v>mm²</x:v>
      </x:c>
      <x:c r="D8" s="20" t="str">
        <x:v>Diện tích yêu cầu</x:v>
      </x:c>
      <x:c r="E8" s="20" t="str">
        <x:v>INPUT</x:v>
      </x:c>
      <x:c r="F8" s="20" t="str"/>
      <x:c r="G8" s="20" t="str"/>
      <x:c r="H8" s="20" t="str">
        <x:v>INPUT</x:v>
      </x:c>
    </x:row>
    <x:row r="9">
      <x:c r="A9" s="20" t="str">
        <x:v>As,ef</x:v>
      </x:c>
      <x:c r="B9" s="126" t="n">
        <x:v>314.1592653589793</x:v>
      </x:c>
      <x:c r="C9" s="20" t="str">
        <x:v>mm²</x:v>
      </x:c>
      <x:c r="D9" s="20" t="str">
        <x:v>Diện tích thực bố trí</x:v>
      </x:c>
      <x:c r="E9" s="20" t="str">
        <x:v>INPUT</x:v>
      </x:c>
      <x:c r="F9" s="20" t="str"/>
      <x:c r="G9" s="20" t="str"/>
      <x:c r="H9" s="20" t="str">
        <x:v>INPUT</x:v>
      </x:c>
    </x:row>
    <x:row r="10">
      <x:c r="A10" s="20" t="str">
        <x:v>Loại bề mặt</x:v>
      </x:c>
      <x:c r="B10" s="126" t="str">
        <x:v>hotRibbed</x:v>
      </x:c>
      <x:c r="C10" s="20" t="str">
        <x:v>-</x:v>
      </x:c>
      <x:c r="D10" s="20" t="str">
        <x:v>plain / coldRibbed / hotRibbed</x:v>
      </x:c>
      <x:c r="E10" s="20" t="str">
        <x:v>INPUT</x:v>
      </x:c>
      <x:c r="F10" s="20" t="str"/>
      <x:c r="G10" s="20" t="str"/>
      <x:c r="H10" s="20" t="str">
        <x:v>INPUT</x:v>
      </x:c>
    </x:row>
    <x:row r="11">
      <x:c r="A11" s="20" t="str">
        <x:v>α neo</x:v>
      </x:c>
      <x:c r="B11" s="126" t="n">
        <x:v>1</x:v>
      </x:c>
      <x:c r="C11" s="20" t="str">
        <x:v>-</x:v>
      </x:c>
      <x:c r="D11" s="20" t="str">
        <x:v>Hệ số neo phải có căn cứ</x:v>
      </x:c>
      <x:c r="E11" s="20" t="str">
        <x:v>INPUT</x:v>
      </x:c>
      <x:c r="F11" s="20" t="str"/>
      <x:c r="G11" s="20" t="str"/>
      <x:c r="H11" s="20" t="str">
        <x:v>INPUT</x:v>
      </x:c>
    </x:row>
    <x:row r="12">
      <x:c r="A12" s="20" t="str">
        <x:v>Ls thực tế</x:v>
      </x:c>
      <x:c r="B12" s="126" t="str"/>
      <x:c r="C12" s="20" t="str">
        <x:v>mm</x:v>
      </x:c>
      <x:c r="D12" s="20" t="str">
        <x:v>Nếu nhập sẽ tính Ns theo CT258</x:v>
      </x:c>
      <x:c r="E12" s="20" t="str">
        <x:v>INPUT</x:v>
      </x:c>
      <x:c r="F12" s="20" t="str"/>
      <x:c r="G12" s="20" t="str"/>
      <x:c r="H12" s="20" t="str">
        <x:v>INPUT</x:v>
      </x:c>
    </x:row>
    <x:row r="13">
      <x:c r="A13" s="20" t="str">
        <x:v>Trạng thái nối</x:v>
      </x:c>
      <x:c r="B13" s="126" t="str">
        <x:v>Tension</x:v>
      </x:c>
      <x:c r="C13" s="20" t="str">
        <x:v>-</x:v>
      </x:c>
      <x:c r="D13" s="20" t="str">
        <x:v>Tension / Compression</x:v>
      </x:c>
      <x:c r="E13" s="20" t="str">
        <x:v>INPUT</x:v>
      </x:c>
      <x:c r="F13" s="20" t="str"/>
      <x:c r="G13" s="20" t="str"/>
      <x:c r="H13" s="20" t="str">
        <x:v>INPUT</x:v>
      </x:c>
    </x:row>
    <x:row r="14">
      <x:c r="A14" s="20"/>
      <x:c r="B14" s="20"/>
      <x:c r="C14" s="20"/>
      <x:c r="D14" s="20"/>
      <x:c r="E14" s="20"/>
      <x:c r="F14" s="20"/>
      <x:c r="G14" s="20"/>
      <x:c r="H14" s="20"/>
    </x:row>
    <x:row r="15">
      <x:c r="A15" s="121" t="str">
        <x:v>Bước</x:v>
      </x:c>
      <x:c r="B15" s="121" t="str">
        <x:v>Kết quả</x:v>
      </x:c>
      <x:c r="C15" s="121" t="str">
        <x:v>Đơn vị</x:v>
      </x:c>
      <x:c r="D15" s="121" t="str">
        <x:v>Diễn giải</x:v>
      </x:c>
      <x:c r="E15" s="121" t="str">
        <x:v>Công thức Excel</x:v>
      </x:c>
      <x:c r="F15" s="121" t="str">
        <x:v>Kiểm tra</x:v>
      </x:c>
      <x:c r="G15" s="121" t="str">
        <x:v>Nguồn</x:v>
      </x:c>
      <x:c r="H15" s="121" t="str">
        <x:v>Trạng thái</x:v>
      </x:c>
    </x:row>
    <x:row r="16">
      <x:c r="A16" s="20" t="str">
        <x:v>Rbt</x:v>
      </x:c>
      <x:c r="B16" s="127" t="n">
        <x:f>INDEX('02_VAT_LIEU'!C4:C22,MATCH(B4,'02_VAT_LIEU'!A4:A22,0))</x:f>
        <x:v>1.15</x:v>
      </x:c>
      <x:c r="C16" s="20" t="str">
        <x:v>MPa</x:v>
      </x:c>
      <x:c r="D16" s="20" t="str">
        <x:v>Cường độ kéo bê tông TTGH1</x:v>
      </x:c>
      <x:c r="E16" s="20"/>
      <x:c r="F16" s="20"/>
      <x:c r="G16" s="20" t="str">
        <x:v>Bảng 7</x:v>
      </x:c>
      <x:c r="H16" s="20"/>
    </x:row>
    <x:row r="17">
      <x:c r="A17" s="20" t="str">
        <x:v>Rs</x:v>
      </x:c>
      <x:c r="B17" s="127" t="n">
        <x:f>INDEX('02_VAT_LIEU'!H4:H8,MATCH(B5,'02_VAT_LIEU'!G4:G8,0))</x:f>
        <x:v>350</x:v>
      </x:c>
      <x:c r="C17" s="20" t="str">
        <x:v>MPa</x:v>
      </x:c>
      <x:c r="D17" s="20" t="str">
        <x:v>Cường độ thép</x:v>
      </x:c>
      <x:c r="E17" s="20"/>
      <x:c r="F17" s="20"/>
      <x:c r="G17" s="20" t="str">
        <x:v>Bảng 13</x:v>
      </x:c>
      <x:c r="H17" s="20"/>
    </x:row>
    <x:row r="18">
      <x:c r="A18" s="20" t="str">
        <x:v>η1</x:v>
      </x:c>
      <x:c r="B18" s="127" t="n">
        <x:f>IF(B10="plain",1.5,IF(B10="coldRibbed",2,2.5))</x:f>
        <x:v>2.5</x:v>
      </x:c>
      <x:c r="C18" s="20" t="str">
        <x:v>-</x:v>
      </x:c>
      <x:c r="D18" s="20" t="str">
        <x:v>Hệ số loại bề mặt</x:v>
      </x:c>
      <x:c r="E18" s="20"/>
      <x:c r="F18" s="20"/>
      <x:c r="G18" s="20" t="str">
        <x:v>CT256</x:v>
      </x:c>
      <x:c r="H18" s="20"/>
    </x:row>
    <x:row r="19">
      <x:c r="A19" s="20" t="str">
        <x:v>η2</x:v>
      </x:c>
      <x:c r="B19" s="127" t="n">
        <x:f>IF(B6&lt;=32,1,0.9)</x:f>
        <x:v>1</x:v>
      </x:c>
      <x:c r="C19" s="20" t="str">
        <x:v>-</x:v>
      </x:c>
      <x:c r="D19" s="20" t="str">
        <x:v>Hệ số đường kính</x:v>
      </x:c>
      <x:c r="E19" s="20"/>
      <x:c r="F19" s="20"/>
      <x:c r="G19" s="20" t="str">
        <x:v>CT256</x:v>
      </x:c>
      <x:c r="H19" s="20"/>
    </x:row>
    <x:row r="20">
      <x:c r="A20" s="20" t="str">
        <x:v>Rbond</x:v>
      </x:c>
      <x:c r="B20" s="127" t="n">
        <x:f>B18*B19*B16</x:f>
        <x:v>2.875</x:v>
      </x:c>
      <x:c r="C20" s="20" t="str">
        <x:v>MPa</x:v>
      </x:c>
      <x:c r="D20" s="20" t="str">
        <x:v>Cường độ bám dính</x:v>
      </x:c>
      <x:c r="E20" s="20"/>
      <x:c r="F20" s="20"/>
      <x:c r="G20" s="20" t="str">
        <x:v>CT256</x:v>
      </x:c>
      <x:c r="H20" s="20"/>
    </x:row>
    <x:row r="21">
      <x:c r="A21" s="20" t="str">
        <x:v>us</x:v>
      </x:c>
      <x:c r="B21" s="127" t="n">
        <x:f>PI()*B6</x:f>
        <x:v>62.83185307179586</x:v>
      </x:c>
      <x:c r="C21" s="20" t="str">
        <x:v>mm</x:v>
      </x:c>
      <x:c r="D21" s="20" t="str">
        <x:v>Chu vi thanh</x:v>
      </x:c>
      <x:c r="E21" s="20"/>
      <x:c r="F21" s="20"/>
      <x:c r="G21" s="20" t="str">
        <x:v>CT255</x:v>
      </x:c>
      <x:c r="H21" s="20"/>
    </x:row>
    <x:row r="22">
      <x:c r="A22" s="20" t="str">
        <x:v>L0,an</x:v>
      </x:c>
      <x:c r="B22" s="127" t="n">
        <x:f>B17*B7/(B20*B21)</x:f>
        <x:v>608.695652173913</x:v>
      </x:c>
      <x:c r="C22" s="20" t="str">
        <x:v>mm</x:v>
      </x:c>
      <x:c r="D22" s="20" t="str">
        <x:v>Chiều dài neo cơ sở</x:v>
      </x:c>
      <x:c r="E22" s="20"/>
      <x:c r="F22" s="20"/>
      <x:c r="G22" s="20" t="str">
        <x:v>CT255</x:v>
      </x:c>
      <x:c r="H22" s="20"/>
    </x:row>
    <x:row r="23">
      <x:c r="A23" s="20" t="str">
        <x:v>Lan,raw</x:v>
      </x:c>
      <x:c r="B23" s="127" t="n">
        <x:f>B11*B22*B8/B9</x:f>
        <x:v>608.695652173913</x:v>
      </x:c>
      <x:c r="C23" s="20" t="str">
        <x:v>mm</x:v>
      </x:c>
      <x:c r="D23" s="20" t="str">
        <x:v>Neo theo CT257</x:v>
      </x:c>
      <x:c r="E23" s="20"/>
      <x:c r="F23" s="20"/>
      <x:c r="G23" s="20" t="str">
        <x:v>CT257</x:v>
      </x:c>
      <x:c r="H23" s="20"/>
    </x:row>
    <x:row r="24">
      <x:c r="A24" s="20" t="str">
        <x:v>Lan,min</x:v>
      </x:c>
      <x:c r="B24" s="127" t="n">
        <x:f>MAX(15*B6,200,0.3*B22)</x:f>
        <x:v>300</x:v>
      </x:c>
      <x:c r="C24" s="20" t="str">
        <x:v>mm</x:v>
      </x:c>
      <x:c r="D24" s="20" t="str">
        <x:v>Giới hạn tối thiểu</x:v>
      </x:c>
      <x:c r="E24" s="20"/>
      <x:c r="F24" s="20"/>
      <x:c r="G24" s="20" t="str">
        <x:v>10.3.5.5</x:v>
      </x:c>
      <x:c r="H24" s="20"/>
    </x:row>
    <x:row r="25">
      <x:c r="A25" s="20" t="str">
        <x:v>Lan</x:v>
      </x:c>
      <x:c r="B25" s="128" t="n">
        <x:f>MAX(B23,B24)</x:f>
        <x:v>608.695652173913</x:v>
      </x:c>
      <x:c r="C25" s="20" t="str">
        <x:v>mm</x:v>
      </x:c>
      <x:c r="D25" s="20" t="str">
        <x:v>Chiều dài neo yêu cầu</x:v>
      </x:c>
      <x:c r="E25" s="20"/>
      <x:c r="F25" s="20"/>
      <x:c r="G25" s="20" t="str">
        <x:v>CT257</x:v>
      </x:c>
      <x:c r="H25" s="20"/>
    </x:row>
    <x:row r="26">
      <x:c r="A26" s="20" t="str">
        <x:v>Ns</x:v>
      </x:c>
      <x:c r="B26" s="127" t="str">
        <x:f>IF(ISNUMBER(B12),MIN(B17*B7,B17*B7*B12/B25)/1000,"")</x:f>
      </x:c>
      <x:c r="C26" s="20" t="str">
        <x:v>kN</x:v>
      </x:c>
      <x:c r="D26" s="20" t="str">
        <x:v>Lực truyền qua chiều dài Ls</x:v>
      </x:c>
      <x:c r="E26" s="20"/>
      <x:c r="F26" s="20"/>
      <x:c r="G26" s="20" t="str">
        <x:v>CT258</x:v>
      </x:c>
      <x:c r="H26" s="20"/>
    </x:row>
    <x:row r="27">
      <x:c r="A27" s="20" t="str">
        <x:v>α nối</x:v>
      </x:c>
      <x:c r="B27" s="127" t="n">
        <x:f>IF(B13="Compression",0.9,1.2)</x:f>
        <x:v>1.2</x:v>
      </x:c>
      <x:c r="C27" s="20" t="str">
        <x:v>-</x:v>
      </x:c>
      <x:c r="D27" s="20" t="str">
        <x:v>Hệ số nối chồng</x:v>
      </x:c>
      <x:c r="E27" s="20"/>
      <x:c r="F27" s="20"/>
      <x:c r="G27" s="20" t="str">
        <x:v>10.3.6.3</x:v>
      </x:c>
      <x:c r="H27" s="20"/>
    </x:row>
    <x:row r="28">
      <x:c r="A28" s="20" t="str">
        <x:v>Llap</x:v>
      </x:c>
      <x:c r="B28" s="128" t="n">
        <x:f>B27*B22*B8/B9</x:f>
        <x:v>730.4347826086956</x:v>
      </x:c>
      <x:c r="C28" s="20" t="str">
        <x:v>mm</x:v>
      </x:c>
      <x:c r="D28" s="20" t="str">
        <x:v>Chiều dài nối chồng</x:v>
      </x:c>
      <x:c r="E28" s="20"/>
      <x:c r="F28" s="20"/>
      <x:c r="G28" s="20" t="str">
        <x:v>CT259</x:v>
      </x:c>
      <x:c r="H28" s="20"/>
    </x:row>
    <x:row r="29">
      <x:c r="A29" s="20" t="str">
        <x:v>Gate d≤40</x:v>
      </x:c>
      <x:c r="B29" s="127" t="n">
        <x:f>IF(B6&lt;=40,1,0)</x:f>
        <x:v>1</x:v>
      </x:c>
      <x:c r="C29" s="20" t="str">
        <x:v>1/0</x:v>
      </x:c>
      <x:c r="D29" s="20" t="str">
        <x:v>Nối chồng chỉ d≤40 mm</x:v>
      </x:c>
      <x:c r="E29" s="20"/>
      <x:c r="F29" s="20"/>
      <x:c r="G29" s="20" t="str">
        <x:v>10.3.6.2</x:v>
      </x:c>
      <x:c r="H29" s="20"/>
    </x:row>
    <x:row r="30">
      <x:c r="A30" s="20"/>
      <x:c r="B30" s="20"/>
      <x:c r="C30" s="20"/>
      <x:c r="D30" s="20"/>
      <x:c r="E30" s="20"/>
      <x:c r="F30" s="20"/>
      <x:c r="G30" s="20"/>
      <x:c r="H30" s="20"/>
    </x:row>
    <x:row r="31">
      <x:c r="A31" s="20"/>
      <x:c r="B31" s="20"/>
      <x:c r="C31" s="20"/>
      <x:c r="D31" s="20"/>
      <x:c r="E31" s="20"/>
      <x:c r="F31" s="20"/>
      <x:c r="G31" s="20"/>
      <x:c r="H31" s="20"/>
    </x:row>
    <x:row r="32">
      <x:c r="A32" s="20"/>
      <x:c r="B32" s="20"/>
      <x:c r="C32" s="20"/>
      <x:c r="D32" s="20"/>
      <x:c r="E32" s="20"/>
      <x:c r="F32" s="20"/>
      <x:c r="G32" s="20"/>
      <x:c r="H32" s="20"/>
    </x:row>
  </x:sheetData>
  <x:mergeCells>
    <x:mergeCell ref="A1:H1"/>
  </x:mergeCells>
  <x:dataValidations count="4">
    <x:dataValidation type="list" sqref="B4">
      <x:formula1>"B20,B25,B30,B35,B40,B45,B50,B55,B60"</x:formula1>
    </x:dataValidation>
    <x:dataValidation type="list" sqref="B5">
      <x:formula1>"CB240-T,CB300-T,CB300-V,CB400-V,CB500-V"</x:formula1>
    </x:dataValidation>
    <x:dataValidation type="list" sqref="B10">
      <x:formula1>"plain,coldRibbed,hotRibbed"</x:formula1>
    </x:dataValidation>
    <x:dataValidation type="list" sqref="B13">
      <x:formula1>"Tension,Compression"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13" hidden="0" customWidth="1"/>
    <x:col min="5" max="5" width="50" hidden="0" customWidth="1"/>
    <x:col min="6" max="6" width="26" hidden="0" customWidth="1"/>
    <x:col min="7" max="7" width="26" hidden="0" customWidth="1"/>
    <x:col min="8" max="8" width="16" hidden="0" customWidth="1"/>
    <x:col min="11" max="11" width="22" hidden="0" customWidth="1"/>
    <x:col min="12" max="12" width="20" hidden="0" customWidth="1"/>
  </x:cols>
  <x:sheetData>
    <x:row r="1">
      <x:c r="A1" s="118" t="str">
        <x:v>18 · PHỤ LỤC F – CỘT TIẾT DIỆN VÀNH KHUYÊN / TRÒN</x:v>
      </x:c>
      <x:c r="B1" s="118"/>
      <x:c r="C1" s="118"/>
      <x:c r="D1" s="118"/>
      <x:c r="E1" s="118"/>
      <x:c r="F1" s="118"/>
      <x:c r="G1" s="118"/>
      <x:c r="H1" s="118"/>
      <x:c r="I1" s="118"/>
      <x:c r="J1" s="118"/>
      <x:c r="K1" s="118"/>
      <x:c r="L1" s="118"/>
      <x:c r="M1" s="118"/>
      <x:c r="N1" s="118"/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</x:row>
    <x:row r="3">
      <x:c r="A3" s="121" t="str">
        <x:v>Thông số</x:v>
      </x:c>
      <x:c r="B3" s="121" t="str">
        <x:v>Vành khuyên</x:v>
      </x:c>
      <x:c r="C3" s="121" t="str">
        <x:v>Tròn</x:v>
      </x:c>
      <x:c r="D3" s="121" t="str">
        <x:v>Đơn vị</x:v>
      </x:c>
      <x:c r="E3" s="121" t="str">
        <x:v>Giải thích</x:v>
      </x:c>
      <x:c r="F3" s="121" t="str">
        <x:v>Điều kiện</x:v>
      </x:c>
      <x:c r="G3" s="121" t="str">
        <x:v>Nguồn</x:v>
      </x:c>
      <x:c r="H3" s="121" t="str">
        <x:v>Trạng thái</x:v>
      </x:c>
      <x:c r="I3" s="20"/>
      <x:c r="J3" s="20"/>
      <x:c r="K3" s="121" t="str">
        <x:v>Lặp ξcir F.9/F.10</x:v>
      </x:c>
      <x:c r="L3" s="121" t="str">
        <x:v>Giá trị</x:v>
      </x:c>
      <x:c r="M3" s="20"/>
      <x:c r="N3" s="20"/>
    </x:row>
    <x:row r="4">
      <x:c r="A4" s="20" t="str">
        <x:v>Bê tông</x:v>
      </x:c>
      <x:c r="B4" s="126" t="str">
        <x:v>B30</x:v>
      </x:c>
      <x:c r="C4" s="126" t="str">
        <x:v>B30</x:v>
      </x:c>
      <x:c r="D4" s="20" t="str">
        <x:v>-</x:v>
      </x:c>
      <x:c r="E4" s="20" t="str">
        <x:v>Tra Rb</x:v>
      </x:c>
      <x:c r="F4" s="20" t="str">
        <x:v>Verified material</x:v>
      </x:c>
      <x:c r="G4" s="20" t="str">
        <x:v>Bảng 7</x:v>
      </x:c>
      <x:c r="H4" s="20" t="str">
        <x:v>INPUT</x:v>
      </x:c>
      <x:c r="I4" s="20"/>
      <x:c r="J4" s="20"/>
      <x:c r="K4" s="20" t="str">
        <x:v>ξ0</x:v>
      </x:c>
      <x:c r="L4" s="20" t="n">
        <x:f>MIN(1,MAX(0,C11*1000/(C16*C19+C17*C10)))</x:f>
        <x:v>0.34149292195519415</x:v>
      </x:c>
      <x:c r="M4" s="20"/>
      <x:c r="N4" s="20"/>
    </x:row>
    <x:row r="5">
      <x:c r="A5" s="20" t="str">
        <x:v>Thép</x:v>
      </x:c>
      <x:c r="B5" s="126" t="str">
        <x:v>CB400-V</x:v>
      </x:c>
      <x:c r="C5" s="126" t="str">
        <x:v>CB400-V</x:v>
      </x:c>
      <x:c r="D5" s="20" t="str">
        <x:v>-</x:v>
      </x:c>
      <x:c r="E5" s="20" t="str">
        <x:v>Tra Rs/Rsc</x:v>
      </x:c>
      <x:c r="F5" s="20" t="str">
        <x:v>Tròn: ≤CB400-V</x:v>
      </x:c>
      <x:c r="G5" s="20" t="str">
        <x:v>Bảng 13</x:v>
      </x:c>
      <x:c r="H5" s="20" t="str">
        <x:v>INPUT</x:v>
      </x:c>
      <x:c r="I5" s="20"/>
      <x:c r="J5" s="20"/>
      <x:c r="K5" s="20" t="str">
        <x:v>ξ1</x:v>
      </x:c>
      <x:c r="L5" s="20" t="n">
        <x:f>IF(C28=1,(C11*1000+C16*C19*SIN(2*PI()*L4)/(2*PI()))/(C16*C19+C17*C10),(C11*1000+C17*C10+C16*C19*SIN(2*PI()*L4)/(2*PI()))/(C16*C19+2.55*C17*C10))</x:f>
        <x:v>0.451118543545118</x:v>
      </x:c>
      <x:c r="M5" s="20"/>
      <x:c r="N5" s="20"/>
    </x:row>
    <x:row r="6">
      <x:c r="A6" s="20" t="str">
        <x:v>r1</x:v>
      </x:c>
      <x:c r="B6" s="126" t="n">
        <x:v>200</x:v>
      </x:c>
      <x:c r="C6" s="126" t="str"/>
      <x:c r="D6" s="20" t="str">
        <x:v>mm</x:v>
      </x:c>
      <x:c r="E6" s="20" t="str">
        <x:v>Bán kính trong</x:v>
      </x:c>
      <x:c r="F6" s="20" t="str">
        <x:v>r1/r2&gt;0,5</x:v>
      </x:c>
      <x:c r="G6" s="20" t="str">
        <x:v>F.1</x:v>
      </x:c>
      <x:c r="H6" s="20" t="str">
        <x:v>INPUT</x:v>
      </x:c>
      <x:c r="I6" s="20"/>
      <x:c r="J6" s="20"/>
      <x:c r="K6" s="20" t="str">
        <x:v>ξ2</x:v>
      </x:c>
      <x:c r="L6" s="20" t="n">
        <x:f>IF(C28=1,(C11*1000+C16*C19*SIN(2*PI()*L5)/(2*PI()))/(C16*C19+C17*C10),(C11*1000+C17*C10+C16*C19*SIN(2*PI()*L5)/(2*PI()))/(C16*C19+2.55*C17*C10))</x:f>
        <x:v>0.3809829779212991</x:v>
      </x:c>
      <x:c r="M6" s="20"/>
      <x:c r="N6" s="20"/>
    </x:row>
    <x:row r="7">
      <x:c r="A7" s="20" t="str">
        <x:v>r2</x:v>
      </x:c>
      <x:c r="B7" s="126" t="n">
        <x:v>350</x:v>
      </x:c>
      <x:c r="C7" s="126" t="str"/>
      <x:c r="D7" s="20" t="str">
        <x:v>mm</x:v>
      </x:c>
      <x:c r="E7" s="20" t="str">
        <x:v>Bán kính ngoài</x:v>
      </x:c>
      <x:c r="F7" s="20" t="str">
        <x:v>r2&gt;r1</x:v>
      </x:c>
      <x:c r="G7" s="20" t="str">
        <x:v>F.1</x:v>
      </x:c>
      <x:c r="H7" s="20" t="str">
        <x:v>INPUT</x:v>
      </x:c>
      <x:c r="I7" s="20"/>
      <x:c r="J7" s="20"/>
      <x:c r="K7" s="20" t="str">
        <x:v>ξ3</x:v>
      </x:c>
      <x:c r="L7" s="20" t="n">
        <x:f>IF(C28=1,(C11*1000+C16*C19*SIN(2*PI()*L6)/(2*PI()))/(C16*C19+C17*C10),(C11*1000+C17*C10+C16*C19*SIN(2*PI()*L6)/(2*PI()))/(C16*C19+2.55*C17*C10))</x:f>
        <x:v>0.43031938452209734</x:v>
      </x:c>
      <x:c r="M7" s="20"/>
      <x:c r="N7" s="20"/>
    </x:row>
    <x:row r="8">
      <x:c r="A8" s="20" t="str">
        <x:v>r</x:v>
      </x:c>
      <x:c r="B8" s="126" t="str"/>
      <x:c r="C8" s="126" t="n">
        <x:v>300</x:v>
      </x:c>
      <x:c r="D8" s="20" t="str">
        <x:v>mm</x:v>
      </x:c>
      <x:c r="E8" s="20" t="str">
        <x:v>Bán kính tiết diện tròn</x:v>
      </x:c>
      <x:c r="F8" s="20" t="str"/>
      <x:c r="G8" s="20" t="str">
        <x:v>F.2</x:v>
      </x:c>
      <x:c r="H8" s="20" t="str">
        <x:v>INPUT</x:v>
      </x:c>
      <x:c r="I8" s="20"/>
      <x:c r="J8" s="20"/>
      <x:c r="K8" s="20" t="str">
        <x:v>ξ4</x:v>
      </x:c>
      <x:c r="L8" s="20" t="n">
        <x:f>IF(C28=1,(C11*1000+C16*C19*SIN(2*PI()*L7)/(2*PI()))/(C16*C19+C17*C10),(C11*1000+C17*C10+C16*C19*SIN(2*PI()*L7)/(2*PI()))/(C16*C19+2.55*C17*C10))</x:f>
        <x:v>0.39687136819538144</x:v>
      </x:c>
      <x:c r="M8" s="20"/>
      <x:c r="N8" s="20"/>
    </x:row>
    <x:row r="9">
      <x:c r="A9" s="20" t="str">
        <x:v>rs</x:v>
      </x:c>
      <x:c r="B9" s="126" t="n">
        <x:v>300</x:v>
      </x:c>
      <x:c r="C9" s="126" t="n">
        <x:v>250</x:v>
      </x:c>
      <x:c r="D9" s="20" t="str">
        <x:v>mm</x:v>
      </x:c>
      <x:c r="E9" s="20" t="str">
        <x:v>Bán kính qua trọng tâm cốt dọc</x:v>
      </x:c>
      <x:c r="F9" s="20" t="str"/>
      <x:c r="G9" s="20" t="str">
        <x:v>F.1/F.2</x:v>
      </x:c>
      <x:c r="H9" s="20" t="str">
        <x:v>INPUT</x:v>
      </x:c>
      <x:c r="I9" s="20"/>
      <x:c r="J9" s="20"/>
      <x:c r="K9" s="20" t="str">
        <x:v>ξ5</x:v>
      </x:c>
      <x:c r="L9" s="20" t="n">
        <x:f>IF(C28=1,(C11*1000+C16*C19*SIN(2*PI()*L8)/(2*PI()))/(C16*C19+C17*C10),(C11*1000+C17*C10+C16*C19*SIN(2*PI()*L8)/(2*PI()))/(C16*C19+2.55*C17*C10))</x:f>
        <x:v>0.4203324049274344</x:v>
      </x:c>
      <x:c r="M9" s="20"/>
      <x:c r="N9" s="20"/>
    </x:row>
    <x:row r="10">
      <x:c r="A10" s="20" t="str">
        <x:v>As,tot</x:v>
      </x:c>
      <x:c r="B10" s="126" t="n">
        <x:v>3000</x:v>
      </x:c>
      <x:c r="C10" s="126" t="n">
        <x:v>3000</x:v>
      </x:c>
      <x:c r="D10" s="20" t="str">
        <x:v>mm²</x:v>
      </x:c>
      <x:c r="E10" s="20" t="str">
        <x:v>Tổng diện tích cốt dọc</x:v>
      </x:c>
      <x:c r="F10" s="20" t="str"/>
      <x:c r="G10" s="20" t="str">
        <x:v>F.1/F.2</x:v>
      </x:c>
      <x:c r="H10" s="20" t="str">
        <x:v>INPUT</x:v>
      </x:c>
      <x:c r="I10" s="20"/>
      <x:c r="J10" s="20"/>
      <x:c r="K10" s="20" t="str">
        <x:v>ξ6</x:v>
      </x:c>
      <x:c r="L10" s="20" t="n">
        <x:f>IF(C28=1,(C11*1000+C16*C19*SIN(2*PI()*L9)/(2*PI()))/(C16*C19+C17*C10),(C11*1000+C17*C10+C16*C19*SIN(2*PI()*L9)/(2*PI()))/(C16*C19+2.55*C17*C10))</x:f>
        <x:v>0.4041808867671923</x:v>
      </x:c>
      <x:c r="M10" s="20"/>
      <x:c r="N10" s="20"/>
    </x:row>
    <x:row r="11">
      <x:c r="A11" s="20" t="str">
        <x:v>N</x:v>
      </x:c>
      <x:c r="B11" s="126" t="n">
        <x:v>2000</x:v>
      </x:c>
      <x:c r="C11" s="126" t="n">
        <x:v>2000</x:v>
      </x:c>
      <x:c r="D11" s="20" t="str">
        <x:v>kN</x:v>
      </x:c>
      <x:c r="E11" s="20" t="str">
        <x:v>Lực nén dọc</x:v>
      </x:c>
      <x:c r="F11" s="20" t="str"/>
      <x:c r="G11" s="20" t="str">
        <x:v>F.1/F.2</x:v>
      </x:c>
      <x:c r="H11" s="20" t="str">
        <x:v>INPUT</x:v>
      </x:c>
      <x:c r="I11" s="20"/>
      <x:c r="J11" s="20"/>
      <x:c r="K11" s="20" t="str">
        <x:v>ξ7</x:v>
      </x:c>
      <x:c r="L11" s="20" t="n">
        <x:f>IF(C28=1,(C11*1000+C16*C19*SIN(2*PI()*L10)/(2*PI()))/(C16*C19+C17*C10),(C11*1000+C17*C10+C16*C19*SIN(2*PI()*L10)/(2*PI()))/(C16*C19+2.55*C17*C10))</x:f>
        <x:v>0.41546787678688074</x:v>
      </x:c>
      <x:c r="M11" s="20"/>
      <x:c r="N11" s="20"/>
    </x:row>
    <x:row r="12">
      <x:c r="A12" s="20" t="str">
        <x:v>M</x:v>
      </x:c>
      <x:c r="B12" s="126" t="n">
        <x:v>300</x:v>
      </x:c>
      <x:c r="C12" s="126" t="n">
        <x:v>300</x:v>
      </x:c>
      <x:c r="D12" s="20" t="str">
        <x:v>kN.m</x:v>
      </x:c>
      <x:c r="E12" s="20" t="str">
        <x:v>Mô men đã kể uốn dọc</x:v>
      </x:c>
      <x:c r="F12" s="20" t="str"/>
      <x:c r="G12" s="20" t="str">
        <x:v>F.1/F.2</x:v>
      </x:c>
      <x:c r="H12" s="20" t="str">
        <x:v>INPUT</x:v>
      </x:c>
      <x:c r="I12" s="20"/>
      <x:c r="J12" s="20"/>
      <x:c r="K12" s="20" t="str">
        <x:v>ξ8</x:v>
      </x:c>
      <x:c r="L12" s="20" t="n">
        <x:f>IF(C28=1,(C11*1000+C16*C19*SIN(2*PI()*L11)/(2*PI()))/(C16*C19+C17*C10),(C11*1000+C17*C10+C16*C19*SIN(2*PI()*L11)/(2*PI()))/(C16*C19+2.55*C17*C10))</x:f>
        <x:v>0.40765363576147406</x:v>
      </x:c>
      <x:c r="M12" s="20"/>
      <x:c r="N12" s="20"/>
    </x:row>
    <x:row r="13">
      <x:c r="A13" s="20" t="str">
        <x:v>Số thanh</x:v>
      </x:c>
      <x:c r="B13" s="126" t="n">
        <x:v>8</x:v>
      </x:c>
      <x:c r="C13" s="126" t="n">
        <x:v>8</x:v>
      </x:c>
      <x:c r="D13" s="20" t="str">
        <x:v>thanh</x:v>
      </x:c>
      <x:c r="E13" s="20" t="str">
        <x:v>Cốt dọc phân bố đều</x:v>
      </x:c>
      <x:c r="F13" s="20" t="str">
        <x:v>≥7</x:v>
      </x:c>
      <x:c r="G13" s="20" t="str">
        <x:v>F.1/F.2</x:v>
      </x:c>
      <x:c r="H13" s="20" t="str">
        <x:v>INPUT</x:v>
      </x:c>
      <x:c r="I13" s="20"/>
      <x:c r="J13" s="20"/>
      <x:c r="K13" s="20" t="str">
        <x:v>ξ9</x:v>
      </x:c>
      <x:c r="L13" s="20" t="n">
        <x:f>IF(C28=1,(C11*1000+C16*C19*SIN(2*PI()*L12)/(2*PI()))/(C16*C19+C17*C10),(C11*1000+C17*C10+C16*C19*SIN(2*PI()*L12)/(2*PI()))/(C16*C19+2.55*C17*C10))</x:f>
        <x:v>0.41310143339520183</x:v>
      </x:c>
      <x:c r="M13" s="20"/>
      <x:c r="N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 t="str">
        <x:v>ξ10</x:v>
      </x:c>
      <x:c r="L14" s="20" t="n">
        <x:f>IF(C28=1,(C11*1000+C16*C19*SIN(2*PI()*L13)/(2*PI()))/(C16*C19+C17*C10),(C11*1000+C17*C10+C16*C19*SIN(2*PI()*L13)/(2*PI()))/(C16*C19+2.55*C17*C10))</x:f>
        <x:v>0.40932087453462973</x:v>
      </x:c>
      <x:c r="M14" s="20"/>
      <x:c r="N14" s="20"/>
    </x:row>
    <x:row r="15">
      <x:c r="A15" s="121" t="str">
        <x:v>Bước</x:v>
      </x:c>
      <x:c r="B15" s="121" t="str">
        <x:v>Vành khuyên</x:v>
      </x:c>
      <x:c r="C15" s="121" t="str">
        <x:v>Tròn</x:v>
      </x:c>
      <x:c r="D15" s="121" t="str">
        <x:v>Đơn vị</x:v>
      </x:c>
      <x:c r="E15" s="121" t="str">
        <x:v>Diễn giải</x:v>
      </x:c>
      <x:c r="F15" s="121" t="str">
        <x:v>Kiểm tra</x:v>
      </x:c>
      <x:c r="G15" s="121" t="str">
        <x:v>Nguồn</x:v>
      </x:c>
      <x:c r="H15" s="121" t="str">
        <x:v>Trạng thái</x:v>
      </x:c>
      <x:c r="I15" s="20"/>
      <x:c r="J15" s="20"/>
      <x:c r="K15" s="20" t="str">
        <x:v>ξ11</x:v>
      </x:c>
      <x:c r="L15" s="20" t="n">
        <x:f>IF(C28=1,(C11*1000+C16*C19*SIN(2*PI()*L14)/(2*PI()))/(C16*C19+C17*C10),(C11*1000+C17*C10+C16*C19*SIN(2*PI()*L14)/(2*PI()))/(C16*C19+2.55*C17*C10))</x:f>
        <x:v>0.41195314042892545</x:v>
      </x:c>
      <x:c r="M15" s="20"/>
      <x:c r="N15" s="20"/>
    </x:row>
    <x:row r="16">
      <x:c r="A16" s="20" t="str">
        <x:v>Rb</x:v>
      </x:c>
      <x:c r="B16" s="127" t="n">
        <x:f>INDEX('02_VAT_LIEU'!B4:B22,MATCH(B4,'02_VAT_LIEU'!A4:A22,0))</x:f>
        <x:v>17</x:v>
      </x:c>
      <x:c r="C16" s="127" t="n">
        <x:f>INDEX('02_VAT_LIEU'!B4:B22,MATCH(C4,'02_VAT_LIEU'!A4:A22,0))</x:f>
        <x:v>17</x:v>
      </x:c>
      <x:c r="D16" s="20" t="str">
        <x:v>MPa</x:v>
      </x:c>
      <x:c r="E16" s="20"/>
      <x:c r="F16" s="20"/>
      <x:c r="G16" s="20" t="str">
        <x:v>Bảng 7</x:v>
      </x:c>
      <x:c r="H16" s="20"/>
      <x:c r="I16" s="20"/>
      <x:c r="J16" s="20"/>
      <x:c r="K16" s="20" t="str">
        <x:v>ξ12</x:v>
      </x:c>
      <x:c r="L16" s="20" t="n">
        <x:f>IF(C28=1,(C11*1000+C16*C19*SIN(2*PI()*L15)/(2*PI()))/(C16*C19+C17*C10),(C11*1000+C17*C10+C16*C19*SIN(2*PI()*L15)/(2*PI()))/(C16*C19+2.55*C17*C10))</x:f>
        <x:v>0.41012450461370453</x:v>
      </x:c>
      <x:c r="M16" s="20"/>
      <x:c r="N16" s="20"/>
    </x:row>
    <x:row r="17">
      <x:c r="A17" s="20" t="str">
        <x:v>Rs</x:v>
      </x:c>
      <x:c r="B17" s="127" t="n">
        <x:f>INDEX('02_VAT_LIEU'!H4:H8,MATCH(B5,'02_VAT_LIEU'!G4:G8,0))</x:f>
        <x:v>350</x:v>
      </x:c>
      <x:c r="C17" s="127" t="n">
        <x:f>INDEX('02_VAT_LIEU'!H4:H8,MATCH(C5,'02_VAT_LIEU'!G4:G8,0))</x:f>
        <x:v>350</x:v>
      </x:c>
      <x:c r="D17" s="20" t="str">
        <x:v>MPa</x:v>
      </x:c>
      <x:c r="E17" s="20"/>
      <x:c r="F17" s="20"/>
      <x:c r="G17" s="20" t="str">
        <x:v>Bảng 13</x:v>
      </x:c>
      <x:c r="H17" s="20"/>
      <x:c r="I17" s="20"/>
      <x:c r="J17" s="20"/>
      <x:c r="K17" s="20" t="str">
        <x:v>ξ13</x:v>
      </x:c>
      <x:c r="L17" s="20" t="n">
        <x:f>IF(C28=1,(C11*1000+C16*C19*SIN(2*PI()*L16)/(2*PI()))/(C16*C19+C17*C10),(C11*1000+C17*C10+C16*C19*SIN(2*PI()*L16)/(2*PI()))/(C16*C19+2.55*C17*C10))</x:f>
        <x:v>0.41139687926404056</x:v>
      </x:c>
      <x:c r="M17" s="20"/>
      <x:c r="N17" s="20"/>
    </x:row>
    <x:row r="18">
      <x:c r="A18" s="20" t="str">
        <x:v>Rsc</x:v>
      </x:c>
      <x:c r="B18" s="127" t="n">
        <x:f>B17</x:f>
        <x:v>350</x:v>
      </x:c>
      <x:c r="C18" s="127" t="n">
        <x:f>C17</x:f>
        <x:v>350</x:v>
      </x:c>
      <x:c r="D18" s="20" t="str">
        <x:v>MPa</x:v>
      </x:c>
      <x:c r="E18" s="20"/>
      <x:c r="F18" s="20"/>
      <x:c r="G18" s="20" t="str">
        <x:v>Bảng 13</x:v>
      </x:c>
      <x:c r="H18" s="20"/>
      <x:c r="I18" s="20"/>
      <x:c r="J18" s="20"/>
      <x:c r="K18" s="20" t="str">
        <x:v>ξ14</x:v>
      </x:c>
      <x:c r="L18" s="20" t="n">
        <x:f>IF(C28=1,(C11*1000+C16*C19*SIN(2*PI()*L17)/(2*PI()))/(C16*C19+C17*C10),(C11*1000+C17*C10+C16*C19*SIN(2*PI()*L17)/(2*PI()))/(C16*C19+2.55*C17*C10))</x:f>
        <x:v>0.41051252071234706</x:v>
      </x:c>
      <x:c r="M18" s="20"/>
      <x:c r="N18" s="20"/>
    </x:row>
    <x:row r="19">
      <x:c r="A19" s="20" t="str">
        <x:v>A</x:v>
      </x:c>
      <x:c r="B19" s="127" t="n">
        <x:f>PI()*(B7^2-B6^2)</x:f>
        <x:v>259181.39392115793</x:v>
      </x:c>
      <x:c r="C19" s="127" t="n">
        <x:f>PI()*C8^2</x:f>
        <x:v>282743.3388230814</x:v>
      </x:c>
      <x:c r="D19" s="20" t="str">
        <x:v>mm²</x:v>
      </x:c>
      <x:c r="E19" s="20"/>
      <x:c r="F19" s="20"/>
      <x:c r="G19" s="20" t="str">
        <x:v>Hình học</x:v>
      </x:c>
      <x:c r="H19" s="20"/>
      <x:c r="I19" s="20"/>
      <x:c r="J19" s="20"/>
      <x:c r="K19" s="20" t="str">
        <x:v>ξ15</x:v>
      </x:c>
      <x:c r="L19" s="20" t="n">
        <x:f>IF(C28=1,(C11*1000+C16*C19*SIN(2*PI()*L18)/(2*PI()))/(C16*C19+C17*C10),(C11*1000+C17*C10+C16*C19*SIN(2*PI()*L18)/(2*PI()))/(C16*C19+2.55*C17*C10))</x:f>
        <x:v>0.4111276612225139</x:v>
      </x:c>
      <x:c r="M19" s="20"/>
      <x:c r="N19" s="20"/>
    </x:row>
    <x:row r="20">
      <x:c r="A20" s="20" t="str">
        <x:v>rm</x:v>
      </x:c>
      <x:c r="B20" s="127" t="n">
        <x:f>(B6+B7)/2</x:f>
        <x:v>275</x:v>
      </x:c>
      <x:c r="C20" s="127"/>
      <x:c r="D20" s="20" t="str">
        <x:v>mm</x:v>
      </x:c>
      <x:c r="E20" s="20"/>
      <x:c r="F20" s="20"/>
      <x:c r="G20" s="20" t="str">
        <x:v>F.1</x:v>
      </x:c>
      <x:c r="H20" s="20"/>
      <x:c r="I20" s="20"/>
      <x:c r="J20" s="20"/>
      <x:c r="K20" s="20" t="str">
        <x:v>ξ16</x:v>
      </x:c>
      <x:c r="L20" s="20" t="n">
        <x:f>IF(C28=1,(C11*1000+C16*C19*SIN(2*PI()*L19)/(2*PI()))/(C16*C19+C17*C10),(C11*1000+C17*C10+C16*C19*SIN(2*PI()*L19)/(2*PI()))/(C16*C19+2.55*C17*C10))</x:f>
        <x:v>0.4107000094038187</x:v>
      </x:c>
      <x:c r="M20" s="20"/>
      <x:c r="N20" s="20"/>
    </x:row>
    <x:row r="21">
      <x:c r="A21" s="20" t="str">
        <x:v>ξcir F.1</x:v>
      </x:c>
      <x:c r="B21" s="127" t="n">
        <x:f>(B11*1000+B17*B10)/(B16*B19+(B18+1.7*B17)*B10)</x:f>
        <x:v>0.42120767108478063</x:v>
      </x:c>
      <x:c r="C21" s="127"/>
      <x:c r="D21" s="20" t="str">
        <x:v>-</x:v>
      </x:c>
      <x:c r="E21" s="20"/>
      <x:c r="F21" s="20"/>
      <x:c r="G21" s="20" t="str">
        <x:v>F.1</x:v>
      </x:c>
      <x:c r="H21" s="20"/>
      <x:c r="I21" s="20"/>
      <x:c r="J21" s="20"/>
      <x:c r="K21" s="20" t="str">
        <x:v>ξ17</x:v>
      </x:c>
      <x:c r="L21" s="20" t="n">
        <x:f>IF(C28=1,(C11*1000+C16*C19*SIN(2*PI()*L20)/(2*PI()))/(C16*C19+C17*C10),(C11*1000+C17*C10+C16*C19*SIN(2*PI()*L20)/(2*PI()))/(C16*C19+2.55*C17*C10))</x:f>
        <x:v>0.41099742712981485</x:v>
      </x:c>
      <x:c r="M21" s="20"/>
      <x:c r="N21" s="20"/>
    </x:row>
    <x:row r="22">
      <x:c r="A22" s="20" t="str">
        <x:v>ξcir1 F.4</x:v>
      </x:c>
      <x:c r="B22" s="127" t="n">
        <x:f>(B11*1000+0.75*B17*B10)/(B16*B19+B17*B10)</x:f>
        <x:v>0.5108975878992763</x:v>
      </x:c>
      <x:c r="C22" s="127"/>
      <x:c r="D22" s="20" t="str">
        <x:v>-</x:v>
      </x:c>
      <x:c r="E22" s="20"/>
      <x:c r="F22" s="20"/>
      <x:c r="G22" s="20" t="str">
        <x:v>F.4</x:v>
      </x:c>
      <x:c r="H22" s="20"/>
      <x:c r="I22" s="20"/>
      <x:c r="J22" s="20"/>
      <x:c r="K22" s="20" t="str">
        <x:v>ξ18</x:v>
      </x:c>
      <x:c r="L22" s="20" t="n">
        <x:f>IF(C28=1,(C11*1000+C16*C19*SIN(2*PI()*L21)/(2*PI()))/(C16*C19+C17*C10),(C11*1000+C17*C10+C16*C19*SIN(2*PI()*L21)/(2*PI()))/(C16*C19+2.55*C17*C10))</x:f>
        <x:v>0.4107906359302156</x:v>
      </x:c>
      <x:c r="M22" s="20"/>
      <x:c r="N22" s="20"/>
    </x:row>
    <x:row r="23">
      <x:c r="A23" s="20" t="str">
        <x:v>ξcir2 F.6</x:v>
      </x:c>
      <x:c r="B23" s="127" t="n">
        <x:f>B11*1000/(B16*B19+B17*B10)</x:f>
        <x:v>0.36656329176629693</x:v>
      </x:c>
      <x:c r="C23" s="127"/>
      <x:c r="D23" s="20" t="str">
        <x:v>-</x:v>
      </x:c>
      <x:c r="E23" s="20"/>
      <x:c r="F23" s="20"/>
      <x:c r="G23" s="20" t="str">
        <x:v>F.6</x:v>
      </x:c>
      <x:c r="H23" s="20"/>
      <x:c r="I23" s="20"/>
      <x:c r="J23" s="20"/>
      <x:c r="K23" s="20" t="str">
        <x:v>ξ19</x:v>
      </x:c>
      <x:c r="L23" s="20" t="n">
        <x:f>IF(C28=1,(C11*1000+C16*C19*SIN(2*PI()*L22)/(2*PI()))/(C16*C19+C17*C10),(C11*1000+C17*C10+C16*C19*SIN(2*PI()*L22)/(2*PI()))/(C16*C19+2.55*C17*C10))</x:f>
        <x:v>0.4109344412037552</x:v>
      </x:c>
      <x:c r="M23" s="20"/>
      <x:c r="N23" s="20"/>
    </x:row>
    <x:row r="24">
      <x:c r="A24" s="20" t="str">
        <x:v>Nhánh vành</x:v>
      </x:c>
      <x:c r="B24" s="127" t="str">
        <x:f>IF(B21&lt;=0.15,"F.3/F.4",IF(B21&lt;0.6,"F.2","F.5/F.6"))</x:f>
        <x:v>F.2</x:v>
      </x:c>
      <x:c r="C24" s="127"/>
      <x:c r="D24" s="20" t="str">
        <x:v>-</x:v>
      </x:c>
      <x:c r="E24" s="20"/>
      <x:c r="F24" s="20"/>
      <x:c r="G24" s="20" t="str">
        <x:v>F.1–F.6</x:v>
      </x:c>
      <x:c r="H24" s="20"/>
      <x:c r="I24" s="20"/>
      <x:c r="J24" s="20"/>
      <x:c r="K24" s="20" t="str">
        <x:v>ξ20</x:v>
      </x:c>
      <x:c r="L24" s="20" t="n">
        <x:f>IF(C28=1,(C11*1000+C16*C19*SIN(2*PI()*L23)/(2*PI()))/(C16*C19+C17*C10),(C11*1000+C17*C10+C16*C19*SIN(2*PI()*L23)/(2*PI()))/(C16*C19+2.55*C17*C10))</x:f>
        <x:v>0.4108344495585213</x:v>
      </x:c>
      <x:c r="M24" s="20"/>
      <x:c r="N24" s="20"/>
    </x:row>
    <x:row r="25">
      <x:c r="A25" s="20" t="str">
        <x:v>Mu vành</x:v>
      </x:c>
      <x:c r="B25" s="128" t="n">
        <x:f>IF(OR(B6/B7&lt;=0.5,B13&lt;7),NA(),IF(B21&lt;=0.15,((B16*B19*B20+B17*B10*B9)*SIN(PI()*B22)/PI()+0.295*B17*B10*B9)/1000000,IF(B21&lt;0.6,((B16*B19*B20+B17*B10*B9)*SIN(PI()*B21)/PI()+B17*B10*B9*(1-1.7*B21)*(0.2+1.3*B21))/1000000,((B16*B19*B20+B17*B10*B9)*SIN(PI()*B23)/PI())/1000000)))</x:f>
        <x:v>538.0081855371169</x:v>
      </x:c>
      <x:c r="C25" s="127"/>
      <x:c r="D25" s="20" t="str">
        <x:v>kN.m</x:v>
      </x:c>
      <x:c r="E25" s="20"/>
      <x:c r="F25" s="20"/>
      <x:c r="G25" s="20" t="str">
        <x:v>F.2/F.3/F.5</x:v>
      </x:c>
      <x:c r="H25" s="20"/>
      <x:c r="I25" s="20"/>
      <x:c r="J25" s="20"/>
      <x:c r="K25" s="20" t="str">
        <x:v>ξ21</x:v>
      </x:c>
      <x:c r="L25" s="20" t="n">
        <x:f>IF(C28=1,(C11*1000+C16*C19*SIN(2*PI()*L24)/(2*PI()))/(C16*C19+C17*C10),(C11*1000+C17*C10+C16*C19*SIN(2*PI()*L24)/(2*PI()))/(C16*C19+2.55*C17*C10))</x:f>
        <x:v>0.41090398241985576</x:v>
      </x:c>
      <x:c r="M25" s="20"/>
      <x:c r="N25" s="20"/>
    </x:row>
    <x:row r="26">
      <x:c r="A26" s="20" t="str">
        <x:v>M/Mu vành</x:v>
      </x:c>
      <x:c r="B26" s="127" t="n">
        <x:f>B12/B25</x:f>
        <x:v>0.5576123339099329</x:v>
      </x:c>
      <x:c r="C26" s="127"/>
      <x:c r="D26" s="20" t="str">
        <x:v>-</x:v>
      </x:c>
      <x:c r="E26" s="20"/>
      <x:c r="F26" s="20"/>
      <x:c r="G26" s="20" t="str">
        <x:v>Kiểm</x:v>
      </x:c>
      <x:c r="H26" s="20"/>
      <x:c r="I26" s="20"/>
      <x:c r="J26" s="20"/>
      <x:c r="K26" s="20" t="str">
        <x:v>ξ22</x:v>
      </x:c>
      <x:c r="L26" s="20" t="n">
        <x:f>IF(C28=1,(C11*1000+C16*C19*SIN(2*PI()*L25)/(2*PI()))/(C16*C19+C17*C10),(C11*1000+C17*C10+C16*C19*SIN(2*PI()*L25)/(2*PI()))/(C16*C19+2.55*C17*C10))</x:f>
        <x:v>0.4108556330922013</x:v>
      </x:c>
      <x:c r="M26" s="20"/>
      <x:c r="N26" s="20"/>
    </x:row>
    <x:row r="27">
      <x:c r="A27" s="20" t="str">
        <x:v>F.8 threshold</x:v>
      </x:c>
      <x:c r="B27" s="127"/>
      <x:c r="C27" s="127" t="n">
        <x:f>(0.77*C16*C19+0.645*C17*C10)/1000</x:f>
        <x:v>4378.360305194135</x:v>
      </x:c>
      <x:c r="D27" s="20" t="str">
        <x:v>kN</x:v>
      </x:c>
      <x:c r="E27" s="20"/>
      <x:c r="F27" s="20"/>
      <x:c r="G27" s="20" t="str">
        <x:v>F.8</x:v>
      </x:c>
      <x:c r="H27" s="20"/>
      <x:c r="I27" s="20"/>
      <x:c r="J27" s="20"/>
      <x:c r="K27" s="20" t="str">
        <x:v>ξ23</x:v>
      </x:c>
      <x:c r="L27" s="20" t="n">
        <x:f>IF(C28=1,(C11*1000+C16*C19*SIN(2*PI()*L26)/(2*PI()))/(C16*C19+C17*C10),(C11*1000+C17*C10+C16*C19*SIN(2*PI()*L26)/(2*PI()))/(C16*C19+2.55*C17*C10))</x:f>
        <x:v>0.4108892539584356</x:v>
      </x:c>
      <x:c r="M27" s="20"/>
      <x:c r="N27" s="20"/>
    </x:row>
    <x:row r="28">
      <x:c r="A28" s="20" t="str">
        <x:v>F.8?</x:v>
      </x:c>
      <x:c r="B28" s="127"/>
      <x:c r="C28" s="127" t="n">
        <x:f>IF(C11&lt;=C27,1,0)</x:f>
        <x:v>1</x:v>
      </x:c>
      <x:c r="D28" s="20" t="str">
        <x:v>1/0</x:v>
      </x:c>
      <x:c r="E28" s="20"/>
      <x:c r="F28" s="20"/>
      <x:c r="G28" s="20" t="str">
        <x:v>F.8</x:v>
      </x:c>
      <x:c r="H28" s="20"/>
      <x:c r="I28" s="20"/>
      <x:c r="J28" s="20"/>
      <x:c r="K28" s="20" t="str">
        <x:v>ξ24</x:v>
      </x:c>
      <x:c r="L28" s="20" t="n">
        <x:f>IF(C28=1,(C11*1000+C16*C19*SIN(2*PI()*L27)/(2*PI()))/(C16*C19+C17*C10),(C11*1000+C17*C10+C16*C19*SIN(2*PI()*L27)/(2*PI()))/(C16*C19+2.55*C17*C10))</x:f>
        <x:v>0.4108658755597277</x:v>
      </x:c>
      <x:c r="M28" s="20"/>
      <x:c r="N28" s="20"/>
    </x:row>
    <x:row r="29">
      <x:c r="A29" s="20" t="str">
        <x:v>ξcir tròn</x:v>
      </x:c>
      <x:c r="B29" s="127"/>
      <x:c r="C29" s="127" t="n">
        <x:f>L74</x:f>
        <x:v>0.4108754644919473</x:v>
      </x:c>
      <x:c r="D29" s="20" t="str">
        <x:v>-</x:v>
      </x:c>
      <x:c r="E29" s="20"/>
      <x:c r="F29" s="20"/>
      <x:c r="G29" s="20" t="str">
        <x:v>F.9/F.10</x:v>
      </x:c>
      <x:c r="H29" s="20"/>
      <x:c r="I29" s="20"/>
      <x:c r="J29" s="20"/>
      <x:c r="K29" s="20" t="str">
        <x:v>ξ25</x:v>
      </x:c>
      <x:c r="L29" s="20" t="n">
        <x:f>IF(C28=1,(C11*1000+C16*C19*SIN(2*PI()*L28)/(2*PI()))/(C16*C19+C17*C10),(C11*1000+C17*C10+C16*C19*SIN(2*PI()*L28)/(2*PI()))/(C16*C19+2.55*C17*C10))</x:f>
        <x:v>0.4108821321471893</x:v>
      </x:c>
      <x:c r="M29" s="20"/>
      <x:c r="N29" s="20"/>
    </x:row>
    <x:row r="30">
      <x:c r="A30" s="20" t="str">
        <x:v>φ</x:v>
      </x:c>
      <x:c r="B30" s="127"/>
      <x:c r="C30" s="127" t="n">
        <x:f>IF(C28=1,MIN(1,MAX(0,1.6*(1-1.55*C29)*C29)),0)</x:f>
        <x:v>0.23873049782986155</x:v>
      </x:c>
      <x:c r="D30" s="20" t="str">
        <x:v>-</x:v>
      </x:c>
      <x:c r="E30" s="20"/>
      <x:c r="F30" s="20"/>
      <x:c r="G30" s="20" t="str">
        <x:v>F.2</x:v>
      </x:c>
      <x:c r="H30" s="20"/>
      <x:c r="I30" s="20"/>
      <x:c r="J30" s="20"/>
      <x:c r="K30" s="20" t="str">
        <x:v>ξ26</x:v>
      </x:c>
      <x:c r="L30" s="20" t="n">
        <x:f>IF(C28=1,(C11*1000+C16*C19*SIN(2*PI()*L29)/(2*PI()))/(C16*C19+C17*C10),(C11*1000+C17*C10+C16*C19*SIN(2*PI()*L29)/(2*PI()))/(C16*C19+2.55*C17*C10))</x:f>
        <x:v>0.4108708279970462</x:v>
      </x:c>
      <x:c r="M30" s="20"/>
      <x:c r="N30" s="20"/>
    </x:row>
    <x:row r="31">
      <x:c r="A31" s="20" t="str">
        <x:v>Mu tròn</x:v>
      </x:c>
      <x:c r="B31" s="127"/>
      <x:c r="C31" s="128" t="n">
        <x:f>IF(OR(C13&lt;7,C5="CB500-V"),NA(),((2/3)*C16*C19*C8*SIN(PI()*C29)^3/PI()+C17*C10*(SIN(PI()*C29)/PI()+C30)*C9)/1000000)</x:f>
        <x:v>414.59397029230144</x:v>
      </x:c>
      <x:c r="D31" s="20" t="str">
        <x:v>kN.m</x:v>
      </x:c>
      <x:c r="E31" s="20"/>
      <x:c r="F31" s="20"/>
      <x:c r="G31" s="20" t="str">
        <x:v>F.7</x:v>
      </x:c>
      <x:c r="H31" s="20"/>
      <x:c r="I31" s="20"/>
      <x:c r="J31" s="20"/>
      <x:c r="K31" s="20" t="str">
        <x:v>ξ27</x:v>
      </x:c>
      <x:c r="L31" s="20" t="n">
        <x:f>IF(C28=1,(C11*1000+C16*C19*SIN(2*PI()*L30)/(2*PI()))/(C16*C19+C17*C10),(C11*1000+C17*C10+C16*C19*SIN(2*PI()*L30)/(2*PI()))/(C16*C19+2.55*C17*C10))</x:f>
        <x:v>0.41087868850634535</x:v>
      </x:c>
      <x:c r="M31" s="20"/>
      <x:c r="N31" s="20"/>
    </x:row>
    <x:row r="32">
      <x:c r="A32" s="20" t="str">
        <x:v>M/Mu tròn</x:v>
      </x:c>
      <x:c r="B32" s="127"/>
      <x:c r="C32" s="127" t="n">
        <x:f>C12/C31</x:f>
        <x:v>0.7235995250690472</x:v>
      </x:c>
      <x:c r="D32" s="20" t="str">
        <x:v>-</x:v>
      </x:c>
      <x:c r="E32" s="20"/>
      <x:c r="F32" s="20"/>
      <x:c r="G32" s="20" t="str">
        <x:v>Kiểm F.7</x:v>
      </x:c>
      <x:c r="H32" s="20"/>
      <x:c r="I32" s="20"/>
      <x:c r="J32" s="20"/>
      <x:c r="K32" s="20" t="str">
        <x:v>ξ28</x:v>
      </x:c>
      <x:c r="L32" s="20" t="n">
        <x:f>IF(C28=1,(C11*1000+C16*C19*SIN(2*PI()*L31)/(2*PI()))/(C16*C19+C17*C10),(C11*1000+C17*C10+C16*C19*SIN(2*PI()*L31)/(2*PI()))/(C16*C19+2.55*C17*C10))</x:f>
        <x:v>0.41087322262110876</x:v>
      </x:c>
      <x:c r="M32" s="20"/>
      <x:c r="N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 t="str">
        <x:v>ξ29</x:v>
      </x:c>
      <x:c r="L33" s="20" t="n">
        <x:f>IF(C28=1,(C11*1000+C16*C19*SIN(2*PI()*L32)/(2*PI()))/(C16*C19+C17*C10),(C11*1000+C17*C10+C16*C19*SIN(2*PI()*L32)/(2*PI()))/(C16*C19+2.55*C17*C10))</x:f>
        <x:v>0.41087702339802923</x:v>
      </x:c>
      <x:c r="M33" s="20"/>
      <x:c r="N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 t="str">
        <x:v>ξ30</x:v>
      </x:c>
      <x:c r="L34" s="20" t="n">
        <x:f>IF(C28=1,(C11*1000+C16*C19*SIN(2*PI()*L33)/(2*PI()))/(C16*C19+C17*C10),(C11*1000+C17*C10+C16*C19*SIN(2*PI()*L33)/(2*PI()))/(C16*C19+2.55*C17*C10))</x:f>
        <x:v>0.4108743804852715</x:v>
      </x:c>
      <x:c r="M34" s="20"/>
      <x:c r="N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 t="str">
        <x:v>ξ31</x:v>
      </x:c>
      <x:c r="L35" s="20" t="n">
        <x:f>IF(C28=1,(C11*1000+C16*C19*SIN(2*PI()*L34)/(2*PI()))/(C16*C19+C17*C10),(C11*1000+C17*C10+C16*C19*SIN(2*PI()*L34)/(2*PI()))/(C16*C19+2.55*C17*C10))</x:f>
        <x:v>0.4108762182684195</x:v>
      </x:c>
      <x:c r="M35" s="20"/>
      <x:c r="N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 t="str">
        <x:v>ξ32</x:v>
      </x:c>
      <x:c r="L36" s="20" t="n">
        <x:f>IF(C28=1,(C11*1000+C16*C19*SIN(2*PI()*L35)/(2*PI()))/(C16*C19+C17*C10),(C11*1000+C17*C10+C16*C19*SIN(2*PI()*L35)/(2*PI()))/(C16*C19+2.55*C17*C10))</x:f>
        <x:v>0.4108749403444572</x:v>
      </x:c>
      <x:c r="M36" s="20"/>
      <x:c r="N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 t="str">
        <x:v>ξ33</x:v>
      </x:c>
      <x:c r="L37" s="20" t="n">
        <x:f>IF(C28=1,(C11*1000+C16*C19*SIN(2*PI()*L36)/(2*PI()))/(C16*C19+C17*C10),(C11*1000+C17*C10+C16*C19*SIN(2*PI()*L36)/(2*PI()))/(C16*C19+2.55*C17*C10))</x:f>
        <x:v>0.41087582896478003</x:v>
      </x:c>
      <x:c r="M37" s="20"/>
      <x:c r="N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 t="str">
        <x:v>ξ34</x:v>
      </x:c>
      <x:c r="L38" s="20" t="n">
        <x:f>IF(C28=1,(C11*1000+C16*C19*SIN(2*PI()*L37)/(2*PI()))/(C16*C19+C17*C10),(C11*1000+C17*C10+C16*C19*SIN(2*PI()*L37)/(2*PI()))/(C16*C19+2.55*C17*C10))</x:f>
        <x:v>0.4108752110520591</x:v>
      </x:c>
      <x:c r="M38" s="20"/>
      <x:c r="N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 t="str">
        <x:v>ξ35</x:v>
      </x:c>
      <x:c r="L39" s="20" t="n">
        <x:f>IF(C28=1,(C11*1000+C16*C19*SIN(2*PI()*L38)/(2*PI()))/(C16*C19+C17*C10),(C11*1000+C17*C10+C16*C19*SIN(2*PI()*L38)/(2*PI()))/(C16*C19+2.55*C17*C10))</x:f>
        <x:v>0.4108756407252553</x:v>
      </x:c>
      <x:c r="M39" s="20"/>
      <x:c r="N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 t="str">
        <x:v>ξ36</x:v>
      </x:c>
      <x:c r="L40" s="20" t="n">
        <x:f>IF(C28=1,(C11*1000+C16*C19*SIN(2*PI()*L39)/(2*PI()))/(C16*C19+C17*C10),(C11*1000+C17*C10+C16*C19*SIN(2*PI()*L39)/(2*PI()))/(C16*C19+2.55*C17*C10))</x:f>
        <x:v>0.41087534194683434</x:v>
      </x:c>
      <x:c r="M40" s="20"/>
      <x:c r="N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 t="str">
        <x:v>ξ37</x:v>
      </x:c>
      <x:c r="L41" s="20" t="n">
        <x:f>IF(C28=1,(C11*1000+C16*C19*SIN(2*PI()*L40)/(2*PI()))/(C16*C19+C17*C10),(C11*1000+C17*C10+C16*C19*SIN(2*PI()*L40)/(2*PI()))/(C16*C19+2.55*C17*C10))</x:f>
        <x:v>0.4108755497060537</x:v>
      </x:c>
      <x:c r="M41" s="20"/>
      <x:c r="N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 t="str">
        <x:v>ξ38</x:v>
      </x:c>
      <x:c r="L42" s="20" t="n">
        <x:f>IF(C28=1,(C11*1000+C16*C19*SIN(2*PI()*L41)/(2*PI()))/(C16*C19+C17*C10),(C11*1000+C17*C10+C16*C19*SIN(2*PI()*L41)/(2*PI()))/(C16*C19+2.55*C17*C10))</x:f>
        <x:v>0.4108754052381723</x:v>
      </x:c>
      <x:c r="M42" s="20"/>
      <x:c r="N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 t="str">
        <x:v>ξ39</x:v>
      </x:c>
      <x:c r="L43" s="20" t="n">
        <x:f>IF(C28=1,(C11*1000+C16*C19*SIN(2*PI()*L42)/(2*PI()))/(C16*C19+C17*C10),(C11*1000+C17*C10+C16*C19*SIN(2*PI()*L42)/(2*PI()))/(C16*C19+2.55*C17*C10))</x:f>
        <x:v>0.4108755056956703</x:v>
      </x:c>
      <x:c r="M43" s="20"/>
      <x:c r="N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 t="str">
        <x:v>ξ40</x:v>
      </x:c>
      <x:c r="L44" s="20" t="n">
        <x:f>IF(C28=1,(C11*1000+C16*C19*SIN(2*PI()*L43)/(2*PI()))/(C16*C19+C17*C10),(C11*1000+C17*C10+C16*C19*SIN(2*PI()*L43)/(2*PI()))/(C16*C19+2.55*C17*C10))</x:f>
        <x:v>0.41087543584133357</x:v>
      </x:c>
      <x:c r="M44" s="20"/>
      <x:c r="N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 t="str">
        <x:v>ξ41</x:v>
      </x:c>
      <x:c r="L45" s="20" t="n">
        <x:f>IF(C28=1,(C11*1000+C16*C19*SIN(2*PI()*L44)/(2*PI()))/(C16*C19+C17*C10),(C11*1000+C17*C10+C16*C19*SIN(2*PI()*L44)/(2*PI()))/(C16*C19+2.55*C17*C10))</x:f>
        <x:v>0.4108754844153948</x:v>
      </x:c>
      <x:c r="M45" s="20"/>
      <x:c r="N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 t="str">
        <x:v>ξ42</x:v>
      </x:c>
      <x:c r="L46" s="20" t="n">
        <x:f>IF(C28=1,(C11*1000+C16*C19*SIN(2*PI()*L45)/(2*PI()))/(C16*C19+C17*C10),(C11*1000+C17*C10+C16*C19*SIN(2*PI()*L45)/(2*PI()))/(C16*C19+2.55*C17*C10))</x:f>
        <x:v>0.41087545063883296</x:v>
      </x:c>
      <x:c r="M46" s="20"/>
      <x:c r="N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 t="str">
        <x:v>ξ43</x:v>
      </x:c>
      <x:c r="L47" s="20" t="n">
        <x:f>IF(C28=1,(C11*1000+C16*C19*SIN(2*PI()*L46)/(2*PI()))/(C16*C19+C17*C10),(C11*1000+C17*C10+C16*C19*SIN(2*PI()*L46)/(2*PI()))/(C16*C19+2.55*C17*C10))</x:f>
        <x:v>0.41087547412577496</x:v>
      </x:c>
      <x:c r="M47" s="20"/>
      <x:c r="N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 t="str">
        <x:v>ξ44</x:v>
      </x:c>
      <x:c r="L48" s="20" t="n">
        <x:f>IF(C28=1,(C11*1000+C16*C19*SIN(2*PI()*L47)/(2*PI()))/(C16*C19+C17*C10),(C11*1000+C17*C10+C16*C19*SIN(2*PI()*L47)/(2*PI()))/(C16*C19+2.55*C17*C10))</x:f>
        <x:v>0.41087545779384527</x:v>
      </x:c>
      <x:c r="M48" s="20"/>
      <x:c r="N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 t="str">
        <x:v>ξ45</x:v>
      </x:c>
      <x:c r="L49" s="20" t="n">
        <x:f>IF(C28=1,(C11*1000+C16*C19*SIN(2*PI()*L48)/(2*PI()))/(C16*C19+C17*C10),(C11*1000+C17*C10+C16*C19*SIN(2*PI()*L48)/(2*PI()))/(C16*C19+2.55*C17*C10))</x:f>
        <x:v>0.41087546915045065</x:v>
      </x:c>
      <x:c r="M49" s="20"/>
      <x:c r="N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 t="str">
        <x:v>ξ46</x:v>
      </x:c>
      <x:c r="L50" s="20" t="n">
        <x:f>IF(C28=1,(C11*1000+C16*C19*SIN(2*PI()*L49)/(2*PI()))/(C16*C19+C17*C10),(C11*1000+C17*C10+C16*C19*SIN(2*PI()*L49)/(2*PI()))/(C16*C19+2.55*C17*C10))</x:f>
        <x:v>0.41087546125349744</x:v>
      </x:c>
      <x:c r="M50" s="20"/>
      <x:c r="N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 t="str">
        <x:v>ξ47</x:v>
      </x:c>
      <x:c r="L51" s="20" t="n">
        <x:f>IF(C28=1,(C11*1000+C16*C19*SIN(2*PI()*L50)/(2*PI()))/(C16*C19+C17*C10),(C11*1000+C17*C10+C16*C19*SIN(2*PI()*L50)/(2*PI()))/(C16*C19+2.55*C17*C10))</x:f>
        <x:v>0.41087546674473957</x:v>
      </x:c>
      <x:c r="M51" s="20"/>
      <x:c r="N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 t="str">
        <x:v>ξ48</x:v>
      </x:c>
      <x:c r="L52" s="20" t="n">
        <x:f>IF(C28=1,(C11*1000+C16*C19*SIN(2*PI()*L51)/(2*PI()))/(C16*C19+C17*C10),(C11*1000+C17*C10+C16*C19*SIN(2*PI()*L51)/(2*PI()))/(C16*C19+2.55*C17*C10))</x:f>
        <x:v>0.4108754629263378</x:v>
      </x:c>
      <x:c r="M52" s="20"/>
      <x:c r="N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 t="str">
        <x:v>ξ49</x:v>
      </x:c>
      <x:c r="L53" s="20" t="n">
        <x:f>IF(C28=1,(C11*1000+C16*C19*SIN(2*PI()*L52)/(2*PI()))/(C16*C19+C17*C10),(C11*1000+C17*C10+C16*C19*SIN(2*PI()*L52)/(2*PI()))/(C16*C19+2.55*C17*C10))</x:f>
        <x:v>0.4108754655815098</x:v>
      </x:c>
      <x:c r="M53" s="20"/>
      <x:c r="N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 t="str">
        <x:v>ξ50</x:v>
      </x:c>
      <x:c r="L54" s="20" t="n">
        <x:f>IF(C28=1,(C11*1000+C16*C19*SIN(2*PI()*L53)/(2*PI()))/(C16*C19+C17*C10),(C11*1000+C17*C10+C16*C19*SIN(2*PI()*L53)/(2*PI()))/(C16*C19+2.55*C17*C10))</x:f>
        <x:v>0.4108754637352038</x:v>
      </x:c>
      <x:c r="M54" s="20"/>
      <x:c r="N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 t="str">
        <x:v>ξ51</x:v>
      </x:c>
      <x:c r="L55" s="20" t="n">
        <x:f>IF(C28=1,(C11*1000+C16*C19*SIN(2*PI()*L54)/(2*PI()))/(C16*C19+C17*C10),(C11*1000+C17*C10+C16*C19*SIN(2*PI()*L54)/(2*PI()))/(C16*C19+2.55*C17*C10))</x:f>
        <x:v>0.410875465019055</x:v>
      </x:c>
      <x:c r="M55" s="20"/>
      <x:c r="N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 t="str">
        <x:v>ξ52</x:v>
      </x:c>
      <x:c r="L56" s="20" t="n">
        <x:f>IF(C28=1,(C11*1000+C16*C19*SIN(2*PI()*L55)/(2*PI()))/(C16*C19+C17*C10),(C11*1000+C17*C10+C16*C19*SIN(2*PI()*L55)/(2*PI()))/(C16*C19+2.55*C17*C10))</x:f>
        <x:v>0.4108754641263135</x:v>
      </x:c>
      <x:c r="M56" s="20"/>
      <x:c r="N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 t="str">
        <x:v>ξ53</x:v>
      </x:c>
      <x:c r="L57" s="20" t="n">
        <x:f>IF(C28=1,(C11*1000+C16*C19*SIN(2*PI()*L56)/(2*PI()))/(C16*C19+C17*C10),(C11*1000+C17*C10+C16*C19*SIN(2*PI()*L56)/(2*PI()))/(C16*C19+2.55*C17*C10))</x:f>
        <x:v>0.41087546474709213</x:v>
      </x:c>
      <x:c r="M57" s="20"/>
      <x:c r="N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 t="str">
        <x:v>ξ54</x:v>
      </x:c>
      <x:c r="L58" s="20" t="n">
        <x:f>IF(C28=1,(C11*1000+C16*C19*SIN(2*PI()*L57)/(2*PI()))/(C16*C19+C17*C10),(C11*1000+C17*C10+C16*C19*SIN(2*PI()*L57)/(2*PI()))/(C16*C19+2.55*C17*C10))</x:f>
        <x:v>0.4108754643154262</x:v>
      </x:c>
      <x:c r="M58" s="20"/>
      <x:c r="N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 t="str">
        <x:v>ξ55</x:v>
      </x:c>
      <x:c r="L59" s="20" t="n">
        <x:f>IF(C28=1,(C11*1000+C16*C19*SIN(2*PI()*L58)/(2*PI()))/(C16*C19+C17*C10),(C11*1000+C17*C10+C16*C19*SIN(2*PI()*L58)/(2*PI()))/(C16*C19+2.55*C17*C10))</x:f>
        <x:v>0.4108754646155904</x:v>
      </x:c>
      <x:c r="M59" s="20"/>
      <x:c r="N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 t="str">
        <x:v>ξ56</x:v>
      </x:c>
      <x:c r="L60" s="20" t="n">
        <x:f>IF(C28=1,(C11*1000+C16*C19*SIN(2*PI()*L59)/(2*PI()))/(C16*C19+C17*C10),(C11*1000+C17*C10+C16*C19*SIN(2*PI()*L59)/(2*PI()))/(C16*C19+2.55*C17*C10))</x:f>
        <x:v>0.4108754644068675</x:v>
      </x:c>
      <x:c r="M60" s="20"/>
      <x:c r="N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 t="str">
        <x:v>ξ57</x:v>
      </x:c>
      <x:c r="L61" s="20" t="n">
        <x:f>IF(C28=1,(C11*1000+C16*C19*SIN(2*PI()*L60)/(2*PI()))/(C16*C19+C17*C10),(C11*1000+C17*C10+C16*C19*SIN(2*PI()*L60)/(2*PI()))/(C16*C19+2.55*C17*C10))</x:f>
        <x:v>0.4108754645520055</x:v>
      </x:c>
      <x:c r="M61" s="20"/>
      <x:c r="N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 t="str">
        <x:v>ξ58</x:v>
      </x:c>
      <x:c r="L62" s="20" t="n">
        <x:f>IF(C28=1,(C11*1000+C16*C19*SIN(2*PI()*L61)/(2*PI()))/(C16*C19+C17*C10),(C11*1000+C17*C10+C16*C19*SIN(2*PI()*L61)/(2*PI()))/(C16*C19+2.55*C17*C10))</x:f>
        <x:v>0.41087546445108203</x:v>
      </x:c>
      <x:c r="M62" s="20"/>
      <x:c r="N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 t="str">
        <x:v>ξ59</x:v>
      </x:c>
      <x:c r="L63" s="20" t="n">
        <x:f>IF(C28=1,(C11*1000+C16*C19*SIN(2*PI()*L62)/(2*PI()))/(C16*C19+C17*C10),(C11*1000+C17*C10+C16*C19*SIN(2*PI()*L62)/(2*PI()))/(C16*C19+2.55*C17*C10))</x:f>
        <x:v>0.4108754645212604</x:v>
      </x:c>
      <x:c r="M63" s="20"/>
      <x:c r="N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 t="str">
        <x:v>ξ60</x:v>
      </x:c>
      <x:c r="L64" s="20" t="n">
        <x:f>IF(C28=1,(C11*1000+C16*C19*SIN(2*PI()*L63)/(2*PI()))/(C16*C19+C17*C10),(C11*1000+C17*C10+C16*C19*SIN(2*PI()*L63)/(2*PI()))/(C16*C19+2.55*C17*C10))</x:f>
        <x:v>0.41087546447246104</x:v>
      </x:c>
      <x:c r="M64" s="20"/>
      <x:c r="N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 t="str">
        <x:v>ξ61</x:v>
      </x:c>
      <x:c r="L65" s="20" t="n">
        <x:f>IF(C28=1,(C11*1000+C16*C19*SIN(2*PI()*L64)/(2*PI()))/(C16*C19+C17*C10),(C11*1000+C17*C10+C16*C19*SIN(2*PI()*L64)/(2*PI()))/(C16*C19+2.55*C17*C10))</x:f>
        <x:v>0.4108754645063943</x:v>
      </x:c>
      <x:c r="M65" s="20"/>
      <x:c r="N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 t="str">
        <x:v>ξ62</x:v>
      </x:c>
      <x:c r="L66" s="20" t="n">
        <x:f>IF(C28=1,(C11*1000+C16*C19*SIN(2*PI()*L65)/(2*PI()))/(C16*C19+C17*C10),(C11*1000+C17*C10+C16*C19*SIN(2*PI()*L65)/(2*PI()))/(C16*C19+2.55*C17*C10))</x:f>
        <x:v>0.4108754644827983</x:v>
      </x:c>
      <x:c r="M66" s="20"/>
      <x:c r="N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 t="str">
        <x:v>ξ63</x:v>
      </x:c>
      <x:c r="L67" s="20" t="n">
        <x:f>IF(C28=1,(C11*1000+C16*C19*SIN(2*PI()*L66)/(2*PI()))/(C16*C19+C17*C10),(C11*1000+C17*C10+C16*C19*SIN(2*PI()*L66)/(2*PI()))/(C16*C19+2.55*C17*C10))</x:f>
        <x:v>0.4108754644992061</x:v>
      </x:c>
      <x:c r="M67" s="20"/>
      <x:c r="N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 t="str">
        <x:v>ξ64</x:v>
      </x:c>
      <x:c r="L68" s="20" t="n">
        <x:f>IF(C28=1,(C11*1000+C16*C19*SIN(2*PI()*L67)/(2*PI()))/(C16*C19+C17*C10),(C11*1000+C17*C10+C16*C19*SIN(2*PI()*L67)/(2*PI()))/(C16*C19+2.55*C17*C10))</x:f>
        <x:v>0.4108754644877967</x:v>
      </x:c>
      <x:c r="M68" s="20"/>
      <x:c r="N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 t="str">
        <x:v>ξ65</x:v>
      </x:c>
      <x:c r="L69" s="20" t="n">
        <x:f>IF(C28=1,(C11*1000+C16*C19*SIN(2*PI()*L68)/(2*PI()))/(C16*C19+C17*C10),(C11*1000+C17*C10+C16*C19*SIN(2*PI()*L68)/(2*PI()))/(C16*C19+2.55*C17*C10))</x:f>
        <x:v>0.4108754644957305</x:v>
      </x:c>
      <x:c r="M69" s="20"/>
      <x:c r="N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 t="str">
        <x:v>ξ66</x:v>
      </x:c>
      <x:c r="L70" s="20" t="n">
        <x:f>IF(C28=1,(C11*1000+C16*C19*SIN(2*PI()*L69)/(2*PI()))/(C16*C19+C17*C10),(C11*1000+C17*C10+C16*C19*SIN(2*PI()*L69)/(2*PI()))/(C16*C19+2.55*C17*C10))</x:f>
        <x:v>0.41087546449021356</x:v>
      </x:c>
      <x:c r="M70" s="20"/>
      <x:c r="N70" s="20"/>
    </x:row>
    <x:row r="71">
      <x:c r="K71" t="str">
        <x:v>ξ67</x:v>
      </x:c>
      <x:c r="L71" t="n">
        <x:f>IF(C28=1,(C11*1000+C16*C19*SIN(2*PI()*L70)/(2*PI()))/(C16*C19+C17*C10),(C11*1000+C17*C10+C16*C19*SIN(2*PI()*L70)/(2*PI()))/(C16*C19+2.55*C17*C10))</x:f>
        <x:v>0.4108754644940498</x:v>
      </x:c>
    </x:row>
    <x:row r="72">
      <x:c r="K72" t="str">
        <x:v>ξ68</x:v>
      </x:c>
      <x:c r="L72" t="n">
        <x:f>IF(C28=1,(C11*1000+C16*C19*SIN(2*PI()*L71)/(2*PI()))/(C16*C19+C17*C10),(C11*1000+C17*C10+C16*C19*SIN(2*PI()*L71)/(2*PI()))/(C16*C19+2.55*C17*C10))</x:f>
        <x:v>0.41087546449138224</x:v>
      </x:c>
    </x:row>
    <x:row r="73">
      <x:c r="K73" t="str">
        <x:v>ξ69</x:v>
      </x:c>
      <x:c r="L73" t="n">
        <x:f>IF(C28=1,(C11*1000+C16*C19*SIN(2*PI()*L72)/(2*PI()))/(C16*C19+C17*C10),(C11*1000+C17*C10+C16*C19*SIN(2*PI()*L72)/(2*PI()))/(C16*C19+2.55*C17*C10))</x:f>
        <x:v>0.4108754644932372</x:v>
      </x:c>
    </x:row>
    <x:row r="74">
      <x:c r="K74" t="str">
        <x:v>ξ70</x:v>
      </x:c>
      <x:c r="L74" t="n">
        <x:f>IF(C28=1,(C11*1000+C16*C19*SIN(2*PI()*L73)/(2*PI()))/(C16*C19+C17*C10),(C11*1000+C17*C10+C16*C19*SIN(2*PI()*L73)/(2*PI()))/(C16*C19+2.55*C17*C10))</x:f>
        <x:v>0.4108754644919473</x:v>
      </x:c>
    </x:row>
  </x:sheetData>
  <x:mergeCells>
    <x:mergeCell ref="A1:N1"/>
  </x:mergeCells>
  <x:conditionalFormatting sqref="B26:B26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{9FDE93BB-FCA6-AD1D-4B00-A546A3943DA7}</x14:id>
        </x:ext>
      </x:extLst>
    </x:cfRule>
  </x:conditionalFormatting>
  <x:conditionalFormatting sqref="C32:C32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{B537EE96-866F-E7E6-1576-2173158FA6F4}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FDE93BB-FCA6-AD1D-4B00-A546A3943DA7}">
            <x14:dataBar gradient="1">
              <x14:cfvo type="min"/>
              <x14:cfvo type="max"/>
              <x14:fillColor rgb="FFA02B93"/>
            </x14:dataBar>
          </x14:cfRule>
          <xm:sqref>B26:B26</xm:sqref>
        </x14:conditionalFormatting>
        <x14:conditionalFormatting>
          <x14:cfRule type="dataBar" priority="2" id="{B537EE96-866F-E7E6-1576-2173158FA6F4}">
            <x14:dataBar gradient="1">
              <x14:cfvo type="min"/>
              <x14:cfvo type="max"/>
              <x14:fillColor rgb="FFA02B93"/>
            </x14:dataBar>
          </x14:cfRule>
          <xm:sqref>C32:C32</xm:sqref>
        </x14:conditionalFormatting>
      </x14:conditionalFormattings>
    </x:ext>
  </x:extLst>
</x:worksheet>
</file>

<file path=xl/worksheets/sheet2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3" hidden="0" customWidth="1"/>
    <x:col min="4" max="4" width="54" hidden="0" customWidth="1"/>
    <x:col min="5" max="5" width="50" hidden="0" customWidth="1"/>
    <x:col min="6" max="6" width="24" hidden="0" customWidth="1"/>
    <x:col min="7" max="7" width="28" hidden="0" customWidth="1"/>
    <x:col min="8" max="8" width="16" hidden="0" customWidth="1"/>
  </x:cols>
  <x:sheetData>
    <x:row r="1">
      <x:c r="A1" s="118" t="str">
        <x:v>19 · PHỤ LỤC H – CÔNG XÔN NGẮN · H.1</x:v>
      </x:c>
      <x:c r="B1" s="118"/>
      <x:c r="C1" s="118"/>
      <x:c r="D1" s="118"/>
      <x:c r="E1" s="118"/>
      <x:c r="F1" s="118"/>
      <x:c r="G1" s="118"/>
      <x:c r="H1" s="118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>
      <x:c r="A3" s="121" t="str">
        <x:v>Thông số</x:v>
      </x:c>
      <x:c r="B3" s="121" t="str">
        <x:v>Giá trị</x:v>
      </x:c>
      <x:c r="C3" s="121" t="str">
        <x:v>Đơn vị</x:v>
      </x:c>
      <x:c r="D3" s="121" t="str">
        <x:v>Giải thích</x:v>
      </x:c>
      <x:c r="E3" s="121" t="str">
        <x:v>Logic</x:v>
      </x:c>
      <x:c r="F3" s="121" t="str">
        <x:v>Kiểm tra</x:v>
      </x:c>
      <x:c r="G3" s="121" t="str">
        <x:v>Nguồn</x:v>
      </x:c>
      <x:c r="H3" s="121" t="str">
        <x:v>Trạng thái</x:v>
      </x:c>
    </x:row>
    <x:row r="4">
      <x:c r="A4" s="20" t="str">
        <x:v>Bê tông</x:v>
      </x:c>
      <x:c r="B4" s="126" t="str">
        <x:v>B30</x:v>
      </x:c>
      <x:c r="C4" s="20" t="str">
        <x:v>-</x:v>
      </x:c>
      <x:c r="D4" s="20" t="str">
        <x:v>Tra Rb/Rbt/Eb</x:v>
      </x:c>
      <x:c r="E4" s="20" t="str">
        <x:v>Bảng 7/10</x:v>
      </x:c>
      <x:c r="F4" s="20" t="str"/>
      <x:c r="G4" s="20" t="str"/>
      <x:c r="H4" s="20" t="str">
        <x:v>INPUT</x:v>
      </x:c>
    </x:row>
    <x:row r="5">
      <x:c r="A5" s="20" t="str">
        <x:v>b</x:v>
      </x:c>
      <x:c r="B5" s="126" t="n">
        <x:v>300</x:v>
      </x:c>
      <x:c r="C5" s="20" t="str">
        <x:v>mm</x:v>
      </x:c>
      <x:c r="D5" s="20" t="str">
        <x:v>Bề rộng công xôn</x:v>
      </x:c>
      <x:c r="E5" s="20" t="str">
        <x:v>INPUT</x:v>
      </x:c>
      <x:c r="F5" s="20" t="str"/>
      <x:c r="G5" s="20" t="str"/>
      <x:c r="H5" s="20" t="str">
        <x:v>INPUT</x:v>
      </x:c>
    </x:row>
    <x:row r="6">
      <x:c r="A6" s="20" t="str">
        <x:v>h0</x:v>
      </x:c>
      <x:c r="B6" s="126" t="n">
        <x:v>500</x:v>
      </x:c>
      <x:c r="C6" s="20" t="str">
        <x:v>mm</x:v>
      </x:c>
      <x:c r="D6" s="20" t="str">
        <x:v>Chiều cao làm việc</x:v>
      </x:c>
      <x:c r="E6" s="20" t="str">
        <x:v>INPUT</x:v>
      </x:c>
      <x:c r="F6" s="20" t="str"/>
      <x:c r="G6" s="20" t="str"/>
      <x:c r="H6" s="20" t="str">
        <x:v>INPUT</x:v>
      </x:c>
    </x:row>
    <x:row r="7">
      <x:c r="A7" s="20" t="str">
        <x:v>L1</x:v>
      </x:c>
      <x:c r="B7" s="126" t="n">
        <x:v>300</x:v>
      </x:c>
      <x:c r="C7" s="20" t="str">
        <x:v>mm</x:v>
      </x:c>
      <x:c r="D7" s="20" t="str">
        <x:v>Chiều dài vươn</x:v>
      </x:c>
      <x:c r="E7" s="20" t="str">
        <x:v>INPUT</x:v>
      </x:c>
      <x:c r="F7" s="20" t="str">
        <x:v>L1/h0≤0,9</x:v>
      </x:c>
      <x:c r="G7" s="20" t="str"/>
      <x:c r="H7" s="20" t="str">
        <x:v>INPUT</x:v>
      </x:c>
    </x:row>
    <x:row r="8">
      <x:c r="A8" s="20" t="str">
        <x:v>Lsup</x:v>
      </x:c>
      <x:c r="B8" s="126" t="n">
        <x:v>200</x:v>
      </x:c>
      <x:c r="C8" s="20" t="str">
        <x:v>mm</x:v>
      </x:c>
      <x:c r="D8" s="20" t="str">
        <x:v>Chiều dài gối tựa dùng H.1</x:v>
      </x:c>
      <x:c r="E8" s="20" t="str">
        <x:v>INPUT</x:v>
      </x:c>
      <x:c r="F8" s="20" t="str"/>
      <x:c r="G8" s="20" t="str"/>
      <x:c r="H8" s="20" t="str">
        <x:v>INPUT</x:v>
      </x:c>
    </x:row>
    <x:row r="9">
      <x:c r="A9" s="20" t="str">
        <x:v>Q</x:v>
      </x:c>
      <x:c r="B9" s="126" t="n">
        <x:v>200</x:v>
      </x:c>
      <x:c r="C9" s="20" t="str">
        <x:v>kN</x:v>
      </x:c>
      <x:c r="D9" s="20" t="str">
        <x:v>Lực cắt thiết kế</x:v>
      </x:c>
      <x:c r="E9" s="20" t="str">
        <x:v>INPUT</x:v>
      </x:c>
      <x:c r="F9" s="20" t="str"/>
      <x:c r="G9" s="20" t="str"/>
      <x:c r="H9" s="20" t="str">
        <x:v>INPUT</x:v>
      </x:c>
    </x:row>
    <x:row r="10">
      <x:c r="A10" s="20" t="str">
        <x:v>Asw</x:v>
      </x:c>
      <x:c r="B10" s="126" t="n">
        <x:v>157</x:v>
      </x:c>
      <x:c r="C10" s="20" t="str">
        <x:v>mm²</x:v>
      </x:c>
      <x:c r="D10" s="20" t="str">
        <x:v>Cốt ngang trong bước sw</x:v>
      </x:c>
      <x:c r="E10" s="20" t="str">
        <x:v>INPUT</x:v>
      </x:c>
      <x:c r="F10" s="20" t="str"/>
      <x:c r="G10" s="20" t="str"/>
      <x:c r="H10" s="20" t="str">
        <x:v>INPUT</x:v>
      </x:c>
    </x:row>
    <x:row r="11">
      <x:c r="A11" s="20" t="str">
        <x:v>sw</x:v>
      </x:c>
      <x:c r="B11" s="126" t="n">
        <x:v>150</x:v>
      </x:c>
      <x:c r="C11" s="20" t="str">
        <x:v>mm</x:v>
      </x:c>
      <x:c r="D11" s="20" t="str">
        <x:v>Bước cốt ngang</x:v>
      </x:c>
      <x:c r="E11" s="20" t="str">
        <x:v>INPUT</x:v>
      </x:c>
      <x:c r="F11" s="20" t="str"/>
      <x:c r="G11" s="20" t="str"/>
      <x:c r="H11" s="20" t="str">
        <x:v>INPUT</x:v>
      </x:c>
    </x:row>
    <x:row r="12">
      <x:c r="A12" s="20"/>
      <x:c r="B12" s="20"/>
      <x:c r="C12" s="20"/>
      <x:c r="D12" s="20"/>
      <x:c r="E12" s="20"/>
      <x:c r="F12" s="20"/>
      <x:c r="G12" s="20"/>
      <x:c r="H12" s="20"/>
    </x:row>
    <x:row r="13">
      <x:c r="A13" s="121" t="str">
        <x:v>Bước</x:v>
      </x:c>
      <x:c r="B13" s="121" t="str">
        <x:v>Kết quả</x:v>
      </x:c>
      <x:c r="C13" s="121" t="str">
        <x:v>Đơn vị</x:v>
      </x:c>
      <x:c r="D13" s="121" t="str">
        <x:v>Diễn giải</x:v>
      </x:c>
      <x:c r="E13" s="121" t="str">
        <x:v>Công thức</x:v>
      </x:c>
      <x:c r="F13" s="121" t="str">
        <x:v>Kiểm tra</x:v>
      </x:c>
      <x:c r="G13" s="121" t="str">
        <x:v>Nguồn</x:v>
      </x:c>
      <x:c r="H13" s="121" t="str">
        <x:v>Trạng thái</x:v>
      </x:c>
    </x:row>
    <x:row r="14">
      <x:c r="A14" s="20" t="str">
        <x:v>Rb</x:v>
      </x:c>
      <x:c r="B14" s="127" t="n">
        <x:f>INDEX('02_VAT_LIEU'!B4:B22,MATCH(B4,'02_VAT_LIEU'!A4:A22,0))</x:f>
        <x:v>17</x:v>
      </x:c>
      <x:c r="C14" s="20"/>
      <x:c r="D14" s="20"/>
      <x:c r="E14" s="20"/>
      <x:c r="F14" s="20"/>
      <x:c r="G14" s="20" t="str">
        <x:v>Bảng 7</x:v>
      </x:c>
      <x:c r="H14" s="20"/>
    </x:row>
    <x:row r="15">
      <x:c r="A15" s="20" t="str">
        <x:v>Rbt</x:v>
      </x:c>
      <x:c r="B15" s="127" t="n">
        <x:f>INDEX('02_VAT_LIEU'!C4:C22,MATCH(B4,'02_VAT_LIEU'!A4:A22,0))</x:f>
        <x:v>1.15</x:v>
      </x:c>
      <x:c r="C15" s="20"/>
      <x:c r="D15" s="20"/>
      <x:c r="E15" s="20"/>
      <x:c r="F15" s="20"/>
      <x:c r="G15" s="20" t="str">
        <x:v>Bảng 7</x:v>
      </x:c>
      <x:c r="H15" s="20"/>
    </x:row>
    <x:row r="16">
      <x:c r="A16" s="20" t="str">
        <x:v>Eb</x:v>
      </x:c>
      <x:c r="B16" s="127" t="n">
        <x:f>INDEX('02_VAT_LIEU'!D4:D22,MATCH(B4,'02_VAT_LIEU'!A4:A22,0))</x:f>
        <x:v>32500</x:v>
      </x:c>
      <x:c r="C16" s="20"/>
      <x:c r="D16" s="20"/>
      <x:c r="E16" s="20"/>
      <x:c r="F16" s="20"/>
      <x:c r="G16" s="20" t="str">
        <x:v>Bảng 10</x:v>
      </x:c>
      <x:c r="H16" s="20"/>
    </x:row>
    <x:row r="17">
      <x:c r="A17" s="20" t="str">
        <x:v>L1/h0</x:v>
      </x:c>
      <x:c r="B17" s="127" t="n">
        <x:f>B7/B6</x:f>
        <x:v>0.6</x:v>
      </x:c>
      <x:c r="C17" s="20"/>
      <x:c r="D17" s="20"/>
      <x:c r="E17" s="20"/>
      <x:c r="F17" s="20"/>
      <x:c r="G17" s="20" t="str">
        <x:v>Phụ lục H</x:v>
      </x:c>
      <x:c r="H17" s="20"/>
    </x:row>
    <x:row r="18">
      <x:c r="A18" s="20" t="str">
        <x:v>sinθ</x:v>
      </x:c>
      <x:c r="B18" s="127" t="n">
        <x:f>B6/SQRT(B6^2+B7^2)</x:f>
        <x:v>0.8574929257125442</x:v>
      </x:c>
      <x:c r="C18" s="20"/>
      <x:c r="D18" s="20"/>
      <x:c r="E18" s="20"/>
      <x:c r="F18" s="20"/>
      <x:c r="G18" s="20" t="str">
        <x:v>H.1</x:v>
      </x:c>
      <x:c r="H18" s="20"/>
    </x:row>
    <x:row r="19">
      <x:c r="A19" s="20" t="str">
        <x:v>α</x:v>
      </x:c>
      <x:c r="B19" s="127" t="n">
        <x:f>200000/B16</x:f>
        <x:v>6.153846153846154</x:v>
      </x:c>
      <x:c r="C19" s="20"/>
      <x:c r="D19" s="20"/>
      <x:c r="E19" s="20"/>
      <x:c r="F19" s="20"/>
      <x:c r="G19" s="20" t="str">
        <x:v>H.1</x:v>
      </x:c>
      <x:c r="H19" s="20"/>
    </x:row>
    <x:row r="20">
      <x:c r="A20" s="20" t="str">
        <x:v>μw</x:v>
      </x:c>
      <x:c r="B20" s="127" t="n">
        <x:f>B10/(B5*B11)</x:f>
        <x:v>0.003488888888888889</x:v>
      </x:c>
      <x:c r="C20" s="20"/>
      <x:c r="D20" s="20"/>
      <x:c r="E20" s="20"/>
      <x:c r="F20" s="20"/>
      <x:c r="G20" s="20" t="str">
        <x:v>H.1</x:v>
      </x:c>
      <x:c r="H20" s="20"/>
    </x:row>
    <x:row r="21">
      <x:c r="A21" s="20" t="str">
        <x:v>Qbase</x:v>
      </x:c>
      <x:c r="B21" s="127" t="n">
        <x:f>0.8*B14*B5*B8*B18^2*(1+5*B19*B20)/1000</x:f>
        <x:v>664.4102564102565</x:v>
      </x:c>
      <x:c r="C21" s="20"/>
      <x:c r="D21" s="20"/>
      <x:c r="E21" s="20"/>
      <x:c r="F21" s="20"/>
      <x:c r="G21" s="20" t="str">
        <x:v>H.1</x:v>
      </x:c>
      <x:c r="H21" s="20"/>
    </x:row>
    <x:row r="22">
      <x:c r="A22" s="20" t="str">
        <x:v>Qmin-bound</x:v>
      </x:c>
      <x:c r="B22" s="127" t="n">
        <x:f>2.5*B15*B5*B6/1000</x:f>
        <x:v>431.25</x:v>
      </x:c>
      <x:c r="C22" s="20"/>
      <x:c r="D22" s="20"/>
      <x:c r="E22" s="20"/>
      <x:c r="F22" s="20"/>
      <x:c r="G22" s="20" t="str">
        <x:v>H.1</x:v>
      </x:c>
      <x:c r="H22" s="20"/>
    </x:row>
    <x:row r="23">
      <x:c r="A23" s="20" t="str">
        <x:v>Qmax-bound</x:v>
      </x:c>
      <x:c r="B23" s="127" t="n">
        <x:f>3.5*B15*B5*B6/1000</x:f>
        <x:v>603.7499999999999</x:v>
      </x:c>
      <x:c r="C23" s="20"/>
      <x:c r="D23" s="20"/>
      <x:c r="E23" s="20"/>
      <x:c r="F23" s="20"/>
      <x:c r="G23" s="20" t="str">
        <x:v>H.1</x:v>
      </x:c>
      <x:c r="H23" s="20"/>
    </x:row>
    <x:row r="24">
      <x:c r="A24" s="20" t="str">
        <x:v>Qu</x:v>
      </x:c>
      <x:c r="B24" s="127" t="n">
        <x:f>IF(B17&lt;=0.9,MAX(B22,MIN(B23,B21)),NA())</x:f>
        <x:v>603.7499999999999</x:v>
      </x:c>
      <x:c r="C24" s="20"/>
      <x:c r="D24" s="20"/>
      <x:c r="E24" s="20"/>
      <x:c r="F24" s="20"/>
      <x:c r="G24" s="20" t="str">
        <x:v>H.1</x:v>
      </x:c>
      <x:c r="H24" s="20"/>
    </x:row>
    <x:row r="25">
      <x:c r="A25" s="20" t="str">
        <x:v>Q/Qu</x:v>
      </x:c>
      <x:c r="B25" s="127" t="n">
        <x:f>IF(B17&lt;=0.9,B9/B24,NA())</x:f>
        <x:v>0.3312629399585922</x:v>
      </x:c>
      <x:c r="C25" s="20"/>
      <x:c r="D25" s="20"/>
      <x:c r="E25" s="20"/>
      <x:c r="F25" s="20"/>
      <x:c r="G25" s="20" t="str">
        <x:v>H.1</x:v>
      </x:c>
      <x:c r="H25" s="20"/>
    </x:row>
    <x:row r="26">
      <x:c r="A26" s="20" t="str">
        <x:v>Kết luận</x:v>
      </x:c>
      <x:c r="B26" s="127" t="str">
        <x:f>IF(NOT(ISNUMBER(B25)),"NGOÀI PHẠM VI",IF(B25&lt;=1,"ĐẠT","KHÔNG ĐẠT"))</x:f>
        <x:v>ĐẠT</x:v>
      </x:c>
      <x:c r="C26" s="20"/>
      <x:c r="D26" s="20"/>
      <x:c r="E26" s="20"/>
      <x:c r="F26" s="20"/>
      <x:c r="G26" s="20" t="str">
        <x:v>H.1 + kiểm bổ sung</x:v>
      </x:c>
      <x:c r="H26" s="20"/>
    </x:row>
    <x:row r="27">
      <x:c r="A27" s="20"/>
      <x:c r="B27" s="20"/>
      <x:c r="C27" s="20"/>
      <x:c r="D27" s="20"/>
      <x:c r="E27" s="20"/>
      <x:c r="F27" s="20"/>
      <x:c r="G27" s="20"/>
      <x:c r="H27" s="20"/>
    </x:row>
    <x:row r="28">
      <x:c r="A28" s="20"/>
      <x:c r="B28" s="20"/>
      <x:c r="C28" s="20"/>
      <x:c r="D28" s="20"/>
      <x:c r="E28" s="20"/>
      <x:c r="F28" s="20"/>
      <x:c r="G28" s="20"/>
      <x:c r="H28" s="20"/>
    </x:row>
    <x:row r="29">
      <x:c r="A29" s="20"/>
      <x:c r="B29" s="20"/>
      <x:c r="C29" s="20"/>
      <x:c r="D29" s="20"/>
      <x:c r="E29" s="20"/>
      <x:c r="F29" s="20"/>
      <x:c r="G29" s="20"/>
      <x:c r="H29" s="20"/>
    </x:row>
    <x:row r="30">
      <x:c r="A30" s="20"/>
      <x:c r="B30" s="20"/>
      <x:c r="C30" s="20"/>
      <x:c r="D30" s="20"/>
      <x:c r="E30" s="20"/>
      <x:c r="F30" s="20"/>
      <x:c r="G30" s="20"/>
      <x:c r="H30" s="20"/>
    </x:row>
  </x:sheetData>
  <x:mergeCells>
    <x:mergeCell ref="A1:H1"/>
  </x:mergeCells>
  <x:conditionalFormatting sqref="B25:B25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{6B3668D1-A2A4-42F9-0CBB-6106EB70C5EF}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B3668D1-A2A4-42F9-0CBB-6106EB70C5EF}">
            <x14:dataBar gradient="1">
              <x14:cfvo type="min"/>
              <x14:cfvo type="max"/>
              <x14:fillColor rgb="FFA02B93"/>
            </x14:dataBar>
          </x14:cfRule>
          <xm:sqref>B25:B25</xm:sqref>
        </x14:conditionalFormatting>
      </x14:conditionalFormattings>
    </x:ext>
  </x:extLst>
</x:worksheet>
</file>

<file path=xl/worksheets/sheet2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3" hidden="0" customWidth="1"/>
    <x:col min="4" max="4" width="54" hidden="0" customWidth="1"/>
    <x:col min="5" max="5" width="50" hidden="0" customWidth="1"/>
    <x:col min="6" max="6" width="24" hidden="0" customWidth="1"/>
    <x:col min="7" max="7" width="28" hidden="0" customWidth="1"/>
    <x:col min="8" max="8" width="16" hidden="0" customWidth="1"/>
  </x:cols>
  <x:sheetData>
    <x:row r="1">
      <x:c r="A1" s="118" t="str">
        <x:v>20 · PHỤ LỤC G – CHỐT BÊ TÔNG · G.1–G.3</x:v>
      </x:c>
      <x:c r="B1" s="118"/>
      <x:c r="C1" s="118"/>
      <x:c r="D1" s="118"/>
      <x:c r="E1" s="118"/>
      <x:c r="F1" s="118"/>
      <x:c r="G1" s="118"/>
      <x:c r="H1" s="118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>
      <x:c r="A3" s="121" t="str">
        <x:v>Thông số</x:v>
      </x:c>
      <x:c r="B3" s="121" t="str">
        <x:v>Giá trị</x:v>
      </x:c>
      <x:c r="C3" s="121" t="str">
        <x:v>Đơn vị</x:v>
      </x:c>
      <x:c r="D3" s="121" t="str">
        <x:v>Giải thích</x:v>
      </x:c>
      <x:c r="E3" s="121" t="str">
        <x:v>Logic</x:v>
      </x:c>
      <x:c r="F3" s="121" t="str">
        <x:v>Kiểm tra</x:v>
      </x:c>
      <x:c r="G3" s="121" t="str">
        <x:v>Nguồn</x:v>
      </x:c>
      <x:c r="H3" s="121" t="str">
        <x:v>Trạng thái</x:v>
      </x:c>
    </x:row>
    <x:row r="4">
      <x:c r="A4" s="20" t="str">
        <x:v>Bê tông</x:v>
      </x:c>
      <x:c r="B4" s="126" t="str">
        <x:v>B30</x:v>
      </x:c>
      <x:c r="C4" s="20" t="str">
        <x:v>-</x:v>
      </x:c>
      <x:c r="D4" s="20" t="str">
        <x:v>Tra Rb/Rbt</x:v>
      </x:c>
      <x:c r="E4" s="20" t="str">
        <x:v>Bảng 7</x:v>
      </x:c>
      <x:c r="F4" s="20" t="str"/>
      <x:c r="G4" s="20" t="str"/>
      <x:c r="H4" s="20" t="str">
        <x:v>INPUT</x:v>
      </x:c>
    </x:row>
    <x:row r="5">
      <x:c r="A5" s="20" t="str">
        <x:v>Q</x:v>
      </x:c>
      <x:c r="B5" s="126" t="n">
        <x:v>200</x:v>
      </x:c>
      <x:c r="C5" s="20" t="str">
        <x:v>kN</x:v>
      </x:c>
      <x:c r="D5" s="20" t="str">
        <x:v>Lực trượt</x:v>
      </x:c>
      <x:c r="E5" s="20" t="str">
        <x:v>INPUT</x:v>
      </x:c>
      <x:c r="F5" s="20" t="str"/>
      <x:c r="G5" s="20" t="str"/>
      <x:c r="H5" s="20" t="str">
        <x:v>INPUT</x:v>
      </x:c>
    </x:row>
    <x:row r="6">
      <x:c r="A6" s="20" t="str">
        <x:v>Lk</x:v>
      </x:c>
      <x:c r="B6" s="126" t="n">
        <x:v>300</x:v>
      </x:c>
      <x:c r="C6" s="20" t="str">
        <x:v>mm</x:v>
      </x:c>
      <x:c r="D6" s="20" t="str">
        <x:v>Chiều dài chốt</x:v>
      </x:c>
      <x:c r="E6" s="20" t="str">
        <x:v>INPUT</x:v>
      </x:c>
      <x:c r="F6" s="20" t="str"/>
      <x:c r="G6" s="20" t="str"/>
      <x:c r="H6" s="20" t="str">
        <x:v>INPUT</x:v>
      </x:c>
    </x:row>
    <x:row r="7">
      <x:c r="A7" s="20" t="str">
        <x:v>nk</x:v>
      </x:c>
      <x:c r="B7" s="126" t="n">
        <x:v>2</x:v>
      </x:c>
      <x:c r="C7" s="20" t="str">
        <x:v>-</x:v>
      </x:c>
      <x:c r="D7" s="20" t="str">
        <x:v>Số chốt đưa vào tính</x:v>
      </x:c>
      <x:c r="E7" s="20" t="str">
        <x:v>INPUT</x:v>
      </x:c>
      <x:c r="F7" s="20" t="str">
        <x:v>1…3</x:v>
      </x:c>
      <x:c r="G7" s="20" t="str"/>
      <x:c r="H7" s="20" t="str">
        <x:v>INPUT</x:v>
      </x:c>
    </x:row>
    <x:row r="8">
      <x:c r="A8" s="20" t="str">
        <x:v>N</x:v>
      </x:c>
      <x:c r="B8" s="126" t="n">
        <x:v>50</x:v>
      </x:c>
      <x:c r="C8" s="20" t="str">
        <x:v>kN</x:v>
      </x:c>
      <x:c r="D8" s="20" t="str">
        <x:v>Lực nén đồng thời; 0 → G.2</x:v>
      </x:c>
      <x:c r="E8" s="20" t="str">
        <x:v>INPUT</x:v>
      </x:c>
      <x:c r="F8" s="20" t="str"/>
      <x:c r="G8" s="20" t="str"/>
      <x:c r="H8" s="20" t="str">
        <x:v>INPUT</x:v>
      </x:c>
    </x:row>
    <x:row r="9">
      <x:c r="A9" s="20"/>
      <x:c r="B9" s="20"/>
      <x:c r="C9" s="20"/>
      <x:c r="D9" s="20"/>
      <x:c r="E9" s="20"/>
      <x:c r="F9" s="20"/>
      <x:c r="G9" s="20"/>
      <x:c r="H9" s="20"/>
    </x:row>
    <x:row r="10">
      <x:c r="A10" s="121" t="str">
        <x:v>Bước</x:v>
      </x:c>
      <x:c r="B10" s="121" t="str">
        <x:v>Kết quả</x:v>
      </x:c>
      <x:c r="C10" s="121" t="str">
        <x:v>Đơn vị</x:v>
      </x:c>
      <x:c r="D10" s="121" t="str">
        <x:v>Diễn giải</x:v>
      </x:c>
      <x:c r="E10" s="121" t="str">
        <x:v>Công thức</x:v>
      </x:c>
      <x:c r="F10" s="121" t="str">
        <x:v>Kiểm tra</x:v>
      </x:c>
      <x:c r="G10" s="121" t="str">
        <x:v>Nguồn</x:v>
      </x:c>
      <x:c r="H10" s="121" t="str">
        <x:v>Trạng thái</x:v>
      </x:c>
    </x:row>
    <x:row r="11">
      <x:c r="A11" s="20" t="str">
        <x:v>Rb</x:v>
      </x:c>
      <x:c r="B11" s="127" t="n">
        <x:f>INDEX('02_VAT_LIEU'!B4:B22,MATCH(B4,'02_VAT_LIEU'!A4:A22,0))</x:f>
        <x:v>17</x:v>
      </x:c>
      <x:c r="C11" s="20"/>
      <x:c r="D11" s="20"/>
      <x:c r="E11" s="20"/>
      <x:c r="F11" s="20"/>
      <x:c r="G11" s="20" t="str">
        <x:v>Bảng 7</x:v>
      </x:c>
      <x:c r="H11" s="20"/>
    </x:row>
    <x:row r="12">
      <x:c r="A12" s="20" t="str">
        <x:v>Rbt</x:v>
      </x:c>
      <x:c r="B12" s="127" t="n">
        <x:f>INDEX('02_VAT_LIEU'!C4:C22,MATCH(B4,'02_VAT_LIEU'!A4:A22,0))</x:f>
        <x:v>1.15</x:v>
      </x:c>
      <x:c r="C12" s="20"/>
      <x:c r="D12" s="20"/>
      <x:c r="E12" s="20"/>
      <x:c r="F12" s="20"/>
      <x:c r="G12" s="20" t="str">
        <x:v>Bảng 7</x:v>
      </x:c>
      <x:c r="H12" s="20"/>
    </x:row>
    <x:row r="13">
      <x:c r="A13" s="20" t="str">
        <x:v>Gate nk</x:v>
      </x:c>
      <x:c r="B13" s="127" t="n">
        <x:f>IF(AND(B7&gt;=1,B7&lt;=3),1,0)</x:f>
        <x:v>1</x:v>
      </x:c>
      <x:c r="C13" s="20"/>
      <x:c r="D13" s="20"/>
      <x:c r="E13" s="20"/>
      <x:c r="F13" s="20"/>
      <x:c r="G13" s="20" t="str">
        <x:v>G.1</x:v>
      </x:c>
      <x:c r="H13" s="20"/>
    </x:row>
    <x:row r="14">
      <x:c r="A14" s="20" t="str">
        <x:v>tk,min</x:v>
      </x:c>
      <x:c r="B14" s="127" t="n">
        <x:f>IF(B13=1,B5*1000/(B11*B6*B7),NA())</x:f>
        <x:v>19.607843137254903</x:v>
      </x:c>
      <x:c r="C14" s="20"/>
      <x:c r="D14" s="20"/>
      <x:c r="E14" s="20"/>
      <x:c r="F14" s="20"/>
      <x:c r="G14" s="20" t="str">
        <x:v>G.1</x:v>
      </x:c>
      <x:c r="H14" s="20"/>
    </x:row>
    <x:row r="15">
      <x:c r="A15" s="20" t="str">
        <x:v>hk,G2</x:v>
      </x:c>
      <x:c r="B15" s="127" t="n">
        <x:f>IF(B13=1,B5*1000/(2*B12*B6*B7),NA())</x:f>
        <x:v>144.92753623188406</x:v>
      </x:c>
      <x:c r="C15" s="20"/>
      <x:c r="D15" s="20"/>
      <x:c r="E15" s="20"/>
      <x:c r="F15" s="20"/>
      <x:c r="G15" s="20" t="str">
        <x:v>G.2</x:v>
      </x:c>
      <x:c r="H15" s="20"/>
    </x:row>
    <x:row r="16">
      <x:c r="A16" s="20" t="str">
        <x:v>hk,G3</x:v>
      </x:c>
      <x:c r="B16" s="127" t="n">
        <x:f>IF(AND(B13=1,B8&gt;0),(B5*1000-0.7*B8*1000)/(2*B12*B6*B7),B15)</x:f>
        <x:v>119.56521739130434</x:v>
      </x:c>
      <x:c r="C16" s="20"/>
      <x:c r="D16" s="20"/>
      <x:c r="E16" s="20"/>
      <x:c r="F16" s="20"/>
      <x:c r="G16" s="20" t="str">
        <x:v>G.3</x:v>
      </x:c>
      <x:c r="H16" s="20"/>
    </x:row>
    <x:row r="17">
      <x:c r="A17" s="20" t="str">
        <x:v>hk,min</x:v>
      </x:c>
      <x:c r="B17" s="128" t="n">
        <x:f>IF(B13=1,IF(B8&gt;0,MAX(B15/2,B16),B15),NA())</x:f>
        <x:v>119.56521739130434</x:v>
      </x:c>
      <x:c r="C17" s="20"/>
      <x:c r="D17" s="20"/>
      <x:c r="E17" s="20"/>
      <x:c r="F17" s="20"/>
      <x:c r="G17" s="20" t="str">
        <x:v>G.2/G.3</x:v>
      </x:c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  <x:row r="21">
      <x:c r="A21" s="20"/>
      <x:c r="B21" s="20"/>
      <x:c r="C21" s="20"/>
      <x:c r="D21" s="20"/>
      <x:c r="E21" s="20"/>
      <x:c r="F21" s="20"/>
      <x:c r="G21" s="20"/>
      <x:c r="H21" s="20"/>
    </x:row>
    <x:row r="22">
      <x:c r="A22" s="20"/>
      <x:c r="B22" s="20"/>
      <x:c r="C22" s="20"/>
      <x:c r="D22" s="20"/>
      <x:c r="E22" s="20"/>
      <x:c r="F22" s="20"/>
      <x:c r="G22" s="20"/>
      <x:c r="H22" s="20"/>
    </x:row>
  </x:sheetData>
  <x:mergeCells>
    <x:mergeCell ref="A1:H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4" hidden="0" customWidth="1"/>
    <x:col min="3" max="3" width="18" hidden="0" customWidth="1"/>
    <x:col min="4" max="4" width="22" hidden="0" customWidth="1"/>
    <x:col min="5" max="5" width="16" hidden="0" customWidth="1"/>
    <x:col min="6" max="6" width="14" hidden="0" customWidth="1"/>
    <x:col min="7" max="7" width="14" hidden="0" customWidth="1"/>
    <x:col min="8" max="8" width="58" hidden="0" customWidth="1"/>
  </x:cols>
  <x:sheetData>
    <x:row r="1">
      <x:c r="A1" s="118" t="str">
        <x:v>21 · PHỤ LỤC TCVN 5574 – TRẠNG THÁI MÁY</x:v>
      </x:c>
      <x:c r="B1" s="118"/>
      <x:c r="C1" s="118"/>
      <x:c r="D1" s="118"/>
      <x:c r="E1" s="118"/>
      <x:c r="F1" s="118"/>
      <x:c r="G1" s="118"/>
      <x:c r="H1" s="118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>
      <x:c r="A3" s="121" t="str">
        <x:v>Phụ lục</x:v>
      </x:c>
      <x:c r="B3" s="121" t="str">
        <x:v>Tên</x:v>
      </x:c>
      <x:c r="C3" s="121" t="str">
        <x:v>Loại</x:v>
      </x:c>
      <x:c r="D3" s="121" t="str">
        <x:v>Trạng thái v1.21</x:v>
      </x:c>
      <x:c r="E3" s="121" t="str">
        <x:v>Numeric auto?</x:v>
      </x:c>
      <x:c r="F3" s="121" t="str">
        <x:v>Trang chuẩn</x:v>
      </x:c>
      <x:c r="G3" s="121" t="str">
        <x:v>Trang PDF</x:v>
      </x:c>
      <x:c r="H3" s="121" t="str">
        <x:v>Ghi chú</x:v>
      </x:c>
    </x:row>
    <x:row r="4">
      <x:c r="A4" s="20" t="str">
        <x:v>A</x:v>
      </x:c>
      <x:c r="B4" s="20" t="str">
        <x:v>Quan hệ cường độ chịu nén bê tông</x:v>
      </x:c>
      <x:c r="C4" s="20" t="str">
        <x:v>Quy định</x:v>
      </x:c>
      <x:c r="D4" s="20" t="str">
        <x:v>INDEXED</x:v>
      </x:c>
      <x:c r="E4" s="20" t="str">
        <x:v>Không</x:v>
      </x:c>
      <x:c r="F4" s="20" t="n">
        <x:v>149</x:v>
      </x:c>
      <x:c r="G4" s="20" t="n">
        <x:v>147</x:v>
      </x:c>
      <x:c r="H4" s="20" t="str">
        <x:v>Dùng tra cứu/nguồn; chưa tạo workflow riêng.</x:v>
      </x:c>
    </x:row>
    <x:row r="5">
      <x:c r="A5" s="20" t="str">
        <x:v>B</x:v>
      </x:c>
      <x:c r="B5" s="20" t="str">
        <x:v>Biểu đồ biến dạng bê tông</x:v>
      </x:c>
      <x:c r="C5" s="20" t="str">
        <x:v>Tham khảo</x:v>
      </x:c>
      <x:c r="D5" s="20" t="str">
        <x:v>INDEXED</x:v>
      </x:c>
      <x:c r="E5" s="20" t="str">
        <x:v>Không</x:v>
      </x:c>
      <x:c r="F5" s="20" t="n">
        <x:v>150</x:v>
      </x:c>
      <x:c r="G5" s="20" t="n">
        <x:v>148</x:v>
      </x:c>
      <x:c r="H5" s="20" t="str">
        <x:v>Mô hình tham khảo.</x:v>
      </x:c>
    </x:row>
    <x:row r="6">
      <x:c r="A6" s="20" t="str">
        <x:v>C</x:v>
      </x:c>
      <x:c r="B6" s="20" t="str">
        <x:v>Hướng dẫn một số loại cốt thép</x:v>
      </x:c>
      <x:c r="C6" s="20" t="str">
        <x:v>Tham khảo</x:v>
      </x:c>
      <x:c r="D6" s="20" t="str">
        <x:v>INDEXED</x:v>
      </x:c>
      <x:c r="E6" s="20" t="str">
        <x:v>Không</x:v>
      </x:c>
      <x:c r="F6" s="20" t="n">
        <x:v>154</x:v>
      </x:c>
      <x:c r="G6" s="20" t="n">
        <x:v>152</x:v>
      </x:c>
      <x:c r="H6" s="20" t="str">
        <x:v>Dữ liệu hướng dẫn.</x:v>
      </x:c>
    </x:row>
    <x:row r="7">
      <x:c r="A7" s="20" t="str">
        <x:v>D</x:v>
      </x:c>
      <x:c r="B7" s="20" t="str">
        <x:v>Chi tiết đặt sẵn</x:v>
      </x:c>
      <x:c r="C7" s="20" t="str">
        <x:v>Tham khảo</x:v>
      </x:c>
      <x:c r="D7" s="20" t="str">
        <x:v>REVIEW</x:v>
      </x:c>
      <x:c r="E7" s="20" t="str">
        <x:v>Không</x:v>
      </x:c>
      <x:c r="F7" s="20" t="n">
        <x:v>160</x:v>
      </x:c>
      <x:c r="G7" s="20" t="n">
        <x:v>158</x:v>
      </x:c>
      <x:c r="H7" s="20" t="str">
        <x:v>Có công thức số nhưng chưa benchmark đầy đủ.</x:v>
      </x:c>
    </x:row>
    <x:row r="8">
      <x:c r="A8" s="20" t="str">
        <x:v>E</x:v>
      </x:c>
      <x:c r="B8" s="20" t="str">
        <x:v>Tính toán hệ kết cấu</x:v>
      </x:c>
      <x:c r="C8" s="20" t="str">
        <x:v>Tham khảo</x:v>
      </x:c>
      <x:c r="D8" s="20" t="str">
        <x:v>VERIFIED_METHOD</x:v>
      </x:c>
      <x:c r="E8" s="20" t="str">
        <x:v>Không</x:v>
      </x:c>
      <x:c r="F8" s="20" t="n">
        <x:v>163</x:v>
      </x:c>
      <x:c r="G8" s="20" t="n">
        <x:v>161</x:v>
      </x:c>
      <x:c r="H8" s="20" t="str">
        <x:v>Phần tử hữu hạn cần phần mềm chuyên dụng; không giả numeric.</x:v>
      </x:c>
    </x:row>
    <x:row r="9">
      <x:c r="A9" s="20" t="str">
        <x:v>F</x:v>
      </x:c>
      <x:c r="B9" s="20" t="str">
        <x:v>Cột vành khuyên và tròn</x:v>
      </x:c>
      <x:c r="C9" s="20" t="str">
        <x:v>Tham khảo</x:v>
      </x:c>
      <x:c r="D9" s="20" t="str">
        <x:v>VERIFIED</x:v>
      </x:c>
      <x:c r="E9" s="20" t="str">
        <x:v>Có</x:v>
      </x:c>
      <x:c r="F9" s="20" t="n">
        <x:v>166</x:v>
      </x:c>
      <x:c r="G9" s="20" t="n">
        <x:v>164</x:v>
      </x:c>
      <x:c r="H9" s="20" t="str">
        <x:v>F.1–F.10; benchmark hai dạng, F.9/F.10 giải lặp hội tụ.</x:v>
      </x:c>
    </x:row>
    <x:row r="10">
      <x:c r="A10" s="20" t="str">
        <x:v>G</x:v>
      </x:c>
      <x:c r="B10" s="20" t="str">
        <x:v>Chốt bê tông</x:v>
      </x:c>
      <x:c r="C10" s="20" t="str">
        <x:v>Tham khảo</x:v>
      </x:c>
      <x:c r="D10" s="20" t="str">
        <x:v>VERIFIED</x:v>
      </x:c>
      <x:c r="E10" s="20" t="str">
        <x:v>Có</x:v>
      </x:c>
      <x:c r="F10" s="20" t="n">
        <x:v>169</x:v>
      </x:c>
      <x:c r="G10" s="20" t="n">
        <x:v>167</x:v>
      </x:c>
      <x:c r="H10" s="20" t="str">
        <x:v>G.1–G.3.</x:v>
      </x:c>
    </x:row>
    <x:row r="11">
      <x:c r="A11" s="20" t="str">
        <x:v>H</x:v>
      </x:c>
      <x:c r="B11" s="20" t="str">
        <x:v>Công xôn ngắn</x:v>
      </x:c>
      <x:c r="C11" s="20" t="str">
        <x:v>Tham khảo</x:v>
      </x:c>
      <x:c r="D11" s="20" t="str">
        <x:v>VERIFIED BRANCH</x:v>
      </x:c>
      <x:c r="E11" s="20" t="str">
        <x:v>Có</x:v>
      </x:c>
      <x:c r="F11" s="20" t="n">
        <x:v>171</x:v>
      </x:c>
      <x:c r="G11" s="20" t="n">
        <x:v>169</x:v>
      </x:c>
      <x:c r="H11" s="20" t="str">
        <x:v>H.1 + safety gate; kiểm Rb,loc/cấu tạo riêng.</x:v>
      </x:c>
    </x:row>
    <x:row r="12">
      <x:c r="A12" s="20" t="str">
        <x:v>I</x:v>
      </x:c>
      <x:c r="B12" s="20" t="str">
        <x:v>Kết cấu bán lắp ghép</x:v>
      </x:c>
      <x:c r="C12" s="20" t="str">
        <x:v>Tham khảo</x:v>
      </x:c>
      <x:c r="D12" s="20" t="str">
        <x:v>INDEXED</x:v>
      </x:c>
      <x:c r="E12" s="20" t="str">
        <x:v>Không</x:v>
      </x:c>
      <x:c r="F12" s="20" t="n">
        <x:v>174</x:v>
      </x:c>
      <x:c r="G12" s="20" t="n">
        <x:v>172</x:v>
      </x:c>
      <x:c r="H12" s="20" t="str">
        <x:v>Tra cứu.</x:v>
      </x:c>
    </x:row>
    <x:row r="13">
      <x:c r="A13" s="20" t="str">
        <x:v>K</x:v>
      </x:c>
      <x:c r="B13" s="20" t="str">
        <x:v>Cốt thép hạn chế biến dạng ngang</x:v>
      </x:c>
      <x:c r="C13" s="20" t="str">
        <x:v>Tham khảo</x:v>
      </x:c>
      <x:c r="D13" s="20" t="str">
        <x:v>INDEXED</x:v>
      </x:c>
      <x:c r="E13" s="20" t="str">
        <x:v>Không</x:v>
      </x:c>
      <x:c r="F13" s="20" t="n">
        <x:v>177</x:v>
      </x:c>
      <x:c r="G13" s="20" t="n">
        <x:v>175</x:v>
      </x:c>
      <x:c r="H13" s="20" t="str">
        <x:v>Mô hình phi tuyến.</x:v>
      </x:c>
    </x:row>
    <x:row r="14">
      <x:c r="A14" s="20" t="str">
        <x:v>L</x:v>
      </x:c>
      <x:c r="B14" s="20" t="str">
        <x:v>Hệ số mô men kháng uốn đàn dẻo</x:v>
      </x:c>
      <x:c r="C14" s="20" t="str">
        <x:v>Quy định</x:v>
      </x:c>
      <x:c r="D14" s="20" t="str">
        <x:v>INDEXED</x:v>
      </x:c>
      <x:c r="E14" s="20" t="str">
        <x:v>Không</x:v>
      </x:c>
      <x:c r="F14" s="20" t="n">
        <x:v>179</x:v>
      </x:c>
      <x:c r="G14" s="20" t="n">
        <x:v>177</x:v>
      </x:c>
      <x:c r="H14" s="20" t="str">
        <x:v>Bảng quy định; sẽ số hóa khi workflow cần.</x:v>
      </x:c>
    </x:row>
    <x:row r="15">
      <x:c r="A15" s="20" t="str">
        <x:v>M</x:v>
      </x:c>
      <x:c r="B15" s="20" t="str">
        <x:v>Độ võng và chuyển vị</x:v>
      </x:c>
      <x:c r="C15" s="20" t="str">
        <x:v>Quy định</x:v>
      </x:c>
      <x:c r="D15" s="20" t="str">
        <x:v>INDEXED</x:v>
      </x:c>
      <x:c r="E15" s="20" t="str">
        <x:v>Không</x:v>
      </x:c>
      <x:c r="F15" s="20" t="n">
        <x:v>181</x:v>
      </x:c>
      <x:c r="G15" s="20" t="n">
        <x:v>179</x:v>
      </x:c>
      <x:c r="H15" s="20" t="str">
        <x:v>Giới hạn/biểu thức theo sơ đồ; dùng đối chiếu SLS.</x:v>
      </x:c>
    </x:row>
    <x:row r="16">
      <x:c r="A16" s="20" t="str">
        <x:v>N</x:v>
      </x:c>
      <x:c r="B16" s="20" t="str">
        <x:v>Nhóm chế độ làm việc cần trục</x:v>
      </x:c>
      <x:c r="C16" s="20" t="str">
        <x:v>Quy định</x:v>
      </x:c>
      <x:c r="D16" s="20" t="str">
        <x:v>INDEXED</x:v>
      </x:c>
      <x:c r="E16" s="20" t="str">
        <x:v>Không</x:v>
      </x:c>
      <x:c r="F16" s="20" t="n">
        <x:v>192</x:v>
      </x:c>
      <x:c r="G16" s="20" t="n">
        <x:v>190</x:v>
      </x:c>
      <x:c r="H16" s="20" t="str">
        <x:v>Dữ liệu phân nhóm.</x:v>
      </x:c>
    </x:row>
    <x:row r="17">
      <x:c r="A17" s="20"/>
      <x:c r="B17" s="20"/>
      <x:c r="C17" s="20"/>
      <x:c r="D17" s="20"/>
      <x:c r="E17" s="20"/>
      <x:c r="F17" s="20"/>
      <x:c r="G17" s="20"/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</x:sheetData>
  <x:mergeCells>
    <x:mergeCell ref="A1:H1"/>
  </x:mergeCells>
  <x:pageMargins left="0.7" right="0.7" top="0.75" bottom="0.75" header="0.3" footer="0.3"/>
</x:worksheet>
</file>