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fb1b992e2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cc5fd8540ac499b"/>
    <x:sheet xmlns:r="http://schemas.openxmlformats.org/officeDocument/2006/relationships" name="LOAD_COMBINATIONS" sheetId="2" r:id="Rafa76677651e44e0"/>
    <x:sheet xmlns:r="http://schemas.openxmlformats.org/officeDocument/2006/relationships" name="PILE_POINTS" sheetId="3" r:id="Raf19a3484af14413"/>
    <x:sheet xmlns:r="http://schemas.openxmlformats.org/officeDocument/2006/relationships" name="REACTION_CALC" sheetId="4" r:id="Re12102f1ccdb46fd"/>
    <x:sheet xmlns:r="http://schemas.openxmlformats.org/officeDocument/2006/relationships" name="SOURCE" sheetId="5" r:id="R8945f265a6c74e5f"/>
    <x:sheet xmlns:r="http://schemas.openxmlformats.org/officeDocument/2006/relationships" name="AUDIT" sheetId="6" r:id="R835232f318524683"/>
    <x:sheet xmlns:r="http://schemas.openxmlformats.org/officeDocument/2006/relationships" name="GOLDEN_CASES" sheetId="7" r:id="R69a543bcf949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78fdf89414299" /><Relationship Type="http://schemas.openxmlformats.org/officeDocument/2006/relationships/theme" Target="/xl/theme/theme1.xml" Id="R699d2ada635147b9" /><Relationship Type="http://schemas.microsoft.com/office/2022/11/relationships/FeaturePropertyBag" Target="/xl/featurePropertyBag/featurePropertyBag.xml" Id="R2b667887cb9d4037" /><Relationship Type="http://schemas.openxmlformats.org/officeDocument/2006/relationships/sharedStrings" Target="/xl/sharedStrings.xml" Id="Rc2f0b39cb0f44641" /><Relationship Type="http://schemas.openxmlformats.org/officeDocument/2006/relationships/worksheet" Target="/xl/worksheets/sheet1.xml" Id="R4cc5fd8540ac499b" /><Relationship Type="http://schemas.openxmlformats.org/officeDocument/2006/relationships/worksheet" Target="/xl/worksheets/sheet2.xml" Id="Rafa76677651e44e0" /><Relationship Type="http://schemas.openxmlformats.org/officeDocument/2006/relationships/worksheet" Target="/xl/worksheets/sheet3.xml" Id="Raf19a3484af14413" /><Relationship Type="http://schemas.openxmlformats.org/officeDocument/2006/relationships/worksheet" Target="/xl/worksheets/sheet4.xml" Id="Re12102f1ccdb46fd" /><Relationship Type="http://schemas.openxmlformats.org/officeDocument/2006/relationships/worksheet" Target="/xl/worksheets/sheet5.xml" Id="R8945f265a6c74e5f" /><Relationship Type="http://schemas.openxmlformats.org/officeDocument/2006/relationships/worksheet" Target="/xl/worksheets/sheet6.xml" Id="R835232f318524683" /><Relationship Type="http://schemas.openxmlformats.org/officeDocument/2006/relationships/worksheet" Target="/xl/worksheets/sheet7.xml" Id="R69a543bcf94942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6.799999237060547" hidden="0" customHeight="1">
      <x:c r="A1" s="28" t="str">
        <x:v>HNL Pile Standards AI v1.25.7 — P1 Pass 4 PileReaction Formula-Only (REVIEW)</x:v>
      </x:c>
      <x:c r="B1" s="28"/>
      <x:c r="C1" s="28"/>
      <x:c r="D1" s="28"/>
      <x:c r="E1" s="28"/>
      <x:c r="F1" s="28"/>
      <x:c r="G1" s="28"/>
      <x:c r="H1" s="28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Status</x:v>
      </x:c>
      <x:c r="B3" s="29" t="str">
        <x:v>REVIEW — NOT LOCKED / NOT XLSM-VERIFIED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Model</x:v>
      </x:c>
      <x:c r="B4" s="29" t="str">
        <x:v>Rigid-cap linear axial reaction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Reaction field</x:v>
      </x:c>
      <x:c r="B5" s="29" t="str">
        <x:v>Ni = a + b·x + c·y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Equilibrium 1</x:v>
      </x:c>
      <x:c r="B6" s="29" t="str">
        <x:v>ΣNi = N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Equilibrium 2</x:v>
      </x:c>
      <x:c r="B7" s="29" t="str">
        <x:v>ΣNi·x = My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Equilibrium 3</x:v>
      </x:c>
      <x:c r="B8" s="29" t="str">
        <x:v>ΣNi·y = Mx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 t="str">
        <x:v>Vx/Vy/T</x:v>
      </x:c>
      <x:c r="B9" s="29" t="str">
        <x:v>Metadata only; not added to axial pile reaction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Tension</x:v>
      </x:c>
      <x:c r="B10" s="29" t="str">
        <x:v>FAIL/BLOCK unless verified tension capacity is supplied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Engine Golden</x:v>
      </x:c>
      <x:c r="B12" s="29" t="str">
        <x:v>24/24 PASS</x:v>
      </x:c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 t="str">
        <x:v>Formula-only error scan</x:v>
      </x:c>
      <x:c r="B13" s="29" t="str">
        <x:v>0 obvious formula errors</x:v>
      </x:c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 t="str">
        <x:v>XLSM TM SCT Coc</x:v>
      </x:c>
      <x:c r="B14" s="29" t="str">
        <x:v>Still BLOCKED: original bytes unavailable</x:v>
      </x:c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 t="str">
        <x:v>Production numeric</x:v>
      </x:c>
      <x:c r="B15" s="29" t="str">
        <x:v>FALSE</x:v>
      </x:c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 t="str">
        <x:v>Promotion rule</x:v>
      </x:c>
      <x:c r="B16" s="29" t="str">
        <x:v>Only after XLSM ↔ Engine ↔ Excel cell-level benchmark</x:v>
      </x:c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combinationId</x:v>
      </x:c>
      <x:c r="B1" s="16" t="str">
        <x:v>combinationName</x:v>
      </x:c>
      <x:c r="C1" s="16" t="str">
        <x:v>N_kN</x:v>
      </x:c>
      <x:c r="D1" s="16" t="str">
        <x:v>Mx_kNm</x:v>
      </x:c>
      <x:c r="E1" s="16" t="str">
        <x:v>My_kNm</x:v>
      </x:c>
      <x:c r="F1" s="16" t="str">
        <x:v>Vx_kN</x:v>
      </x:c>
      <x:c r="G1" s="16" t="str">
        <x:v>Vy_kN</x:v>
      </x:c>
      <x:c r="H1" s="16" t="str">
        <x:v>T_kNm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ULS-1</x:v>
      </x:c>
      <x:c r="B2" s="29" t="str">
        <x:v>Normal compression</x:v>
      </x:c>
      <x:c r="C2" s="29" t="n">
        <x:v>2000</x:v>
      </x:c>
      <x:c r="D2" s="29" t="n">
        <x:v>0</x:v>
      </x:c>
      <x:c r="E2" s="29" t="n">
        <x:v>0</x:v>
      </x:c>
      <x:c r="F2" s="29" t="n">
        <x:v>0</x:v>
      </x:c>
      <x:c r="G2" s="29" t="n">
        <x:v>0</x:v>
      </x:c>
      <x:c r="H2" s="29" t="n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ULS-2</x:v>
      </x:c>
      <x:c r="B3" s="29" t="str">
        <x:v>Mx governs</x:v>
      </x:c>
      <x:c r="C3" s="29" t="n">
        <x:v>1600</x:v>
      </x:c>
      <x:c r="D3" s="29" t="n">
        <x:v>800</x:v>
      </x:c>
      <x:c r="E3" s="29" t="n">
        <x:v>0</x:v>
      </x:c>
      <x:c r="F3" s="29" t="n">
        <x:v>0</x:v>
      </x:c>
      <x:c r="G3" s="29" t="n">
        <x:v>0</x:v>
      </x:c>
      <x:c r="H3" s="29" t="n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ULS-3</x:v>
      </x:c>
      <x:c r="B4" s="29" t="str">
        <x:v>My governs</x:v>
      </x:c>
      <x:c r="C4" s="29" t="n">
        <x:v>1600</x:v>
      </x:c>
      <x:c r="D4" s="29" t="n">
        <x:v>0</x:v>
      </x:c>
      <x:c r="E4" s="29" t="n">
        <x:v>700</x:v>
      </x:c>
      <x:c r="F4" s="29" t="n">
        <x:v>0</x:v>
      </x:c>
      <x:c r="G4" s="29" t="n">
        <x:v>0</x:v>
      </x:c>
      <x:c r="H4" s="29" t="n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ULS-4</x:v>
      </x:c>
      <x:c r="B5" s="29" t="str">
        <x:v>Combined</x:v>
      </x:c>
      <x:c r="C5" s="29" t="n">
        <x:v>1800</x:v>
      </x:c>
      <x:c r="D5" s="29" t="n">
        <x:v>400</x:v>
      </x:c>
      <x:c r="E5" s="29" t="n">
        <x:v>300</x:v>
      </x:c>
      <x:c r="F5" s="29" t="n">
        <x:v>50</x:v>
      </x:c>
      <x:c r="G5" s="29" t="n">
        <x:v>30</x:v>
      </x:c>
      <x:c r="H5" s="29" t="n">
        <x:v>10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ULS-5</x:v>
      </x:c>
      <x:c r="B6" s="29" t="str">
        <x:v>Uplift tendency</x:v>
      </x:c>
      <x:c r="C6" s="29" t="n">
        <x:v>200</x:v>
      </x:c>
      <x:c r="D6" s="29" t="n">
        <x:v>1200</x:v>
      </x:c>
      <x:c r="E6" s="29" t="n">
        <x:v>0</x:v>
      </x:c>
      <x:c r="F6" s="29" t="n">
        <x:v>0</x:v>
      </x:c>
      <x:c r="G6" s="29" t="n">
        <x:v>0</x:v>
      </x:c>
      <x:c r="H6" s="29" t="n">
        <x:v>0</x:v>
      </x:c>
      <x:c r="I6" s="29" t="str">
        <x:v>ACTIVE</x:v>
      </x:c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pileId</x:v>
      </x:c>
      <x:c r="B1" s="16" t="str">
        <x:v>x_m</x:v>
      </x:c>
      <x:c r="C1" s="16" t="str">
        <x:v>y_m</x:v>
      </x:c>
      <x:c r="D1" s="16" t="str">
        <x:v>compressionCapacity_kN</x:v>
      </x:c>
      <x:c r="E1" s="16" t="str">
        <x:v>tensionCapacity_kN</x:v>
      </x:c>
      <x:c r="F1" s="16" t="str">
        <x:v>sourceBorehole</x:v>
      </x:c>
      <x:c r="G1" s="16" t="str">
        <x:v>method</x:v>
      </x:c>
      <x:c r="H1" s="16" t="str">
        <x:v>materialGoverning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P1</x:v>
      </x:c>
      <x:c r="B2" s="29" t="n">
        <x:v>-1</x:v>
      </x:c>
      <x:c r="C2" s="29" t="n">
        <x:v>-1</x:v>
      </x:c>
      <x:c r="D2" s="29" t="n">
        <x:v>800</x:v>
      </x:c>
      <x:c r="E2" s="29" t="n">
        <x:v>0</x:v>
      </x:c>
      <x:c r="F2" s="29" t="str">
        <x:v>HK1</x:v>
      </x:c>
      <x:c r="G2" s="29" t="str">
        <x:v>SPT</x:v>
      </x:c>
      <x:c r="H2" s="32" t="b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P2</x:v>
      </x:c>
      <x:c r="B3" s="29" t="n">
        <x:v>1</x:v>
      </x:c>
      <x:c r="C3" s="29" t="n">
        <x:v>-1</x:v>
      </x:c>
      <x:c r="D3" s="29" t="n">
        <x:v>800</x:v>
      </x:c>
      <x:c r="E3" s="29" t="n">
        <x:v>0</x:v>
      </x:c>
      <x:c r="F3" s="29" t="str">
        <x:v>HK1</x:v>
      </x:c>
      <x:c r="G3" s="29" t="str">
        <x:v>SPT</x:v>
      </x:c>
      <x:c r="H3" s="32" t="b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P3</x:v>
      </x:c>
      <x:c r="B4" s="29" t="n">
        <x:v>-1</x:v>
      </x:c>
      <x:c r="C4" s="29" t="n">
        <x:v>1</x:v>
      </x:c>
      <x:c r="D4" s="29" t="n">
        <x:v>800</x:v>
      </x:c>
      <x:c r="E4" s="29" t="n">
        <x:v>0</x:v>
      </x:c>
      <x:c r="F4" s="29" t="str">
        <x:v>HK2</x:v>
      </x:c>
      <x:c r="G4" s="29" t="str">
        <x:v>MECH</x:v>
      </x:c>
      <x:c r="H4" s="32" t="b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P4</x:v>
      </x:c>
      <x:c r="B5" s="29" t="n">
        <x:v>1</x:v>
      </x:c>
      <x:c r="C5" s="29" t="n">
        <x:v>1</x:v>
      </x:c>
      <x:c r="D5" s="29" t="n">
        <x:v>800</x:v>
      </x:c>
      <x:c r="E5" s="29" t="n">
        <x:v>0</x:v>
      </x:c>
      <x:c r="F5" s="29" t="str">
        <x:v>HK2</x:v>
      </x:c>
      <x:c r="G5" s="29" t="str">
        <x:v>MECH</x:v>
      </x:c>
      <x:c r="H5" s="32" t="b">
        <x:v>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6" max="16" width="18" hidden="0" customWidth="1"/>
    <x:col min="17" max="17" width="18" hidden="0" customWidth="1"/>
    <x:col min="15" max="15" width="18" hidden="0" customWidth="1"/>
  </x:cols>
  <x:sheetData>
    <x:row r="1" ht="16.799999237060547" hidden="0" customHeight="1">
      <x:c r="A1" s="28" t="str">
        <x:v>Formula-Only reaction check — REVIEW seed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Selected Load Row</x:v>
      </x:c>
      <x:c r="B3" s="34" t="n">
        <x:v>2</x:v>
      </x:c>
      <x:c r="C3" s="29"/>
      <x:c r="D3" s="29" t="str">
        <x:v>n</x:v>
      </x:c>
      <x:c r="E3" s="29" t="n">
        <x:f>COUNT(PILE_POINTS!B2:B100)</x:f>
        <x:v>4</x:v>
      </x:c>
      <x:c r="F3" s="29"/>
      <x:c r="G3" s="29" t="str">
        <x:v>a</x:v>
      </x:c>
      <x:c r="H3" s="29" t="n">
        <x:f>IF(ABS($E$9)&lt;1E-12,NA(),($B$4*($E$6*$E$7-$E$8*$E$8)-$E$4*($B$6*$E$7-$B$5*$E$8)+$E$5*($B$6*$E$8-$B$5*$E$6))/$E$9)</x:f>
        <x:v>500</x:v>
      </x:c>
      <x:c r="I3" s="29"/>
      <x:c r="J3" s="29"/>
      <x:c r="K3" s="29"/>
      <x:c r="L3" s="29"/>
      <x:c r="M3" s="29"/>
      <x:c r="N3" s="29"/>
      <x:c r="O3" s="29"/>
      <x:c r="P3" s="29" t="str">
        <x:v>Check</x:v>
      </x:c>
      <x:c r="Q3" s="29" t="str">
        <x:v>Value</x:v>
      </x:c>
    </x:row>
    <x:row r="4" ht="15" hidden="0" customHeight="1">
      <x:c r="A4" s="29" t="str">
        <x:v>N (kN)</x:v>
      </x:c>
      <x:c r="B4" s="34" t="n">
        <x:f>INDEX(LOAD_COMBINATIONS!$C$2:$C$100,$B$3-1)</x:f>
        <x:v>2000</x:v>
      </x:c>
      <x:c r="C4" s="29"/>
      <x:c r="D4" s="29" t="str">
        <x:v>Σx</x:v>
      </x:c>
      <x:c r="E4" s="29" t="n">
        <x:f>SUM(PILE_POINTS!B2:B100)</x:f>
        <x:v>0</x:v>
      </x:c>
      <x:c r="F4" s="29"/>
      <x:c r="G4" s="29" t="str">
        <x:v>b</x:v>
      </x:c>
      <x:c r="H4" s="29" t="n">
        <x:f>IF(ABS($E$9)&lt;1E-12,NA(),($E$3*($B$6*$E$7-$B$5*$E$8)-$B$4*($E$4*$E$7-$E$5*$E$8)+$E$5*($E$4*$B$5-$B$6*$E$5))/$E$9)</x:f>
        <x:v>0</x:v>
      </x:c>
      <x:c r="I4" s="29"/>
      <x:c r="J4" s="29"/>
      <x:c r="K4" s="29"/>
      <x:c r="L4" s="29"/>
      <x:c r="M4" s="29"/>
      <x:c r="N4" s="29"/>
      <x:c r="O4" s="29"/>
      <x:c r="P4" s="29" t="str">
        <x:v>ΣNi</x:v>
      </x:c>
      <x:c r="Q4" s="29" t="n">
        <x:f>SUM(F13:F32)</x:f>
        <x:v>2000</x:v>
      </x:c>
    </x:row>
    <x:row r="5" ht="15" hidden="0" customHeight="1">
      <x:c r="A5" s="29" t="str">
        <x:v>Mx (kNm)</x:v>
      </x:c>
      <x:c r="B5" s="34" t="n">
        <x:f>INDEX(LOAD_COMBINATIONS!$D$2:$D$100,$B$3-1)</x:f>
        <x:v>0</x:v>
      </x:c>
      <x:c r="C5" s="29"/>
      <x:c r="D5" s="29" t="str">
        <x:v>Σy</x:v>
      </x:c>
      <x:c r="E5" s="29" t="n">
        <x:f>SUM(PILE_POINTS!C2:C100)</x:f>
        <x:v>0</x:v>
      </x:c>
      <x:c r="F5" s="29"/>
      <x:c r="G5" s="29" t="str">
        <x:v>c</x:v>
      </x:c>
      <x:c r="H5" s="29" t="n">
        <x:f>IF(ABS($E$9)&lt;1E-12,NA(),($E$3*($E$6*$B$5-$B$6*$E$8)-$E$4*($E$4*$B$5-$B$6*$E$5)+$B$4*($E$4*$E$8-$E$5*$E$6))/$E$9)</x:f>
        <x:v>0</x:v>
      </x:c>
      <x:c r="I5" s="29"/>
      <x:c r="J5" s="29"/>
      <x:c r="K5" s="29"/>
      <x:c r="L5" s="29"/>
      <x:c r="M5" s="29"/>
      <x:c r="N5" s="29"/>
      <x:c r="O5" s="29"/>
      <x:c r="P5" s="29" t="str">
        <x:v>Target N</x:v>
      </x:c>
      <x:c r="Q5" s="29" t="n">
        <x:f>$B$4</x:f>
        <x:v>2000</x:v>
      </x:c>
    </x:row>
    <x:row r="6" ht="15" hidden="0" customHeight="1">
      <x:c r="A6" s="29" t="str">
        <x:v>My (kNm)</x:v>
      </x:c>
      <x:c r="B6" s="34" t="n">
        <x:f>INDEX(LOAD_COMBINATIONS!$E$2:$E$100,$B$3-1)</x:f>
        <x:v>0</x:v>
      </x:c>
      <x:c r="C6" s="29"/>
      <x:c r="D6" s="29" t="str">
        <x:v>Σx²</x:v>
      </x:c>
      <x:c r="E6" s="29" t="n">
        <x:f>SUMPRODUCT(PILE_POINTS!B2:B100,PILE_POINTS!B2:B100)</x:f>
        <x:v>4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Residual N</x:v>
      </x:c>
      <x:c r="Q6" s="29" t="n">
        <x:f>Q4-Q5</x:f>
        <x:v>0</x:v>
      </x:c>
    </x:row>
    <x:row r="7" ht="15" hidden="0" customHeight="1">
      <x:c r="A7" s="29" t="str">
        <x:v>Combination ID</x:v>
      </x:c>
      <x:c r="B7" s="34" t="str">
        <x:f>INDEX(LOAD_COMBINATIONS!$A$2:$A$100,$B$3-1)</x:f>
        <x:v>ULS-1</x:v>
      </x:c>
      <x:c r="C7" s="29"/>
      <x:c r="D7" s="29" t="str">
        <x:v>Σy²</x:v>
      </x:c>
      <x:c r="E7" s="29" t="n">
        <x:f>SUMPRODUCT(PILE_POINTS!C2:C100,PILE_POINTS!C2:C100)</x:f>
        <x:v>4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ΣNi·x</x:v>
      </x:c>
      <x:c r="Q7" s="29" t="n">
        <x:f>SUM(K13:K32)</x:f>
        <x:v>0</x:v>
      </x:c>
    </x:row>
    <x:row r="8" ht="15" hidden="0" customHeight="1">
      <x:c r="A8" s="29"/>
      <x:c r="B8" s="29"/>
      <x:c r="C8" s="29"/>
      <x:c r="D8" s="29" t="str">
        <x:v>Σxy</x:v>
      </x:c>
      <x:c r="E8" s="29" t="n">
        <x:f>SUMPRODUCT(PILE_POINTS!B2:B100,PILE_POINTS!C2:C100)</x:f>
        <x:v>0</x:v>
      </x:c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 t="str">
        <x:v>Target My</x:v>
      </x:c>
      <x:c r="Q8" s="29" t="n">
        <x:f>$B$6</x:f>
        <x:v>0</x:v>
      </x:c>
    </x:row>
    <x:row r="9" ht="15" hidden="0" customHeight="1">
      <x:c r="A9" s="29"/>
      <x:c r="B9" s="29"/>
      <x:c r="C9" s="29"/>
      <x:c r="D9" s="29" t="str">
        <x:v>det(A)</x:v>
      </x:c>
      <x:c r="E9" s="29" t="n">
        <x:f>E3*(E6*E7-E8*E8)-E4*(E4*E7-E5*E8)+E5*(E4*E8-E5*E6)</x:f>
        <x:v>64</x:v>
      </x:c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 t="str">
        <x:v>Residual My</x:v>
      </x:c>
      <x:c r="Q9" s="29" t="n">
        <x:f>Q7-Q8</x:f>
        <x:v>0</x:v>
      </x:c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 t="str">
        <x:v>ΣNi·y</x:v>
      </x:c>
      <x:c r="Q10" s="29" t="n">
        <x:f>SUM(L13:L32)</x:f>
        <x:v>0</x:v>
      </x:c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 t="str">
        <x:v>Target Mx</x:v>
      </x:c>
      <x:c r="Q11" s="29" t="n">
        <x:f>$B$5</x:f>
        <x:v>0</x:v>
      </x:c>
    </x:row>
    <x:row r="12" ht="15" hidden="0" customHeight="1">
      <x:c r="A12" s="16" t="str">
        <x:v>pileId</x:v>
      </x:c>
      <x:c r="B12" s="16" t="str">
        <x:v>x_m</x:v>
      </x:c>
      <x:c r="C12" s="16" t="str">
        <x:v>y_m</x:v>
      </x:c>
      <x:c r="D12" s="16" t="str">
        <x:v>compressionCap_kN</x:v>
      </x:c>
      <x:c r="E12" s="16" t="str">
        <x:v>tensionCap_kN</x:v>
      </x:c>
      <x:c r="F12" s="16" t="str">
        <x:v>Demand_Ni_kN</x:v>
      </x:c>
      <x:c r="G12" s="16" t="str">
        <x:v>CheckType</x:v>
      </x:c>
      <x:c r="H12" s="16" t="str">
        <x:v>Capacity_kN</x:v>
      </x:c>
      <x:c r="I12" s="16" t="str">
        <x:v>Utilization</x:v>
      </x:c>
      <x:c r="J12" s="16" t="str">
        <x:v>PASS/FAIL</x:v>
      </x:c>
      <x:c r="K12" s="16" t="str">
        <x:v>Ni*x</x:v>
      </x:c>
      <x:c r="L12" s="16" t="str">
        <x:v>Ni*y</x:v>
      </x:c>
      <x:c r="M12" s="16" t="str">
        <x:v>sourceBorehole</x:v>
      </x:c>
      <x:c r="N12" s="16" t="str">
        <x:v>method</x:v>
      </x:c>
      <x:c r="O12" s="29"/>
      <x:c r="P12" s="29"/>
      <x:c r="Q12" s="29"/>
    </x:row>
    <x:row r="13" ht="15" hidden="0" customHeight="1">
      <x:c r="A13" s="29" t="str">
        <x:f>IF(PILE_POINTS!A2="","",PILE_POINTS!A2)</x:f>
        <x:v>P1</x:v>
      </x:c>
      <x:c r="B13" s="29" t="n">
        <x:f>IF($A13="","",PILE_POINTS!B2)</x:f>
        <x:v>-1</x:v>
      </x:c>
      <x:c r="C13" s="29" t="n">
        <x:f>IF($A13="","",PILE_POINTS!C2)</x:f>
        <x:v>-1</x:v>
      </x:c>
      <x:c r="D13" s="29" t="n">
        <x:f>IF($A13="","",PILE_POINTS!D2)</x:f>
        <x:v>800</x:v>
      </x:c>
      <x:c r="E13" s="29" t="n">
        <x:f>IF($A13="","",PILE_POINTS!E2)</x:f>
        <x:v>0</x:v>
      </x:c>
      <x:c r="F13" s="35" t="n">
        <x:f>IF($A13="","",$H$3+$H$4*B13+$H$5*C13)</x:f>
        <x:v>500</x:v>
      </x:c>
      <x:c r="G13" s="35" t="str">
        <x:f>IF($A13="","",IF(F13&gt;=0,"COMPRESSION","TENSION"))</x:f>
        <x:v>COMPRESSION</x:v>
      </x:c>
      <x:c r="H13" s="35" t="n">
        <x:f>IF($A13="","",IF(F13&gt;=0,D13,E13))</x:f>
        <x:v>800</x:v>
      </x:c>
      <x:c r="I13" s="35" t="n">
        <x:f>IF($A13="","",IF(F13&gt;=0,F13/D13,IF(OR(E13="",E13=0),NA(),ABS(F13)/E13)))</x:f>
        <x:v>0.625</x:v>
      </x:c>
      <x:c r="J13" s="35" t="str">
        <x:f>IF($A13="","",IF(F13&gt;=0,IF(I13&lt;=1,"PASS","FAIL"),IF(OR(E13="",E13=0),"BLOCK",IF(I13&lt;=1,"PASS","FAIL"))))</x:f>
        <x:v>PASS</x:v>
      </x:c>
      <x:c r="K13" s="29" t="n">
        <x:f>IF($A13="","",F13*B13)</x:f>
        <x:v>-500</x:v>
      </x:c>
      <x:c r="L13" s="29" t="n">
        <x:f>IF($A13="","",F13*C13)</x:f>
        <x:v>-500</x:v>
      </x:c>
      <x:c r="M13" s="29" t="str">
        <x:f>IF($A13="","",PILE_POINTS!F2)</x:f>
        <x:v>HK1</x:v>
      </x:c>
      <x:c r="N13" s="29" t="str">
        <x:f>IF($A13="","",PILE_POINTS!G2)</x:f>
        <x:v>SPT</x:v>
      </x:c>
      <x:c r="O13" s="29"/>
      <x:c r="P13" s="29" t="str">
        <x:v>Summary</x:v>
      </x:c>
      <x:c r="Q13" s="29" t="str">
        <x:v>Value</x:v>
      </x:c>
    </x:row>
    <x:row r="14" ht="15" hidden="0" customHeight="1">
      <x:c r="A14" s="29" t="str">
        <x:f>IF(PILE_POINTS!A3="","",PILE_POINTS!A3)</x:f>
        <x:v>P2</x:v>
      </x:c>
      <x:c r="B14" s="29" t="n">
        <x:f>IF($A14="","",PILE_POINTS!B3)</x:f>
        <x:v>1</x:v>
      </x:c>
      <x:c r="C14" s="29" t="n">
        <x:f>IF($A14="","",PILE_POINTS!C3)</x:f>
        <x:v>-1</x:v>
      </x:c>
      <x:c r="D14" s="29" t="n">
        <x:f>IF($A14="","",PILE_POINTS!D3)</x:f>
        <x:v>800</x:v>
      </x:c>
      <x:c r="E14" s="29" t="n">
        <x:f>IF($A14="","",PILE_POINTS!E3)</x:f>
        <x:v>0</x:v>
      </x:c>
      <x:c r="F14" s="35" t="n">
        <x:f>IF($A14="","",$H$3+$H$4*B14+$H$5*C14)</x:f>
        <x:v>500</x:v>
      </x:c>
      <x:c r="G14" s="35" t="str">
        <x:f>IF($A14="","",IF(F14&gt;=0,"COMPRESSION","TENSION"))</x:f>
        <x:v>COMPRESSION</x:v>
      </x:c>
      <x:c r="H14" s="35" t="n">
        <x:f>IF($A14="","",IF(F14&gt;=0,D14,E14))</x:f>
        <x:v>800</x:v>
      </x:c>
      <x:c r="I14" s="35" t="n">
        <x:f>IF($A14="","",IF(F14&gt;=0,F14/D14,IF(OR(E14="",E14=0),NA(),ABS(F14)/E14)))</x:f>
        <x:v>0.625</x:v>
      </x:c>
      <x:c r="J14" s="35" t="str">
        <x:f>IF($A14="","",IF(F14&gt;=0,IF(I14&lt;=1,"PASS","FAIL"),IF(OR(E14="",E14=0),"BLOCK",IF(I14&lt;=1,"PASS","FAIL"))))</x:f>
        <x:v>PASS</x:v>
      </x:c>
      <x:c r="K14" s="29" t="n">
        <x:f>IF($A14="","",F14*B14)</x:f>
        <x:v>500</x:v>
      </x:c>
      <x:c r="L14" s="29" t="n">
        <x:f>IF($A14="","",F14*C14)</x:f>
        <x:v>-500</x:v>
      </x:c>
      <x:c r="M14" s="29" t="str">
        <x:f>IF($A14="","",PILE_POINTS!F3)</x:f>
        <x:v>HK1</x:v>
      </x:c>
      <x:c r="N14" s="29" t="str">
        <x:f>IF($A14="","",PILE_POINTS!G3)</x:f>
        <x:v>SPT</x:v>
      </x:c>
      <x:c r="O14" s="29"/>
      <x:c r="P14" s="29" t="str">
        <x:v>Equilibrium PASS</x:v>
      </x:c>
      <x:c r="Q14" s="29" t="str">
        <x:f>IF(AND(ABS(Q6)&lt;1E-7,ABS(Q9)&lt;1E-7,ABS(Q10-$B$5)&lt;1E-7),"PASS","FAIL")</x:f>
        <x:v>PASS</x:v>
      </x:c>
    </x:row>
    <x:row r="15" ht="15" hidden="0" customHeight="1">
      <x:c r="A15" s="29" t="str">
        <x:f>IF(PILE_POINTS!A4="","",PILE_POINTS!A4)</x:f>
        <x:v>P3</x:v>
      </x:c>
      <x:c r="B15" s="29" t="n">
        <x:f>IF($A15="","",PILE_POINTS!B4)</x:f>
        <x:v>-1</x:v>
      </x:c>
      <x:c r="C15" s="29" t="n">
        <x:f>IF($A15="","",PILE_POINTS!C4)</x:f>
        <x:v>1</x:v>
      </x:c>
      <x:c r="D15" s="29" t="n">
        <x:f>IF($A15="","",PILE_POINTS!D4)</x:f>
        <x:v>800</x:v>
      </x:c>
      <x:c r="E15" s="29" t="n">
        <x:f>IF($A15="","",PILE_POINTS!E4)</x:f>
        <x:v>0</x:v>
      </x:c>
      <x:c r="F15" s="35" t="n">
        <x:f>IF($A15="","",$H$3+$H$4*B15+$H$5*C15)</x:f>
        <x:v>500</x:v>
      </x:c>
      <x:c r="G15" s="35" t="str">
        <x:f>IF($A15="","",IF(F15&gt;=0,"COMPRESSION","TENSION"))</x:f>
        <x:v>COMPRESSION</x:v>
      </x:c>
      <x:c r="H15" s="35" t="n">
        <x:f>IF($A15="","",IF(F15&gt;=0,D15,E15))</x:f>
        <x:v>800</x:v>
      </x:c>
      <x:c r="I15" s="35" t="n">
        <x:f>IF($A15="","",IF(F15&gt;=0,F15/D15,IF(OR(E15="",E15=0),NA(),ABS(F15)/E15)))</x:f>
        <x:v>0.625</x:v>
      </x:c>
      <x:c r="J15" s="35" t="str">
        <x:f>IF($A15="","",IF(F15&gt;=0,IF(I15&lt;=1,"PASS","FAIL"),IF(OR(E15="",E15=0),"BLOCK",IF(I15&lt;=1,"PASS","FAIL"))))</x:f>
        <x:v>PASS</x:v>
      </x:c>
      <x:c r="K15" s="29" t="n">
        <x:f>IF($A15="","",F15*B15)</x:f>
        <x:v>-500</x:v>
      </x:c>
      <x:c r="L15" s="29" t="n">
        <x:f>IF($A15="","",F15*C15)</x:f>
        <x:v>500</x:v>
      </x:c>
      <x:c r="M15" s="29" t="str">
        <x:f>IF($A15="","",PILE_POINTS!F4)</x:f>
        <x:v>HK2</x:v>
      </x:c>
      <x:c r="N15" s="29" t="str">
        <x:f>IF($A15="","",PILE_POINTS!G4)</x:f>
        <x:v>MECH</x:v>
      </x:c>
      <x:c r="O15" s="29"/>
      <x:c r="P15" s="29" t="str">
        <x:v>Max compression kN</x:v>
      </x:c>
      <x:c r="Q15" s="29" t="n">
        <x:f>MAX(F13:F32)</x:f>
        <x:v>500</x:v>
      </x:c>
    </x:row>
    <x:row r="16" ht="15" hidden="0" customHeight="1">
      <x:c r="A16" s="29" t="str">
        <x:f>IF(PILE_POINTS!A5="","",PILE_POINTS!A5)</x:f>
        <x:v>P4</x:v>
      </x:c>
      <x:c r="B16" s="29" t="n">
        <x:f>IF($A16="","",PILE_POINTS!B5)</x:f>
        <x:v>1</x:v>
      </x:c>
      <x:c r="C16" s="29" t="n">
        <x:f>IF($A16="","",PILE_POINTS!C5)</x:f>
        <x:v>1</x:v>
      </x:c>
      <x:c r="D16" s="29" t="n">
        <x:f>IF($A16="","",PILE_POINTS!D5)</x:f>
        <x:v>800</x:v>
      </x:c>
      <x:c r="E16" s="29" t="n">
        <x:f>IF($A16="","",PILE_POINTS!E5)</x:f>
        <x:v>0</x:v>
      </x:c>
      <x:c r="F16" s="35" t="n">
        <x:f>IF($A16="","",$H$3+$H$4*B16+$H$5*C16)</x:f>
        <x:v>500</x:v>
      </x:c>
      <x:c r="G16" s="35" t="str">
        <x:f>IF($A16="","",IF(F16&gt;=0,"COMPRESSION","TENSION"))</x:f>
        <x:v>COMPRESSION</x:v>
      </x:c>
      <x:c r="H16" s="35" t="n">
        <x:f>IF($A16="","",IF(F16&gt;=0,D16,E16))</x:f>
        <x:v>800</x:v>
      </x:c>
      <x:c r="I16" s="35" t="n">
        <x:f>IF($A16="","",IF(F16&gt;=0,F16/D16,IF(OR(E16="",E16=0),NA(),ABS(F16)/E16)))</x:f>
        <x:v>0.625</x:v>
      </x:c>
      <x:c r="J16" s="35" t="str">
        <x:f>IF($A16="","",IF(F16&gt;=0,IF(I16&lt;=1,"PASS","FAIL"),IF(OR(E16="",E16=0),"BLOCK",IF(I16&lt;=1,"PASS","FAIL"))))</x:f>
        <x:v>PASS</x:v>
      </x:c>
      <x:c r="K16" s="29" t="n">
        <x:f>IF($A16="","",F16*B16)</x:f>
        <x:v>500</x:v>
      </x:c>
      <x:c r="L16" s="29" t="n">
        <x:f>IF($A16="","",F16*C16)</x:f>
        <x:v>500</x:v>
      </x:c>
      <x:c r="M16" s="29" t="str">
        <x:f>IF($A16="","",PILE_POINTS!F5)</x:f>
        <x:v>HK2</x:v>
      </x:c>
      <x:c r="N16" s="29" t="str">
        <x:f>IF($A16="","",PILE_POINTS!G5)</x:f>
        <x:v>MECH</x:v>
      </x:c>
      <x:c r="O16" s="29"/>
      <x:c r="P16" s="29" t="str">
        <x:v>Min reaction kN</x:v>
      </x:c>
      <x:c r="Q16" s="29" t="n">
        <x:f>MIN(F13:F32)</x:f>
        <x:v>500</x:v>
      </x:c>
    </x:row>
    <x:row r="17" ht="15" hidden="0" customHeight="1">
      <x:c r="A17" s="29" t="str">
        <x:f>IF(PILE_POINTS!A6="","",PILE_POINTS!A6)</x:f>
      </x:c>
      <x:c r="B17" s="29" t="str">
        <x:f>IF($A17="","",PILE_POINTS!B6)</x:f>
      </x:c>
      <x:c r="C17" s="29" t="str">
        <x:f>IF($A17="","",PILE_POINTS!C6)</x:f>
      </x:c>
      <x:c r="D17" s="29" t="str">
        <x:f>IF($A17="","",PILE_POINTS!D6)</x:f>
      </x:c>
      <x:c r="E17" s="29" t="str">
        <x:f>IF($A17="","",PILE_POINTS!E6)</x:f>
      </x:c>
      <x:c r="F17" s="35" t="str">
        <x:f>IF($A17="","",$H$3+$H$4*B17+$H$5*C17)</x:f>
      </x:c>
      <x:c r="G17" s="35" t="str">
        <x:f>IF($A17="","",IF(F17&gt;=0,"COMPRESSION","TENSION"))</x:f>
      </x:c>
      <x:c r="H17" s="35" t="str">
        <x:f>IF($A17="","",IF(F17&gt;=0,D17,E17))</x:f>
      </x:c>
      <x:c r="I17" s="35" t="str">
        <x:f>IF($A17="","",IF(F17&gt;=0,F17/D17,IF(OR(E17="",E17=0),NA(),ABS(F17)/E17)))</x:f>
      </x:c>
      <x:c r="J17" s="35" t="str">
        <x:f>IF($A17="","",IF(F17&gt;=0,IF(I17&lt;=1,"PASS","FAIL"),IF(OR(E17="",E17=0),"BLOCK",IF(I17&lt;=1,"PASS","FAIL"))))</x:f>
      </x:c>
      <x:c r="K17" s="29" t="str">
        <x:f>IF($A17="","",F17*B17)</x:f>
      </x:c>
      <x:c r="L17" s="29" t="str">
        <x:f>IF($A17="","",F17*C17)</x:f>
      </x:c>
      <x:c r="M17" s="29" t="str">
        <x:f>IF($A17="","",PILE_POINTS!F6)</x:f>
      </x:c>
      <x:c r="N17" s="29" t="str">
        <x:f>IF($A17="","",PILE_POINTS!G6)</x:f>
      </x:c>
      <x:c r="O17" s="29"/>
      <x:c r="P17" s="29" t="str">
        <x:v>Max utilization</x:v>
      </x:c>
      <x:c r="Q17" s="29" t="n">
        <x:f>IFERROR(MAX(I13:I32),"")</x:f>
        <x:v>0.625</x:v>
      </x:c>
    </x:row>
    <x:row r="18" ht="15" hidden="0" customHeight="1">
      <x:c r="A18" s="29" t="str">
        <x:f>IF(PILE_POINTS!A7="","",PILE_POINTS!A7)</x:f>
      </x:c>
      <x:c r="B18" s="29" t="str">
        <x:f>IF($A18="","",PILE_POINTS!B7)</x:f>
      </x:c>
      <x:c r="C18" s="29" t="str">
        <x:f>IF($A18="","",PILE_POINTS!C7)</x:f>
      </x:c>
      <x:c r="D18" s="29" t="str">
        <x:f>IF($A18="","",PILE_POINTS!D7)</x:f>
      </x:c>
      <x:c r="E18" s="29" t="str">
        <x:f>IF($A18="","",PILE_POINTS!E7)</x:f>
      </x:c>
      <x:c r="F18" s="35" t="str">
        <x:f>IF($A18="","",$H$3+$H$4*B18+$H$5*C18)</x:f>
      </x:c>
      <x:c r="G18" s="35" t="str">
        <x:f>IF($A18="","",IF(F18&gt;=0,"COMPRESSION","TENSION"))</x:f>
      </x:c>
      <x:c r="H18" s="35" t="str">
        <x:f>IF($A18="","",IF(F18&gt;=0,D18,E18))</x:f>
      </x:c>
      <x:c r="I18" s="35" t="str">
        <x:f>IF($A18="","",IF(F18&gt;=0,F18/D18,IF(OR(E18="",E18=0),NA(),ABS(F18)/E18)))</x:f>
      </x:c>
      <x:c r="J18" s="35" t="str">
        <x:f>IF($A18="","",IF(F18&gt;=0,IF(I18&lt;=1,"PASS","FAIL"),IF(OR(E18="",E18=0),"BLOCK",IF(I18&lt;=1,"PASS","FAIL"))))</x:f>
      </x:c>
      <x:c r="K18" s="29" t="str">
        <x:f>IF($A18="","",F18*B18)</x:f>
      </x:c>
      <x:c r="L18" s="29" t="str">
        <x:f>IF($A18="","",F18*C18)</x:f>
      </x:c>
      <x:c r="M18" s="29" t="str">
        <x:f>IF($A18="","",PILE_POINTS!F7)</x:f>
      </x:c>
      <x:c r="N18" s="29" t="str">
        <x:f>IF($A18="","",PILE_POINTS!G7)</x:f>
      </x:c>
      <x:c r="O18" s="29"/>
      <x:c r="P18" s="29" t="str">
        <x:v>Has tension</x:v>
      </x:c>
      <x:c r="Q18" s="29" t="str">
        <x:f>IF(MIN(F13:F32)&lt;0,"YES","NO")</x:f>
        <x:v>NO</x:v>
      </x:c>
    </x:row>
    <x:row r="19" ht="15" hidden="0" customHeight="1">
      <x:c r="A19" s="29" t="str">
        <x:f>IF(PILE_POINTS!A8="","",PILE_POINTS!A8)</x:f>
      </x:c>
      <x:c r="B19" s="29" t="str">
        <x:f>IF($A19="","",PILE_POINTS!B8)</x:f>
      </x:c>
      <x:c r="C19" s="29" t="str">
        <x:f>IF($A19="","",PILE_POINTS!C8)</x:f>
      </x:c>
      <x:c r="D19" s="29" t="str">
        <x:f>IF($A19="","",PILE_POINTS!D8)</x:f>
      </x:c>
      <x:c r="E19" s="29" t="str">
        <x:f>IF($A19="","",PILE_POINTS!E8)</x:f>
      </x:c>
      <x:c r="F19" s="35" t="str">
        <x:f>IF($A19="","",$H$3+$H$4*B19+$H$5*C19)</x:f>
      </x:c>
      <x:c r="G19" s="35" t="str">
        <x:f>IF($A19="","",IF(F19&gt;=0,"COMPRESSION","TENSION"))</x:f>
      </x:c>
      <x:c r="H19" s="35" t="str">
        <x:f>IF($A19="","",IF(F19&gt;=0,D19,E19))</x:f>
      </x:c>
      <x:c r="I19" s="35" t="str">
        <x:f>IF($A19="","",IF(F19&gt;=0,F19/D19,IF(OR(E19="",E19=0),NA(),ABS(F19)/E19)))</x:f>
      </x:c>
      <x:c r="J19" s="35" t="str">
        <x:f>IF($A19="","",IF(F19&gt;=0,IF(I19&lt;=1,"PASS","FAIL"),IF(OR(E19="",E19=0),"BLOCK",IF(I19&lt;=1,"PASS","FAIL"))))</x:f>
      </x:c>
      <x:c r="K19" s="29" t="str">
        <x:f>IF($A19="","",F19*B19)</x:f>
      </x:c>
      <x:c r="L19" s="29" t="str">
        <x:f>IF($A19="","",F19*C19)</x:f>
      </x:c>
      <x:c r="M19" s="29" t="str">
        <x:f>IF($A19="","",PILE_POINTS!F8)</x:f>
      </x:c>
      <x:c r="N19" s="29" t="str">
        <x:f>IF($A19="","",PILE_POINTS!G8)</x:f>
      </x:c>
      <x:c r="O19" s="29"/>
      <x:c r="P19" s="29" t="str">
        <x:v>Any BLOCK</x:v>
      </x:c>
      <x:c r="Q19" s="29" t="str">
        <x:f>IF(COUNTIF(J13:J32,"BLOCK")&gt;0,"YES","NO")</x:f>
        <x:v>NO</x:v>
      </x:c>
    </x:row>
    <x:row r="20" ht="15" hidden="0" customHeight="1">
      <x:c r="A20" s="29" t="str">
        <x:f>IF(PILE_POINTS!A9="","",PILE_POINTS!A9)</x:f>
      </x:c>
      <x:c r="B20" s="29" t="str">
        <x:f>IF($A20="","",PILE_POINTS!B9)</x:f>
      </x:c>
      <x:c r="C20" s="29" t="str">
        <x:f>IF($A20="","",PILE_POINTS!C9)</x:f>
      </x:c>
      <x:c r="D20" s="29" t="str">
        <x:f>IF($A20="","",PILE_POINTS!D9)</x:f>
      </x:c>
      <x:c r="E20" s="29" t="str">
        <x:f>IF($A20="","",PILE_POINTS!E9)</x:f>
      </x:c>
      <x:c r="F20" s="35" t="str">
        <x:f>IF($A20="","",$H$3+$H$4*B20+$H$5*C20)</x:f>
      </x:c>
      <x:c r="G20" s="35" t="str">
        <x:f>IF($A20="","",IF(F20&gt;=0,"COMPRESSION","TENSION"))</x:f>
      </x:c>
      <x:c r="H20" s="35" t="str">
        <x:f>IF($A20="","",IF(F20&gt;=0,D20,E20))</x:f>
      </x:c>
      <x:c r="I20" s="35" t="str">
        <x:f>IF($A20="","",IF(F20&gt;=0,F20/D20,IF(OR(E20="",E20=0),NA(),ABS(F20)/E20)))</x:f>
      </x:c>
      <x:c r="J20" s="35" t="str">
        <x:f>IF($A20="","",IF(F20&gt;=0,IF(I20&lt;=1,"PASS","FAIL"),IF(OR(E20="",E20=0),"BLOCK",IF(I20&lt;=1,"PASS","FAIL"))))</x:f>
      </x:c>
      <x:c r="K20" s="29" t="str">
        <x:f>IF($A20="","",F20*B20)</x:f>
      </x:c>
      <x:c r="L20" s="29" t="str">
        <x:f>IF($A20="","",F20*C20)</x:f>
      </x:c>
      <x:c r="M20" s="29" t="str">
        <x:f>IF($A20="","",PILE_POINTS!F9)</x:f>
      </x:c>
      <x:c r="N20" s="29" t="str">
        <x:f>IF($A20="","",PILE_POINTS!G9)</x:f>
      </x:c>
      <x:c r="O20" s="29"/>
      <x:c r="P20" s="29" t="str">
        <x:v>Overall</x:v>
      </x:c>
      <x:c r="Q20" s="36" t="str">
        <x:f>IF(AND(Q14="PASS",COUNTIF(J13:J32,"FAIL")=0,Q19="NO"),"PASS","FAIL/BLOCK")</x:f>
        <x:v>PASS</x:v>
      </x:c>
    </x:row>
    <x:row r="21" ht="15" hidden="0" customHeight="1">
      <x:c r="A21" s="29" t="str">
        <x:f>IF(PILE_POINTS!A10="","",PILE_POINTS!A10)</x:f>
      </x:c>
      <x:c r="B21" s="29" t="str">
        <x:f>IF($A21="","",PILE_POINTS!B10)</x:f>
      </x:c>
      <x:c r="C21" s="29" t="str">
        <x:f>IF($A21="","",PILE_POINTS!C10)</x:f>
      </x:c>
      <x:c r="D21" s="29" t="str">
        <x:f>IF($A21="","",PILE_POINTS!D10)</x:f>
      </x:c>
      <x:c r="E21" s="29" t="str">
        <x:f>IF($A21="","",PILE_POINTS!E10)</x:f>
      </x:c>
      <x:c r="F21" s="35" t="str">
        <x:f>IF($A21="","",$H$3+$H$4*B21+$H$5*C21)</x:f>
      </x:c>
      <x:c r="G21" s="35" t="str">
        <x:f>IF($A21="","",IF(F21&gt;=0,"COMPRESSION","TENSION"))</x:f>
      </x:c>
      <x:c r="H21" s="35" t="str">
        <x:f>IF($A21="","",IF(F21&gt;=0,D21,E21))</x:f>
      </x:c>
      <x:c r="I21" s="35" t="str">
        <x:f>IF($A21="","",IF(F21&gt;=0,F21/D21,IF(OR(E21="",E21=0),NA(),ABS(F21)/E21)))</x:f>
      </x:c>
      <x:c r="J21" s="35" t="str">
        <x:f>IF($A21="","",IF(F21&gt;=0,IF(I21&lt;=1,"PASS","FAIL"),IF(OR(E21="",E21=0),"BLOCK",IF(I21&lt;=1,"PASS","FAIL"))))</x:f>
      </x:c>
      <x:c r="K21" s="29" t="str">
        <x:f>IF($A21="","",F21*B21)</x:f>
      </x:c>
      <x:c r="L21" s="29" t="str">
        <x:f>IF($A21="","",F21*C21)</x:f>
      </x:c>
      <x:c r="M21" s="29" t="str">
        <x:f>IF($A21="","",PILE_POINTS!F10)</x:f>
      </x:c>
      <x:c r="N21" s="29" t="str">
        <x:f>IF($A21="","",PILE_POINTS!G10)</x:f>
      </x:c>
      <x:c r="O21" s="29"/>
      <x:c r="P21" s="29"/>
      <x:c r="Q21" s="29"/>
    </x:row>
    <x:row r="22" ht="15" hidden="0" customHeight="1">
      <x:c r="A22" s="29" t="str">
        <x:f>IF(PILE_POINTS!A11="","",PILE_POINTS!A11)</x:f>
      </x:c>
      <x:c r="B22" s="29" t="str">
        <x:f>IF($A22="","",PILE_POINTS!B11)</x:f>
      </x:c>
      <x:c r="C22" s="29" t="str">
        <x:f>IF($A22="","",PILE_POINTS!C11)</x:f>
      </x:c>
      <x:c r="D22" s="29" t="str">
        <x:f>IF($A22="","",PILE_POINTS!D11)</x:f>
      </x:c>
      <x:c r="E22" s="29" t="str">
        <x:f>IF($A22="","",PILE_POINTS!E11)</x:f>
      </x:c>
      <x:c r="F22" s="35" t="str">
        <x:f>IF($A22="","",$H$3+$H$4*B22+$H$5*C22)</x:f>
      </x:c>
      <x:c r="G22" s="35" t="str">
        <x:f>IF($A22="","",IF(F22&gt;=0,"COMPRESSION","TENSION"))</x:f>
      </x:c>
      <x:c r="H22" s="35" t="str">
        <x:f>IF($A22="","",IF(F22&gt;=0,D22,E22))</x:f>
      </x:c>
      <x:c r="I22" s="35" t="str">
        <x:f>IF($A22="","",IF(F22&gt;=0,F22/D22,IF(OR(E22="",E22=0),NA(),ABS(F22)/E22)))</x:f>
      </x:c>
      <x:c r="J22" s="35" t="str">
        <x:f>IF($A22="","",IF(F22&gt;=0,IF(I22&lt;=1,"PASS","FAIL"),IF(OR(E22="",E22=0),"BLOCK",IF(I22&lt;=1,"PASS","FAIL"))))</x:f>
      </x:c>
      <x:c r="K22" s="29" t="str">
        <x:f>IF($A22="","",F22*B22)</x:f>
      </x:c>
      <x:c r="L22" s="29" t="str">
        <x:f>IF($A22="","",F22*C22)</x:f>
      </x:c>
      <x:c r="M22" s="29" t="str">
        <x:f>IF($A22="","",PILE_POINTS!F11)</x:f>
      </x:c>
      <x:c r="N22" s="29" t="str">
        <x:f>IF($A22="","",PILE_POINTS!G11)</x:f>
      </x:c>
      <x:c r="O22" s="29"/>
      <x:c r="P22" s="29"/>
      <x:c r="Q22" s="29"/>
    </x:row>
    <x:row r="23" ht="15" hidden="0" customHeight="1">
      <x:c r="A23" s="29" t="str">
        <x:f>IF(PILE_POINTS!A12="","",PILE_POINTS!A12)</x:f>
      </x:c>
      <x:c r="B23" s="29" t="str">
        <x:f>IF($A23="","",PILE_POINTS!B12)</x:f>
      </x:c>
      <x:c r="C23" s="29" t="str">
        <x:f>IF($A23="","",PILE_POINTS!C12)</x:f>
      </x:c>
      <x:c r="D23" s="29" t="str">
        <x:f>IF($A23="","",PILE_POINTS!D12)</x:f>
      </x:c>
      <x:c r="E23" s="29" t="str">
        <x:f>IF($A23="","",PILE_POINTS!E12)</x:f>
      </x:c>
      <x:c r="F23" s="35" t="str">
        <x:f>IF($A23="","",$H$3+$H$4*B23+$H$5*C23)</x:f>
      </x:c>
      <x:c r="G23" s="35" t="str">
        <x:f>IF($A23="","",IF(F23&gt;=0,"COMPRESSION","TENSION"))</x:f>
      </x:c>
      <x:c r="H23" s="35" t="str">
        <x:f>IF($A23="","",IF(F23&gt;=0,D23,E23))</x:f>
      </x:c>
      <x:c r="I23" s="35" t="str">
        <x:f>IF($A23="","",IF(F23&gt;=0,F23/D23,IF(OR(E23="",E23=0),NA(),ABS(F23)/E23)))</x:f>
      </x:c>
      <x:c r="J23" s="35" t="str">
        <x:f>IF($A23="","",IF(F23&gt;=0,IF(I23&lt;=1,"PASS","FAIL"),IF(OR(E23="",E23=0),"BLOCK",IF(I23&lt;=1,"PASS","FAIL"))))</x:f>
      </x:c>
      <x:c r="K23" s="29" t="str">
        <x:f>IF($A23="","",F23*B23)</x:f>
      </x:c>
      <x:c r="L23" s="29" t="str">
        <x:f>IF($A23="","",F23*C23)</x:f>
      </x:c>
      <x:c r="M23" s="29" t="str">
        <x:f>IF($A23="","",PILE_POINTS!F12)</x:f>
      </x:c>
      <x:c r="N23" s="29" t="str">
        <x:f>IF($A23="","",PILE_POINTS!G12)</x:f>
      </x:c>
      <x:c r="O23" s="29"/>
      <x:c r="P23" s="29"/>
      <x:c r="Q23" s="29"/>
    </x:row>
    <x:row r="24" ht="15" hidden="0" customHeight="1">
      <x:c r="A24" s="29" t="str">
        <x:f>IF(PILE_POINTS!A13="","",PILE_POINTS!A13)</x:f>
      </x:c>
      <x:c r="B24" s="29" t="str">
        <x:f>IF($A24="","",PILE_POINTS!B13)</x:f>
      </x:c>
      <x:c r="C24" s="29" t="str">
        <x:f>IF($A24="","",PILE_POINTS!C13)</x:f>
      </x:c>
      <x:c r="D24" s="29" t="str">
        <x:f>IF($A24="","",PILE_POINTS!D13)</x:f>
      </x:c>
      <x:c r="E24" s="29" t="str">
        <x:f>IF($A24="","",PILE_POINTS!E13)</x:f>
      </x:c>
      <x:c r="F24" s="35" t="str">
        <x:f>IF($A24="","",$H$3+$H$4*B24+$H$5*C24)</x:f>
      </x:c>
      <x:c r="G24" s="35" t="str">
        <x:f>IF($A24="","",IF(F24&gt;=0,"COMPRESSION","TENSION"))</x:f>
      </x:c>
      <x:c r="H24" s="35" t="str">
        <x:f>IF($A24="","",IF(F24&gt;=0,D24,E24))</x:f>
      </x:c>
      <x:c r="I24" s="35" t="str">
        <x:f>IF($A24="","",IF(F24&gt;=0,F24/D24,IF(OR(E24="",E24=0),NA(),ABS(F24)/E24)))</x:f>
      </x:c>
      <x:c r="J24" s="35" t="str">
        <x:f>IF($A24="","",IF(F24&gt;=0,IF(I24&lt;=1,"PASS","FAIL"),IF(OR(E24="",E24=0),"BLOCK",IF(I24&lt;=1,"PASS","FAIL"))))</x:f>
      </x:c>
      <x:c r="K24" s="29" t="str">
        <x:f>IF($A24="","",F24*B24)</x:f>
      </x:c>
      <x:c r="L24" s="29" t="str">
        <x:f>IF($A24="","",F24*C24)</x:f>
      </x:c>
      <x:c r="M24" s="29" t="str">
        <x:f>IF($A24="","",PILE_POINTS!F13)</x:f>
      </x:c>
      <x:c r="N24" s="29" t="str">
        <x:f>IF($A24="","",PILE_POINTS!G13)</x:f>
      </x:c>
      <x:c r="O24" s="29"/>
      <x:c r="P24" s="29"/>
      <x:c r="Q24" s="29"/>
    </x:row>
    <x:row r="25" ht="15" hidden="0" customHeight="1">
      <x:c r="A25" s="29" t="str">
        <x:f>IF(PILE_POINTS!A14="","",PILE_POINTS!A14)</x:f>
      </x:c>
      <x:c r="B25" s="29" t="str">
        <x:f>IF($A25="","",PILE_POINTS!B14)</x:f>
      </x:c>
      <x:c r="C25" s="29" t="str">
        <x:f>IF($A25="","",PILE_POINTS!C14)</x:f>
      </x:c>
      <x:c r="D25" s="29" t="str">
        <x:f>IF($A25="","",PILE_POINTS!D14)</x:f>
      </x:c>
      <x:c r="E25" s="29" t="str">
        <x:f>IF($A25="","",PILE_POINTS!E14)</x:f>
      </x:c>
      <x:c r="F25" s="35" t="str">
        <x:f>IF($A25="","",$H$3+$H$4*B25+$H$5*C25)</x:f>
      </x:c>
      <x:c r="G25" s="35" t="str">
        <x:f>IF($A25="","",IF(F25&gt;=0,"COMPRESSION","TENSION"))</x:f>
      </x:c>
      <x:c r="H25" s="35" t="str">
        <x:f>IF($A25="","",IF(F25&gt;=0,D25,E25))</x:f>
      </x:c>
      <x:c r="I25" s="35" t="str">
        <x:f>IF($A25="","",IF(F25&gt;=0,F25/D25,IF(OR(E25="",E25=0),NA(),ABS(F25)/E25)))</x:f>
      </x:c>
      <x:c r="J25" s="35" t="str">
        <x:f>IF($A25="","",IF(F25&gt;=0,IF(I25&lt;=1,"PASS","FAIL"),IF(OR(E25="",E25=0),"BLOCK",IF(I25&lt;=1,"PASS","FAIL"))))</x:f>
      </x:c>
      <x:c r="K25" s="29" t="str">
        <x:f>IF($A25="","",F25*B25)</x:f>
      </x:c>
      <x:c r="L25" s="29" t="str">
        <x:f>IF($A25="","",F25*C25)</x:f>
      </x:c>
      <x:c r="M25" s="29" t="str">
        <x:f>IF($A25="","",PILE_POINTS!F14)</x:f>
      </x:c>
      <x:c r="N25" s="29" t="str">
        <x:f>IF($A25="","",PILE_POINTS!G14)</x:f>
      </x:c>
      <x:c r="O25" s="29"/>
      <x:c r="P25" s="29"/>
      <x:c r="Q25" s="29"/>
    </x:row>
    <x:row r="26" ht="15" hidden="0" customHeight="1">
      <x:c r="A26" s="29" t="str">
        <x:f>IF(PILE_POINTS!A15="","",PILE_POINTS!A15)</x:f>
      </x:c>
      <x:c r="B26" s="29" t="str">
        <x:f>IF($A26="","",PILE_POINTS!B15)</x:f>
      </x:c>
      <x:c r="C26" s="29" t="str">
        <x:f>IF($A26="","",PILE_POINTS!C15)</x:f>
      </x:c>
      <x:c r="D26" s="29" t="str">
        <x:f>IF($A26="","",PILE_POINTS!D15)</x:f>
      </x:c>
      <x:c r="E26" s="29" t="str">
        <x:f>IF($A26="","",PILE_POINTS!E15)</x:f>
      </x:c>
      <x:c r="F26" s="35" t="str">
        <x:f>IF($A26="","",$H$3+$H$4*B26+$H$5*C26)</x:f>
      </x:c>
      <x:c r="G26" s="35" t="str">
        <x:f>IF($A26="","",IF(F26&gt;=0,"COMPRESSION","TENSION"))</x:f>
      </x:c>
      <x:c r="H26" s="35" t="str">
        <x:f>IF($A26="","",IF(F26&gt;=0,D26,E26))</x:f>
      </x:c>
      <x:c r="I26" s="35" t="str">
        <x:f>IF($A26="","",IF(F26&gt;=0,F26/D26,IF(OR(E26="",E26=0),NA(),ABS(F26)/E26)))</x:f>
      </x:c>
      <x:c r="J26" s="35" t="str">
        <x:f>IF($A26="","",IF(F26&gt;=0,IF(I26&lt;=1,"PASS","FAIL"),IF(OR(E26="",E26=0),"BLOCK",IF(I26&lt;=1,"PASS","FAIL"))))</x:f>
      </x:c>
      <x:c r="K26" s="29" t="str">
        <x:f>IF($A26="","",F26*B26)</x:f>
      </x:c>
      <x:c r="L26" s="29" t="str">
        <x:f>IF($A26="","",F26*C26)</x:f>
      </x:c>
      <x:c r="M26" s="29" t="str">
        <x:f>IF($A26="","",PILE_POINTS!F15)</x:f>
      </x:c>
      <x:c r="N26" s="29" t="str">
        <x:f>IF($A26="","",PILE_POINTS!G15)</x:f>
      </x:c>
      <x:c r="O26" s="29"/>
      <x:c r="P26" s="29"/>
      <x:c r="Q26" s="29"/>
    </x:row>
    <x:row r="27" ht="15" hidden="0" customHeight="1">
      <x:c r="A27" s="29" t="str">
        <x:f>IF(PILE_POINTS!A16="","",PILE_POINTS!A16)</x:f>
      </x:c>
      <x:c r="B27" s="29" t="str">
        <x:f>IF($A27="","",PILE_POINTS!B16)</x:f>
      </x:c>
      <x:c r="C27" s="29" t="str">
        <x:f>IF($A27="","",PILE_POINTS!C16)</x:f>
      </x:c>
      <x:c r="D27" s="29" t="str">
        <x:f>IF($A27="","",PILE_POINTS!D16)</x:f>
      </x:c>
      <x:c r="E27" s="29" t="str">
        <x:f>IF($A27="","",PILE_POINTS!E16)</x:f>
      </x:c>
      <x:c r="F27" s="35" t="str">
        <x:f>IF($A27="","",$H$3+$H$4*B27+$H$5*C27)</x:f>
      </x:c>
      <x:c r="G27" s="35" t="str">
        <x:f>IF($A27="","",IF(F27&gt;=0,"COMPRESSION","TENSION"))</x:f>
      </x:c>
      <x:c r="H27" s="35" t="str">
        <x:f>IF($A27="","",IF(F27&gt;=0,D27,E27))</x:f>
      </x:c>
      <x:c r="I27" s="35" t="str">
        <x:f>IF($A27="","",IF(F27&gt;=0,F27/D27,IF(OR(E27="",E27=0),NA(),ABS(F27)/E27)))</x:f>
      </x:c>
      <x:c r="J27" s="35" t="str">
        <x:f>IF($A27="","",IF(F27&gt;=0,IF(I27&lt;=1,"PASS","FAIL"),IF(OR(E27="",E27=0),"BLOCK",IF(I27&lt;=1,"PASS","FAIL"))))</x:f>
      </x:c>
      <x:c r="K27" s="29" t="str">
        <x:f>IF($A27="","",F27*B27)</x:f>
      </x:c>
      <x:c r="L27" s="29" t="str">
        <x:f>IF($A27="","",F27*C27)</x:f>
      </x:c>
      <x:c r="M27" s="29" t="str">
        <x:f>IF($A27="","",PILE_POINTS!F16)</x:f>
      </x:c>
      <x:c r="N27" s="29" t="str">
        <x:f>IF($A27="","",PILE_POINTS!G16)</x:f>
      </x:c>
      <x:c r="O27" s="29"/>
      <x:c r="P27" s="29"/>
      <x:c r="Q27" s="29"/>
    </x:row>
    <x:row r="28" ht="15" hidden="0" customHeight="1">
      <x:c r="A28" s="29" t="str">
        <x:f>IF(PILE_POINTS!A17="","",PILE_POINTS!A17)</x:f>
      </x:c>
      <x:c r="B28" s="29" t="str">
        <x:f>IF($A28="","",PILE_POINTS!B17)</x:f>
      </x:c>
      <x:c r="C28" s="29" t="str">
        <x:f>IF($A28="","",PILE_POINTS!C17)</x:f>
      </x:c>
      <x:c r="D28" s="29" t="str">
        <x:f>IF($A28="","",PILE_POINTS!D17)</x:f>
      </x:c>
      <x:c r="E28" s="29" t="str">
        <x:f>IF($A28="","",PILE_POINTS!E17)</x:f>
      </x:c>
      <x:c r="F28" s="35" t="str">
        <x:f>IF($A28="","",$H$3+$H$4*B28+$H$5*C28)</x:f>
      </x:c>
      <x:c r="G28" s="35" t="str">
        <x:f>IF($A28="","",IF(F28&gt;=0,"COMPRESSION","TENSION"))</x:f>
      </x:c>
      <x:c r="H28" s="35" t="str">
        <x:f>IF($A28="","",IF(F28&gt;=0,D28,E28))</x:f>
      </x:c>
      <x:c r="I28" s="35" t="str">
        <x:f>IF($A28="","",IF(F28&gt;=0,F28/D28,IF(OR(E28="",E28=0),NA(),ABS(F28)/E28)))</x:f>
      </x:c>
      <x:c r="J28" s="35" t="str">
        <x:f>IF($A28="","",IF(F28&gt;=0,IF(I28&lt;=1,"PASS","FAIL"),IF(OR(E28="",E28=0),"BLOCK",IF(I28&lt;=1,"PASS","FAIL"))))</x:f>
      </x:c>
      <x:c r="K28" s="29" t="str">
        <x:f>IF($A28="","",F28*B28)</x:f>
      </x:c>
      <x:c r="L28" s="29" t="str">
        <x:f>IF($A28="","",F28*C28)</x:f>
      </x:c>
      <x:c r="M28" s="29" t="str">
        <x:f>IF($A28="","",PILE_POINTS!F17)</x:f>
      </x:c>
      <x:c r="N28" s="29" t="str">
        <x:f>IF($A28="","",PILE_POINTS!G17)</x:f>
      </x:c>
      <x:c r="O28" s="29"/>
      <x:c r="P28" s="29"/>
      <x:c r="Q28" s="29"/>
    </x:row>
    <x:row r="29" ht="15" hidden="0" customHeight="1">
      <x:c r="A29" s="29" t="str">
        <x:f>IF(PILE_POINTS!A18="","",PILE_POINTS!A18)</x:f>
      </x:c>
      <x:c r="B29" s="29" t="str">
        <x:f>IF($A29="","",PILE_POINTS!B18)</x:f>
      </x:c>
      <x:c r="C29" s="29" t="str">
        <x:f>IF($A29="","",PILE_POINTS!C18)</x:f>
      </x:c>
      <x:c r="D29" s="29" t="str">
        <x:f>IF($A29="","",PILE_POINTS!D18)</x:f>
      </x:c>
      <x:c r="E29" s="29" t="str">
        <x:f>IF($A29="","",PILE_POINTS!E18)</x:f>
      </x:c>
      <x:c r="F29" s="35" t="str">
        <x:f>IF($A29="","",$H$3+$H$4*B29+$H$5*C29)</x:f>
      </x:c>
      <x:c r="G29" s="35" t="str">
        <x:f>IF($A29="","",IF(F29&gt;=0,"COMPRESSION","TENSION"))</x:f>
      </x:c>
      <x:c r="H29" s="35" t="str">
        <x:f>IF($A29="","",IF(F29&gt;=0,D29,E29))</x:f>
      </x:c>
      <x:c r="I29" s="35" t="str">
        <x:f>IF($A29="","",IF(F29&gt;=0,F29/D29,IF(OR(E29="",E29=0),NA(),ABS(F29)/E29)))</x:f>
      </x:c>
      <x:c r="J29" s="35" t="str">
        <x:f>IF($A29="","",IF(F29&gt;=0,IF(I29&lt;=1,"PASS","FAIL"),IF(OR(E29="",E29=0),"BLOCK",IF(I29&lt;=1,"PASS","FAIL"))))</x:f>
      </x:c>
      <x:c r="K29" s="29" t="str">
        <x:f>IF($A29="","",F29*B29)</x:f>
      </x:c>
      <x:c r="L29" s="29" t="str">
        <x:f>IF($A29="","",F29*C29)</x:f>
      </x:c>
      <x:c r="M29" s="29" t="str">
        <x:f>IF($A29="","",PILE_POINTS!F18)</x:f>
      </x:c>
      <x:c r="N29" s="29" t="str">
        <x:f>IF($A29="","",PILE_POINTS!G18)</x:f>
      </x:c>
      <x:c r="O29" s="29"/>
      <x:c r="P29" s="29"/>
      <x:c r="Q29" s="29"/>
    </x:row>
    <x:row r="30" ht="15" hidden="0" customHeight="1">
      <x:c r="A30" s="29" t="str">
        <x:f>IF(PILE_POINTS!A19="","",PILE_POINTS!A19)</x:f>
      </x:c>
      <x:c r="B30" s="29" t="str">
        <x:f>IF($A30="","",PILE_POINTS!B19)</x:f>
      </x:c>
      <x:c r="C30" s="29" t="str">
        <x:f>IF($A30="","",PILE_POINTS!C19)</x:f>
      </x:c>
      <x:c r="D30" s="29" t="str">
        <x:f>IF($A30="","",PILE_POINTS!D19)</x:f>
      </x:c>
      <x:c r="E30" s="29" t="str">
        <x:f>IF($A30="","",PILE_POINTS!E19)</x:f>
      </x:c>
      <x:c r="F30" s="35" t="str">
        <x:f>IF($A30="","",$H$3+$H$4*B30+$H$5*C30)</x:f>
      </x:c>
      <x:c r="G30" s="35" t="str">
        <x:f>IF($A30="","",IF(F30&gt;=0,"COMPRESSION","TENSION"))</x:f>
      </x:c>
      <x:c r="H30" s="35" t="str">
        <x:f>IF($A30="","",IF(F30&gt;=0,D30,E30))</x:f>
      </x:c>
      <x:c r="I30" s="35" t="str">
        <x:f>IF($A30="","",IF(F30&gt;=0,F30/D30,IF(OR(E30="",E30=0),NA(),ABS(F30)/E30)))</x:f>
      </x:c>
      <x:c r="J30" s="35" t="str">
        <x:f>IF($A30="","",IF(F30&gt;=0,IF(I30&lt;=1,"PASS","FAIL"),IF(OR(E30="",E30=0),"BLOCK",IF(I30&lt;=1,"PASS","FAIL"))))</x:f>
      </x:c>
      <x:c r="K30" s="29" t="str">
        <x:f>IF($A30="","",F30*B30)</x:f>
      </x:c>
      <x:c r="L30" s="29" t="str">
        <x:f>IF($A30="","",F30*C30)</x:f>
      </x:c>
      <x:c r="M30" s="29" t="str">
        <x:f>IF($A30="","",PILE_POINTS!F19)</x:f>
      </x:c>
      <x:c r="N30" s="29" t="str">
        <x:f>IF($A30="","",PILE_POINTS!G19)</x:f>
      </x:c>
      <x:c r="O30" s="29"/>
      <x:c r="P30" s="29"/>
      <x:c r="Q30" s="29"/>
    </x:row>
    <x:row r="31" ht="15" hidden="0" customHeight="1">
      <x:c r="A31" s="29" t="str">
        <x:f>IF(PILE_POINTS!A20="","",PILE_POINTS!A20)</x:f>
      </x:c>
      <x:c r="B31" s="29" t="str">
        <x:f>IF($A31="","",PILE_POINTS!B20)</x:f>
      </x:c>
      <x:c r="C31" s="29" t="str">
        <x:f>IF($A31="","",PILE_POINTS!C20)</x:f>
      </x:c>
      <x:c r="D31" s="29" t="str">
        <x:f>IF($A31="","",PILE_POINTS!D20)</x:f>
      </x:c>
      <x:c r="E31" s="29" t="str">
        <x:f>IF($A31="","",PILE_POINTS!E20)</x:f>
      </x:c>
      <x:c r="F31" s="35" t="str">
        <x:f>IF($A31="","",$H$3+$H$4*B31+$H$5*C31)</x:f>
      </x:c>
      <x:c r="G31" s="35" t="str">
        <x:f>IF($A31="","",IF(F31&gt;=0,"COMPRESSION","TENSION"))</x:f>
      </x:c>
      <x:c r="H31" s="35" t="str">
        <x:f>IF($A31="","",IF(F31&gt;=0,D31,E31))</x:f>
      </x:c>
      <x:c r="I31" s="35" t="str">
        <x:f>IF($A31="","",IF(F31&gt;=0,F31/D31,IF(OR(E31="",E31=0),NA(),ABS(F31)/E31)))</x:f>
      </x:c>
      <x:c r="J31" s="35" t="str">
        <x:f>IF($A31="","",IF(F31&gt;=0,IF(I31&lt;=1,"PASS","FAIL"),IF(OR(E31="",E31=0),"BLOCK",IF(I31&lt;=1,"PASS","FAIL"))))</x:f>
      </x:c>
      <x:c r="K31" s="29" t="str">
        <x:f>IF($A31="","",F31*B31)</x:f>
      </x:c>
      <x:c r="L31" s="29" t="str">
        <x:f>IF($A31="","",F31*C31)</x:f>
      </x:c>
      <x:c r="M31" s="29" t="str">
        <x:f>IF($A31="","",PILE_POINTS!F20)</x:f>
      </x:c>
      <x:c r="N31" s="29" t="str">
        <x:f>IF($A31="","",PILE_POINTS!G20)</x:f>
      </x:c>
      <x:c r="O31" s="29"/>
      <x:c r="P31" s="29"/>
      <x:c r="Q31" s="29"/>
    </x:row>
    <x:row r="32" ht="15" hidden="0" customHeight="1">
      <x:c r="A32" s="29" t="str">
        <x:f>IF(PILE_POINTS!A21="","",PILE_POINTS!A21)</x:f>
      </x:c>
      <x:c r="B32" s="29" t="str">
        <x:f>IF($A32="","",PILE_POINTS!B21)</x:f>
      </x:c>
      <x:c r="C32" s="29" t="str">
        <x:f>IF($A32="","",PILE_POINTS!C21)</x:f>
      </x:c>
      <x:c r="D32" s="29" t="str">
        <x:f>IF($A32="","",PILE_POINTS!D21)</x:f>
      </x:c>
      <x:c r="E32" s="29" t="str">
        <x:f>IF($A32="","",PILE_POINTS!E21)</x:f>
      </x:c>
      <x:c r="F32" s="35" t="str">
        <x:f>IF($A32="","",$H$3+$H$4*B32+$H$5*C32)</x:f>
      </x:c>
      <x:c r="G32" s="35" t="str">
        <x:f>IF($A32="","",IF(F32&gt;=0,"COMPRESSION","TENSION"))</x:f>
      </x:c>
      <x:c r="H32" s="35" t="str">
        <x:f>IF($A32="","",IF(F32&gt;=0,D32,E32))</x:f>
      </x:c>
      <x:c r="I32" s="35" t="str">
        <x:f>IF($A32="","",IF(F32&gt;=0,F32/D32,IF(OR(E32="",E32=0),NA(),ABS(F32)/E32)))</x:f>
      </x:c>
      <x:c r="J32" s="35" t="str">
        <x:f>IF($A32="","",IF(F32&gt;=0,IF(I32&lt;=1,"PASS","FAIL"),IF(OR(E32="",E32=0),"BLOCK",IF(I32&lt;=1,"PASS","FAIL"))))</x:f>
      </x:c>
      <x:c r="K32" s="29" t="str">
        <x:f>IF($A32="","",F32*B32)</x:f>
      </x:c>
      <x:c r="L32" s="29" t="str">
        <x:f>IF($A32="","",F32*C32)</x:f>
      </x:c>
      <x:c r="M32" s="29" t="str">
        <x:f>IF($A32="","",PILE_POINTS!F21)</x:f>
      </x:c>
      <x:c r="N32" s="29" t="str">
        <x:f>IF($A32="","",PILE_POINTS!G21)</x:f>
      </x:c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Item</x:v>
      </x:c>
      <x:c r="B1" s="16" t="str">
        <x:v>Authority</x:v>
      </x:c>
      <x:c r="C1" s="16" t="str">
        <x:v>Status</x:v>
      </x:c>
      <x:c r="D1" s="16" t="str">
        <x:v>Use</x:v>
      </x:c>
      <x:c r="E1" s="16" t="str">
        <x:v>Reference</x:v>
      </x:c>
      <x:c r="F1" s="16" t="str">
        <x:v>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Compression capacity</x:v>
      </x:c>
      <x:c r="B2" s="29" t="str">
        <x:v>TCVN/HNL verified chain</x:v>
      </x:c>
      <x:c r="C2" s="29" t="str">
        <x:v>VERIFIED upstream</x:v>
      </x:c>
      <x:c r="D2" s="29" t="str">
        <x:v>Input</x:v>
      </x:c>
      <x:c r="E2" s="29" t="str">
        <x:v>Rpile / Nd,max</x:v>
      </x:c>
      <x:c r="F2" s="29" t="str">
        <x:v>Preserve provenance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Reaction distribution</x:v>
      </x:c>
      <x:c r="B3" s="29" t="str">
        <x:v>Engineering statics</x:v>
      </x:c>
      <x:c r="C3" s="29" t="str">
        <x:v>REVIEW</x:v>
      </x:c>
      <x:c r="D3" s="29" t="str">
        <x:v>Axial reaction</x:v>
      </x:c>
      <x:c r="E3" s="29" t="str">
        <x:v>Ni=a+b*x+c*y</x:v>
      </x:c>
      <x:c r="F3" s="29" t="str">
        <x:v>Benchmark XLSM before LOCK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TM SCT Coc</x:v>
      </x:c>
      <x:c r="B4" s="29" t="str">
        <x:v>DCE XLSM</x:v>
      </x:c>
      <x:c r="C4" s="29" t="str">
        <x:v>REFERENCE</x:v>
      </x:c>
      <x:c r="D4" s="29" t="str">
        <x:v>Workflow benchmark</x:v>
      </x:c>
      <x:c r="E4" s="29" t="str">
        <x:v>6082 formulas</x:v>
      </x:c>
      <x:c r="F4" s="29" t="str">
        <x:v>0 UDF/XLL per prior audit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Vx/Vy/T</x:v>
      </x:c>
      <x:c r="B5" s="29" t="str">
        <x:v>No verified axial coupling</x:v>
      </x:c>
      <x:c r="C5" s="29" t="str">
        <x:v>METADATA</x:v>
      </x:c>
      <x:c r="D5" s="29" t="str">
        <x:v>Carry only</x:v>
      </x:c>
      <x:c r="E5" s="29" t="str">
        <x:v>—</x:v>
      </x:c>
      <x:c r="F5" s="29" t="str">
        <x:v>Do not add to Ni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Tension</x:v>
      </x:c>
      <x:c r="B6" s="29" t="str">
        <x:v>Separate verified source</x:v>
      </x:c>
      <x:c r="C6" s="29" t="str">
        <x:v>BLOCK if absent</x:v>
      </x:c>
      <x:c r="D6" s="29" t="str">
        <x:v>Tension check</x:v>
      </x:c>
      <x:c r="E6" s="29" t="str">
        <x:v>—</x:v>
      </x:c>
      <x:c r="F6" s="29" t="str">
        <x:v>Never reuse compression Rpile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ETABS/SAP importer</x:v>
      </x:c>
      <x:c r="B7" s="29" t="str">
        <x:v>Future P1 Pass 5</x:v>
      </x:c>
      <x:c r="C7" s="29" t="str">
        <x:v>DEFERRED</x:v>
      </x:c>
      <x:c r="D7" s="29" t="str">
        <x:v>Not implemented</x:v>
      </x:c>
      <x:c r="E7" s="29" t="str">
        <x:v>—</x:v>
      </x:c>
      <x:c r="F7" s="29" t="str">
        <x:v>After reaction LOCK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Search Brain</x:v>
      </x:c>
      <x:c r="B8" s="29" t="str">
        <x:v>HNL locked</x:v>
      </x:c>
      <x:c r="C8" s="29" t="str">
        <x:v>LOCKED</x:v>
      </x:c>
      <x:c r="D8" s="29" t="str">
        <x:v>Do not modify</x:v>
      </x:c>
      <x:c r="E8" s="29" t="str">
        <x:v>f9b65e5e...21d2</x:v>
      </x:c>
      <x:c r="F8" s="29" t="str">
        <x:v>No search.js changes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Gate</x:v>
      </x:c>
      <x:c r="B1" s="16" t="str">
        <x:v>Result</x:v>
      </x:c>
      <x:c r="C1" s="16" t="str">
        <x:v>Status</x:v>
      </x:c>
      <x:c r="D1" s="16" t="str">
        <x:v>Note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Engine seed tests</x:v>
      </x:c>
      <x:c r="B2" s="29" t="str">
        <x:v>12/12</x:v>
      </x:c>
      <x:c r="C2" s="29" t="str">
        <x:v>PASS</x:v>
      </x:c>
      <x:c r="D2" s="29" t="str">
        <x:v>Executed in runtime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Formula-only workbook</x:v>
      </x:c>
      <x:c r="B3" s="29" t="str">
        <x:v>Created</x:v>
      </x:c>
      <x:c r="C3" s="29" t="str">
        <x:v>PASS</x:v>
      </x:c>
      <x:c r="D3" s="29" t="str">
        <x:v>Live formulas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Static equilibrium</x:v>
      </x:c>
      <x:c r="B4" s="29" t="str">
        <x:v>ΣN, ΣMx, ΣMy</x:v>
      </x:c>
      <x:c r="C4" s="29" t="str">
        <x:v>FORMULA</x:v>
      </x:c>
      <x:c r="D4" s="29" t="str">
        <x:v>Full coupled 3x3 solution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Tension without capacity</x:v>
      </x:c>
      <x:c r="B5" s="29" t="str">
        <x:v>BLOCK</x:v>
      </x:c>
      <x:c r="C5" s="29" t="str">
        <x:v>PASS</x:v>
      </x:c>
      <x:c r="D5" s="29" t="str">
        <x:v>Safety behavior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Vx/Vy/T axial coupling</x:v>
      </x:c>
      <x:c r="B6" s="29" t="str">
        <x:v>Not used</x:v>
      </x:c>
      <x:c r="C6" s="29" t="str">
        <x:v>PASS</x:v>
      </x:c>
      <x:c r="D6" s="29" t="str">
        <x:v>Metadata only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XLSM TM SCT Coc mapping</x:v>
      </x:c>
      <x:c r="B7" s="29" t="str">
        <x:v>Not run</x:v>
      </x:c>
      <x:c r="C7" s="29" t="str">
        <x:v>BLOCKED</x:v>
      </x:c>
      <x:c r="D7" s="29" t="str">
        <x:v>Workbook bytes not mounted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XLSM ↔ Engine benchmark</x:v>
      </x:c>
      <x:c r="B8" s="29" t="str">
        <x:v>Not run</x:v>
      </x:c>
      <x:c r="C8" s="29" t="str">
        <x:v>BLOCKED</x:v>
      </x:c>
      <x:c r="D8" s="29" t="str">
        <x:v>Needs cell formulas/cached values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 t="str">
        <x:v>Engine ↔ Excel benchmark</x:v>
      </x:c>
      <x:c r="B9" s="29" t="str">
        <x:v>Seed ready</x:v>
      </x:c>
      <x:c r="C9" s="29" t="str">
        <x:v>REVIEW</x:v>
      </x:c>
      <x:c r="D9" s="29" t="str">
        <x:v>Independent formula model created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Excel COM recalculation</x:v>
      </x:c>
      <x:c r="B10" s="29" t="str">
        <x:v>Not run</x:v>
      </x:c>
      <x:c r="C10" s="29" t="str">
        <x:v>ENV BLOCK</x:v>
      </x:c>
      <x:c r="D10" s="29" t="str">
        <x:v>Needs Windows Excel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 t="str">
        <x:v>Production status</x:v>
      </x:c>
      <x:c r="B11" s="29" t="str">
        <x:v>FALSE</x:v>
      </x:c>
      <x:c r="C11" s="29" t="str">
        <x:v>REVIEW</x:v>
      </x:c>
      <x:c r="D11" s="29" t="str">
        <x:v>Do not LOCK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Next step</x:v>
      </x:c>
      <x:c r="B12" s="29" t="str">
        <x:v>TM SCT Coc Golden</x:v>
      </x:c>
      <x:c r="C12" s="29" t="str">
        <x:v>PENDING</x:v>
      </x:c>
      <x:c r="D12" s="29" t="str">
        <x:v>Then integrate source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 t="str">
        <x:v>Expanded Engine Golden</x:v>
      </x:c>
      <x:c r="B13" s="29" t="str">
        <x:v>24/24</x:v>
      </x:c>
      <x:c r="C13" s="29" t="str">
        <x:v>PASS</x:v>
      </x:c>
      <x:c r="D13" s="29" t="str">
        <x:v>12 original + 12 independent hand/boundary cases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 t="str">
        <x:v>Engine ↔ hand values</x:v>
      </x:c>
      <x:c r="B14" s="29" t="str">
        <x:v>G1/G2/G4/G5/G6</x:v>
      </x:c>
      <x:c r="C14" s="29" t="str">
        <x:v>PASS</x:v>
      </x:c>
      <x:c r="D14" s="29" t="str">
        <x:v>Closed-form expected values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 t="str">
        <x:v>Governing semantics</x:v>
      </x:c>
      <x:c r="B15" s="29" t="str">
        <x:v>Separated</x:v>
      </x:c>
      <x:c r="C15" s="29" t="str">
        <x:v>PASS</x:v>
      </x:c>
      <x:c r="D15" s="29" t="str">
        <x:v>maxCompressionPile != governingPile when capacities differ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 t="str">
        <x:v>XLSM Golden</x:v>
      </x:c>
      <x:c r="B16" s="29" t="str">
        <x:v>Not run</x:v>
      </x:c>
      <x:c r="C16" s="29" t="str">
        <x:v>BLOCKED</x:v>
      </x:c>
      <x:c r="D16" s="29" t="str">
        <x:v>Original XLSM bytes still unavailable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 t="str">
        <x:v>P1 Pass 4 status</x:v>
      </x:c>
      <x:c r="B17" s="29" t="str">
        <x:v>REVIEW</x:v>
      </x:c>
      <x:c r="C17" s="29" t="str">
        <x:v>UNCHANGED</x:v>
      </x:c>
      <x:c r="D17" s="29" t="str">
        <x:v>Do not promote until TM SCT Coc mapping passes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34" hidden="0" customWidth="1"/>
    <x:col min="7" max="7" width="22" hidden="0" customWidth="1"/>
    <x:col min="8" max="8" width="28" hidden="0" customWidth="1"/>
    <x:col min="9" max="9" width="12" hidden="0" customWidth="1"/>
    <x:col min="10" max="10" width="20" hidden="0" customWidth="1"/>
  </x:cols>
  <x:sheetData>
    <x:row r="1" ht="39.599998474121094" hidden="0" customHeight="1">
      <x:c r="A1" s="46" t="str">
        <x:v>Case</x:v>
      </x:c>
      <x:c r="B1" s="46" t="str">
        <x:v>Layout</x:v>
      </x:c>
      <x:c r="C1" s="46" t="str">
        <x:v>N_kN</x:v>
      </x:c>
      <x:c r="D1" s="46" t="str">
        <x:v>Mx_kNm</x:v>
      </x:c>
      <x:c r="E1" s="46" t="str">
        <x:v>My_kNm</x:v>
      </x:c>
      <x:c r="F1" s="46" t="str">
        <x:v>Expected key reactions</x:v>
      </x:c>
      <x:c r="G1" s="46" t="str">
        <x:v>Expected result</x:v>
      </x:c>
      <x:c r="H1" s="46" t="str">
        <x:v>Purpose</x:v>
      </x:c>
      <x:c r="I1" s="46" t="str">
        <x:v>Status</x:v>
      </x:c>
      <x:c r="J1" s="46" t="str">
        <x:v>XLSM status</x:v>
      </x:c>
    </x:row>
    <x:row r="2" ht="52.79999923706055" hidden="0" customHeight="1">
      <x:c r="A2" s="29" t="str">
        <x:v>G1</x:v>
      </x:c>
      <x:c r="B2" s="29" t="str">
        <x:v>2x2 @ ±1 m</x:v>
      </x:c>
      <x:c r="C2" s="29" t="n">
        <x:v>2000</x:v>
      </x:c>
      <x:c r="D2" s="29" t="n">
        <x:v>400</x:v>
      </x:c>
      <x:c r="E2" s="29" t="n">
        <x:v>200</x:v>
      </x:c>
      <x:c r="F2" s="29" t="str">
        <x:v>P1=350; P2=450; P3=550; P4=650</x:v>
      </x:c>
      <x:c r="G2" s="29" t="str">
        <x:v>PASS</x:v>
      </x:c>
      <x:c r="H2" s="29" t="str">
        <x:v>Hand-value N+Mx+My</x:v>
      </x:c>
      <x:c r="I2" s="29" t="str">
        <x:v>PASS</x:v>
      </x:c>
      <x:c r="J2" s="29" t="str">
        <x:v>NOT BENCHMARKED</x:v>
      </x:c>
    </x:row>
    <x:row r="3" ht="39.599998474121094" hidden="0" customHeight="1">
      <x:c r="A3" s="29" t="str">
        <x:v>G2</x:v>
      </x:c>
      <x:c r="B3" s="29" t="str">
        <x:v>2x2 @ ±1 m</x:v>
      </x:c>
      <x:c r="C3" s="29" t="n">
        <x:v>4000</x:v>
      </x:c>
      <x:c r="D3" s="29" t="n">
        <x:v>0</x:v>
      </x:c>
      <x:c r="E3" s="29" t="n">
        <x:v>0</x:v>
      </x:c>
      <x:c r="F3" s="29" t="str">
        <x:v>All=1000; utilization=1.0000</x:v>
      </x:c>
      <x:c r="G3" s="29" t="str">
        <x:v>PASS</x:v>
      </x:c>
      <x:c r="H3" s="29" t="str">
        <x:v>Exact capacity boundary</x:v>
      </x:c>
      <x:c r="I3" s="29" t="str">
        <x:v>PASS</x:v>
      </x:c>
      <x:c r="J3" s="29" t="str">
        <x:v>NOT BENCHMARKED</x:v>
      </x:c>
    </x:row>
    <x:row r="4" ht="39.599998474121094" hidden="0" customHeight="1">
      <x:c r="A4" s="29" t="str">
        <x:v>G3</x:v>
      </x:c>
      <x:c r="B4" s="29" t="str">
        <x:v>2x2 @ ±1 m</x:v>
      </x:c>
      <x:c r="C4" s="29" t="n">
        <x:v>4000.00001</x:v>
      </x:c>
      <x:c r="D4" s="29" t="n">
        <x:v>0</x:v>
      </x:c>
      <x:c r="E4" s="29" t="n">
        <x:v>0</x:v>
      </x:c>
      <x:c r="F4" s="29" t="str">
        <x:v>All slightly &gt;1000</x:v>
      </x:c>
      <x:c r="G4" s="29" t="str">
        <x:v>FAIL</x:v>
      </x:c>
      <x:c r="H4" s="29" t="str">
        <x:v>Epsilon above boundary</x:v>
      </x:c>
      <x:c r="I4" s="29" t="str">
        <x:v>PASS</x:v>
      </x:c>
      <x:c r="J4" s="29" t="str">
        <x:v>NOT BENCHMARKED</x:v>
      </x:c>
    </x:row>
    <x:row r="5" ht="39.599998474121094" hidden="0" customHeight="1">
      <x:c r="A5" s="29" t="str">
        <x:v>G4</x:v>
      </x:c>
      <x:c r="B5" s="29" t="str">
        <x:v>2x2 @ ±1 m</x:v>
      </x:c>
      <x:c r="C5" s="29" t="n">
        <x:v>0</x:v>
      </x:c>
      <x:c r="D5" s="29" t="n">
        <x:v>400</x:v>
      </x:c>
      <x:c r="E5" s="29" t="n">
        <x:v>0</x:v>
      </x:c>
      <x:c r="F5" s="29" t="str">
        <x:v>[-100,-100,+100,+100]</x:v>
      </x:c>
      <x:c r="G5" s="29" t="str">
        <x:v>PASS if tension cap exists</x:v>
      </x:c>
      <x:c r="H5" s="29" t="str">
        <x:v>Pure moment / uplift</x:v>
      </x:c>
      <x:c r="I5" s="29" t="str">
        <x:v>PASS</x:v>
      </x:c>
      <x:c r="J5" s="29" t="str">
        <x:v>NOT BENCHMARKED</x:v>
      </x:c>
    </x:row>
    <x:row r="6" ht="52.79999923706055" hidden="0" customHeight="1">
      <x:c r="A6" s="29" t="str">
        <x:v>G5</x:v>
      </x:c>
      <x:c r="B6" s="29" t="str">
        <x:v>3x3 @ -1,0,1</x:v>
      </x:c>
      <x:c r="C6" s="29" t="n">
        <x:v>2700</x:v>
      </x:c>
      <x:c r="D6" s="29" t="n">
        <x:v>0</x:v>
      </x:c>
      <x:c r="E6" s="29" t="n">
        <x:v>0</x:v>
      </x:c>
      <x:c r="F6" s="29" t="str">
        <x:v>All=300</x:v>
      </x:c>
      <x:c r="G6" s="29" t="str">
        <x:v>PASS</x:v>
      </x:c>
      <x:c r="H6" s="29" t="str">
        <x:v>Equal pure-N distribution</x:v>
      </x:c>
      <x:c r="I6" s="29" t="str">
        <x:v>PASS</x:v>
      </x:c>
      <x:c r="J6" s="29" t="str">
        <x:v>NOT BENCHMARKED</x:v>
      </x:c>
    </x:row>
    <x:row r="7" ht="39.599998474121094" hidden="0" customHeight="1">
      <x:c r="A7" s="29" t="str">
        <x:v>G6</x:v>
      </x:c>
      <x:c r="B7" s="29" t="str">
        <x:v>3x3 @ -1,0,1</x:v>
      </x:c>
      <x:c r="C7" s="29" t="n">
        <x:v>2700</x:v>
      </x:c>
      <x:c r="D7" s="29" t="n">
        <x:v>600</x:v>
      </x:c>
      <x:c r="E7" s="29" t="n">
        <x:v>0</x:v>
      </x:c>
      <x:c r="F7" s="29" t="str">
        <x:v>y=-1:200; y=0:300; y=+1:400</x:v>
      </x:c>
      <x:c r="G7" s="29" t="str">
        <x:v>PASS</x:v>
      </x:c>
      <x:c r="H7" s="29" t="str">
        <x:v>Mx gradient</x:v>
      </x:c>
      <x:c r="I7" s="29" t="str">
        <x:v>PASS</x:v>
      </x:c>
      <x:c r="J7" s="29" t="str">
        <x:v>NOT BENCHMARKED</x:v>
      </x:c>
    </x:row>
    <x:row r="8" ht="52.79999923706055" hidden="0" customHeight="1">
      <x:c r="A8" s="29" t="str">
        <x:v>G7</x:v>
      </x:c>
      <x:c r="B8" s="29" t="str">
        <x:v>2x2 translated</x:v>
      </x:c>
      <x:c r="C8" s="29" t="n">
        <x:v>2000</x:v>
      </x:c>
      <x:c r="D8" s="29" t="n">
        <x:v>400</x:v>
      </x:c>
      <x:c r="E8" s="29" t="n">
        <x:v>200</x:v>
      </x:c>
      <x:c r="F8" s="29" t="str">
        <x:v>Translation-equivalent reactions</x:v>
      </x:c>
      <x:c r="G8" s="29" t="str">
        <x:v>PASS</x:v>
      </x:c>
      <x:c r="H8" s="29" t="str">
        <x:v>Coordinate origin invariance</x:v>
      </x:c>
      <x:c r="I8" s="29" t="str">
        <x:v>PASS</x:v>
      </x:c>
      <x:c r="J8" s="29" t="str">
        <x:v>NOT BENCHMARKED</x:v>
      </x:c>
    </x:row>
    <x:row r="9" ht="52.79999923706055" hidden="0" customHeight="1">
      <x:c r="A9" s="29" t="str">
        <x:v>G8</x:v>
      </x:c>
      <x:c r="B9" s="29" t="str">
        <x:v>2x2 variable capacity</x:v>
      </x:c>
      <x:c r="C9" s="29" t="n">
        <x:v>1200</x:v>
      </x:c>
      <x:c r="D9" s="29" t="n">
        <x:v>0</x:v>
      </x:c>
      <x:c r="E9" s="29" t="n">
        <x:v>0</x:v>
      </x:c>
      <x:c r="F9" s="29" t="str">
        <x:v>Weak P1 governs utilization</x:v>
      </x:c>
      <x:c r="G9" s="29" t="str">
        <x:v>PASS/FAIL by capacity</x:v>
      </x:c>
      <x:c r="H9" s="29" t="str">
        <x:v>Governing≠max compression</x:v>
      </x:c>
      <x:c r="I9" s="29" t="str">
        <x:v>PASS</x:v>
      </x:c>
      <x:c r="J9" s="29" t="str">
        <x:v>NOT BENCHMARKED</x:v>
      </x:c>
    </x:row>
    <x:row r="10" ht="66" hidden="0" customHeight="1">
      <x:c r="A10" s="29" t="str">
        <x:v>G9</x:v>
      </x:c>
      <x:c r="B10" s="29" t="str">
        <x:v>2x2 ETABS sign</x:v>
      </x:c>
      <x:c r="C10" s="29" t="n">
        <x:v>-2000</x:v>
      </x:c>
      <x:c r="D10" s="29" t="n">
        <x:v>400</x:v>
      </x:c>
      <x:c r="E10" s="29" t="n">
        <x:v>200</x:v>
      </x:c>
      <x:c r="F10" s="29" t="str">
        <x:v>After N normalization: 350..650</x:v>
      </x:c>
      <x:c r="G10" s="29" t="str">
        <x:v>PASS</x:v>
      </x:c>
      <x:c r="H10" s="29" t="str">
        <x:v>compression-negative convention</x:v>
      </x:c>
      <x:c r="I10" s="29" t="str">
        <x:v>PASS</x:v>
      </x:c>
      <x:c r="J10" s="29" t="str">
        <x:v>NOT BENCHMARKED</x:v>
      </x:c>
    </x:row>
  </x:sheetData>
  <x:pageMargins left="0.7" right="0.7" top="0.75" bottom="0.75" header="0.3" footer="0.3"/>
</x:worksheet>
</file>