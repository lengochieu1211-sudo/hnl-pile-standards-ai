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65c6335e7944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bbed023caef4e36"/>
    <x:sheet xmlns:r="http://schemas.openxmlformats.org/officeDocument/2006/relationships" name="LOAD_COMBINATIONS" sheetId="2" r:id="R8818980c1d1b4673"/>
    <x:sheet xmlns:r="http://schemas.openxmlformats.org/officeDocument/2006/relationships" name="PILE_POINTS" sheetId="3" r:id="R552552a7caa1406c"/>
    <x:sheet xmlns:r="http://schemas.openxmlformats.org/officeDocument/2006/relationships" name="REACTION_CALC" sheetId="4" r:id="R57dae3f83e6d4bd7"/>
    <x:sheet xmlns:r="http://schemas.openxmlformats.org/officeDocument/2006/relationships" name="SOURCE" sheetId="5" r:id="R322b2e0b2bdc42f4"/>
    <x:sheet xmlns:r="http://schemas.openxmlformats.org/officeDocument/2006/relationships" name="AUDIT" sheetId="6" r:id="R4a3bc56c97224449"/>
    <x:sheet xmlns:r="http://schemas.openxmlformats.org/officeDocument/2006/relationships" name="GOLDEN_CASES" sheetId="7" r:id="Rd0b3929dcbb14e8b"/>
    <x:sheet xmlns:r="http://schemas.openxmlformats.org/officeDocument/2006/relationships" name="POINT_COORDINATES" sheetId="8" r:id="Rf5e5477412f84c52"/>
    <x:sheet xmlns:r="http://schemas.openxmlformats.org/officeDocument/2006/relationships" name="SPRING_ASSIGNMENTS" sheetId="9" r:id="R4e9ae14522f24fae"/>
    <x:sheet xmlns:r="http://schemas.openxmlformats.org/officeDocument/2006/relationships" name="IMPORTED_NODAL" sheetId="10" r:id="R6b265a46265a4d96"/>
    <x:sheet xmlns:r="http://schemas.openxmlformats.org/officeDocument/2006/relationships" name="IMPORTED_CHECK" sheetId="11" r:id="Rb925cfc3ab9b4aec"/>
    <x:sheet xmlns:r="http://schemas.openxmlformats.org/officeDocument/2006/relationships" name="TM_PATTERN_MAPPING" sheetId="12" r:id="Rffd6ac7e8e8c47b9"/>
    <x:sheet xmlns:r="http://schemas.openxmlformats.org/officeDocument/2006/relationships" name="TM_GOLDEN_FIXTURE" sheetId="13" r:id="R290d9052a17b47b8"/>
    <x:sheet xmlns:r="http://schemas.openxmlformats.org/officeDocument/2006/relationships" name="TM_EXACT_FINGERPRINTS" sheetId="14" r:id="Ra75643e10f564130"/>
    <x:sheet xmlns:r="http://schemas.openxmlformats.org/officeDocument/2006/relationships" name="TM_EXACT_GOLDEN" sheetId="15" r:id="R25f8e6dcd9304903"/>
    <x:sheet xmlns:r="http://schemas.openxmlformats.org/officeDocument/2006/relationships" name="TM_VBA_GROUPING" sheetId="16" r:id="Ra932564c11b6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D9EAF7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3" fillId="14" borderId="0" xfId="0" applyNumberFormat="1" applyFont="1" applyFill="1" applyBorder="1"/>
    <x:xf numFmtId="0" fontId="3" fillId="14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horizontal="center" wrapText="1"/>
    </x:xf>
    <x:xf numFmtId="0" fontId="3" fillId="14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horizontal="center" wrapText="1"/>
    </x:xf>
    <x:xf numFmtId="0" fontId="3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horizontal="center" vertical="center" wrapText="1"/>
    </x:xf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horizontal="center"/>
    </x:xf>
    <x:xf numFmtId="0" fontId="1" fillId="17" borderId="0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" fillId="18" borderId="0" xfId="0" applyNumberFormat="1" applyFont="1" applyFill="1" applyBorder="1"/>
    <x:xf numFmtId="0" fontId="2" fillId="18" borderId="0" xfId="0" applyNumberFormat="1" applyFont="1" applyFill="1" applyBorder="1" applyAlignment="1">
      <x:alignment wrapText="1"/>
    </x:xf>
    <x:xf numFmtId="0" fontId="2" fillId="18" borderId="0" xfId="0" applyNumberFormat="1" applyFont="1" applyFill="1" applyBorder="1" applyAlignment="1">
      <x:alignment horizontal="center" wrapText="1"/>
    </x:xf>
    <x:xf numFmtId="0" fontId="2" fillId="18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C6E0B4"/>
        </x:patternFill>
      </x:fill>
    </x:dxf>
    <x:dxf>
      <x:fill>
        <x:patternFill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dabd7db96476d" /><Relationship Type="http://schemas.openxmlformats.org/officeDocument/2006/relationships/theme" Target="/xl/theme/theme1.xml" Id="R179c9469c0d8494f" /><Relationship Type="http://schemas.microsoft.com/office/2022/11/relationships/FeaturePropertyBag" Target="/xl/featurePropertyBag/featurePropertyBag.xml" Id="R833b66d0781940b8" /><Relationship Type="http://schemas.openxmlformats.org/officeDocument/2006/relationships/sharedStrings" Target="/xl/sharedStrings.xml" Id="R7012e78688b942a4" /><Relationship Type="http://schemas.openxmlformats.org/officeDocument/2006/relationships/worksheet" Target="/xl/worksheets/sheet1.xml" Id="Rcbbed023caef4e36" /><Relationship Type="http://schemas.openxmlformats.org/officeDocument/2006/relationships/worksheet" Target="/xl/worksheets/sheet2.xml" Id="R8818980c1d1b4673" /><Relationship Type="http://schemas.openxmlformats.org/officeDocument/2006/relationships/worksheet" Target="/xl/worksheets/sheet3.xml" Id="R552552a7caa1406c" /><Relationship Type="http://schemas.openxmlformats.org/officeDocument/2006/relationships/worksheet" Target="/xl/worksheets/sheet4.xml" Id="R57dae3f83e6d4bd7" /><Relationship Type="http://schemas.openxmlformats.org/officeDocument/2006/relationships/worksheet" Target="/xl/worksheets/sheet5.xml" Id="R322b2e0b2bdc42f4" /><Relationship Type="http://schemas.openxmlformats.org/officeDocument/2006/relationships/worksheet" Target="/xl/worksheets/sheet6.xml" Id="R4a3bc56c97224449" /><Relationship Type="http://schemas.openxmlformats.org/officeDocument/2006/relationships/worksheet" Target="/xl/worksheets/sheet7.xml" Id="Rd0b3929dcbb14e8b" /><Relationship Type="http://schemas.openxmlformats.org/officeDocument/2006/relationships/worksheet" Target="/xl/worksheets/sheet8.xml" Id="Rf5e5477412f84c52" /><Relationship Type="http://schemas.openxmlformats.org/officeDocument/2006/relationships/worksheet" Target="/xl/worksheets/sheet9.xml" Id="R4e9ae14522f24fae" /><Relationship Type="http://schemas.openxmlformats.org/officeDocument/2006/relationships/worksheet" Target="/xl/worksheets/sheet10.xml" Id="R6b265a46265a4d96" /><Relationship Type="http://schemas.openxmlformats.org/officeDocument/2006/relationships/worksheet" Target="/xl/worksheets/sheet11.xml" Id="Rb925cfc3ab9b4aec" /><Relationship Type="http://schemas.openxmlformats.org/officeDocument/2006/relationships/worksheet" Target="/xl/worksheets/sheet12.xml" Id="Rffd6ac7e8e8c47b9" /><Relationship Type="http://schemas.openxmlformats.org/officeDocument/2006/relationships/worksheet" Target="/xl/worksheets/sheet13.xml" Id="R290d9052a17b47b8" /><Relationship Type="http://schemas.openxmlformats.org/officeDocument/2006/relationships/worksheet" Target="/xl/worksheets/sheet14.xml" Id="Ra75643e10f564130" /><Relationship Type="http://schemas.openxmlformats.org/officeDocument/2006/relationships/worksheet" Target="/xl/worksheets/sheet15.xml" Id="R25f8e6dcd9304903" /><Relationship Type="http://schemas.openxmlformats.org/officeDocument/2006/relationships/worksheet" Target="/xl/worksheets/sheet16.xml" Id="Ra932564c11b6479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6.799999237060547" hidden="0" customHeight="1">
      <x:c r="A1" s="28" t="str">
        <x:v>HNL Pile Standards AI v1.25.7 — P1 Pass 4 PileReaction Formula-Only (REVIEW)</x:v>
      </x:c>
      <x:c r="B1" s="28"/>
      <x:c r="C1" s="28"/>
      <x:c r="D1" s="28"/>
      <x:c r="E1" s="28"/>
      <x:c r="F1" s="28"/>
      <x:c r="G1" s="28"/>
      <x:c r="H1" s="28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Status</x:v>
      </x:c>
      <x:c r="B3" s="29" t="str">
        <x:v>REVIEW — NOT LOCKED / NOT XLSM-VERIFIED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Model</x:v>
      </x:c>
      <x:c r="B4" s="29" t="str">
        <x:v>Rigid-cap linear axial reaction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Reaction field</x:v>
      </x:c>
      <x:c r="B5" s="29" t="str">
        <x:v>Ni = a + b·x + c·y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Equilibrium 1</x:v>
      </x:c>
      <x:c r="B6" s="29" t="str">
        <x:v>ΣNi = N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Equilibrium 2</x:v>
      </x:c>
      <x:c r="B7" s="29" t="str">
        <x:v>ΣNi·x = My</x:v>
      </x:c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Equilibrium 3</x:v>
      </x:c>
      <x:c r="B8" s="29" t="str">
        <x:v>ΣNi·y = Mx</x:v>
      </x:c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 t="str">
        <x:v>Vx/Vy/T</x:v>
      </x:c>
      <x:c r="B9" s="29" t="str">
        <x:v>Metadata only; not added to axial pile reaction</x:v>
      </x:c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Tension</x:v>
      </x:c>
      <x:c r="B10" s="29" t="str">
        <x:v>FAIL/BLOCK unless verified tension capacity is supplied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Engine Golden</x:v>
      </x:c>
      <x:c r="B12" s="29" t="str">
        <x:v>24/24 PASS</x:v>
      </x:c>
      <x:c r="C12" s="29"/>
      <x:c r="D12" s="29" t="str">
        <x:v>Pass 4 reaction modes</x:v>
      </x:c>
      <x:c r="E12" s="29" t="str">
        <x:v>Status</x:v>
      </x:c>
      <x:c r="F12" s="29" t="str">
        <x:v>Use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Formula-only error scan</x:v>
      </x:c>
      <x:c r="B13" s="29" t="str">
        <x:v>0 obvious formula errors</x:v>
      </x:c>
      <x:c r="C13" s="29"/>
      <x:c r="D13" s="29" t="str">
        <x:v>ANALYTICAL_RIGID_CAP</x:v>
      </x:c>
      <x:c r="E13" s="29" t="str">
        <x:v>REVIEW</x:v>
      </x:c>
      <x:c r="F13" s="29" t="str">
        <x:v>HNL derives Ni from N/Mx/My</x:v>
      </x:c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39.599998474121094" hidden="0" customHeight="1">
      <x:c r="A14" s="29" t="str">
        <x:v>XLSM TM SCT Coc</x:v>
      </x:c>
      <x:c r="B14" s="29" t="str">
        <x:v>Still BLOCKED: original bytes unavailable</x:v>
      </x:c>
      <x:c r="C14" s="29"/>
      <x:c r="D14" s="29" t="str">
        <x:v>IMPORTED_NODAL_REACTION</x:v>
      </x:c>
      <x:c r="E14" s="29" t="str">
        <x:v>REVIEW</x:v>
      </x:c>
      <x:c r="F14" s="29" t="str">
        <x:v>Use imported ETABS/SAP nodal Fz directly</x:v>
      </x:c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39.599998474121094" hidden="0" customHeight="1">
      <x:c r="A15" s="29" t="str">
        <x:v>Production numeric</x:v>
      </x:c>
      <x:c r="B15" s="29" t="str">
        <x:v>FALSE</x:v>
      </x:c>
      <x:c r="C15" s="29"/>
      <x:c r="D15" s="29" t="str">
        <x:v>TM SCT Coc evidence</x:v>
      </x:c>
      <x:c r="E15" s="29" t="str">
        <x:v>REFERENCE</x:v>
      </x:c>
      <x:c r="F15" s="29" t="str">
        <x:v>Matches imported-data workflow</x:v>
      </x:c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39.599998474121094" hidden="0" customHeight="1">
      <x:c r="A16" s="29" t="str">
        <x:v>Promotion rule</x:v>
      </x:c>
      <x:c r="B16" s="29" t="str">
        <x:v>Only after XLSM ↔ Engine ↔ Excel cell-level benchmark</x:v>
      </x:c>
      <x:c r="C16" s="29"/>
      <x:c r="D16" s="29" t="str">
        <x:v>Do not conflate modes</x:v>
      </x:c>
      <x:c r="E16" s="29" t="str">
        <x:v>MANDATORY</x:v>
      </x:c>
      <x:c r="F16" s="29" t="str">
        <x:v>Workbook audit does not prove rigid-cap solver</x:v>
      </x:c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/>
      <x:c r="B17" s="29"/>
      <x:c r="C17" s="29"/>
      <x:c r="D17" s="29" t="str">
        <x:v>Promotion</x:v>
      </x:c>
      <x:c r="E17" s="29" t="str">
        <x:v>BLOCKED</x:v>
      </x:c>
      <x:c r="F17" s="29" t="str">
        <x:v>Requires TM SCT Coc cell-level benchmark</x:v>
      </x:c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 t="str">
        <x:v>TM SCT Coc Pattern</x:v>
      </x:c>
      <x:c r="E18" s="29" t="str">
        <x:v>Status</x:v>
      </x:c>
      <x:c r="F18" s="29" t="str">
        <x:v>Note</x:v>
      </x:c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 t="str">
        <x:v>JOIN</x:v>
      </x:c>
      <x:c r="E19" s="29" t="str">
        <x:v>REVIEW</x:v>
      </x:c>
      <x:c r="F19" s="29" t="str">
        <x:v>Exact cell/range pending</x:v>
      </x:c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 t="str">
        <x:v>ACTION</x:v>
      </x:c>
      <x:c r="E20" s="29" t="str">
        <x:v>REVIEW</x:v>
      </x:c>
      <x:c r="F20" s="29" t="str">
        <x:v>Exact sign mapping pending</x:v>
      </x:c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 t="str">
        <x:v>CAPACITY</x:v>
      </x:c>
      <x:c r="E21" s="29" t="str">
        <x:v>REVIEW</x:v>
      </x:c>
      <x:c r="F21" s="29" t="str">
        <x:v>Upstream capacity VERIFIED; XLSM basis pending</x:v>
      </x:c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 t="str">
        <x:v>UTILIZATION</x:v>
      </x:c>
      <x:c r="E22" s="29" t="str">
        <x:v>REVIEW</x:v>
      </x:c>
      <x:c r="F22" s="29" t="str">
        <x:v>Pattern reconstructed</x:v>
      </x:c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 t="str">
        <x:v>STATUS</x:v>
      </x:c>
      <x:c r="E23" s="29" t="str">
        <x:v>REVIEW</x:v>
      </x:c>
      <x:c r="F23" s="29" t="str">
        <x:v>Boundary/governing pattern reconstructed</x:v>
      </x:c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combinationId</x:v>
      </x:c>
      <x:c r="B1" s="16" t="str">
        <x:v>combinationName</x:v>
      </x:c>
      <x:c r="C1" s="16" t="str">
        <x:v>N_kN</x:v>
      </x:c>
      <x:c r="D1" s="16" t="str">
        <x:v>Mx_kNm</x:v>
      </x:c>
      <x:c r="E1" s="16" t="str">
        <x:v>My_kNm</x:v>
      </x:c>
      <x:c r="F1" s="16" t="str">
        <x:v>Vx_kN</x:v>
      </x:c>
      <x:c r="G1" s="16" t="str">
        <x:v>Vy_kN</x:v>
      </x:c>
      <x:c r="H1" s="16" t="str">
        <x:v>T_kNm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ULS-1</x:v>
      </x:c>
      <x:c r="B2" s="29" t="str">
        <x:v>Normal compression</x:v>
      </x:c>
      <x:c r="C2" s="29" t="n">
        <x:v>2000</x:v>
      </x:c>
      <x:c r="D2" s="29" t="n">
        <x:v>0</x:v>
      </x:c>
      <x:c r="E2" s="29" t="n">
        <x:v>0</x:v>
      </x:c>
      <x:c r="F2" s="29" t="n">
        <x:v>0</x:v>
      </x:c>
      <x:c r="G2" s="29" t="n">
        <x:v>0</x:v>
      </x:c>
      <x:c r="H2" s="29" t="n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ULS-2</x:v>
      </x:c>
      <x:c r="B3" s="29" t="str">
        <x:v>Mx governs</x:v>
      </x:c>
      <x:c r="C3" s="29" t="n">
        <x:v>1600</x:v>
      </x:c>
      <x:c r="D3" s="29" t="n">
        <x:v>800</x:v>
      </x:c>
      <x:c r="E3" s="29" t="n">
        <x:v>0</x:v>
      </x:c>
      <x:c r="F3" s="29" t="n">
        <x:v>0</x:v>
      </x:c>
      <x:c r="G3" s="29" t="n">
        <x:v>0</x:v>
      </x:c>
      <x:c r="H3" s="29" t="n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ULS-3</x:v>
      </x:c>
      <x:c r="B4" s="29" t="str">
        <x:v>My governs</x:v>
      </x:c>
      <x:c r="C4" s="29" t="n">
        <x:v>1600</x:v>
      </x:c>
      <x:c r="D4" s="29" t="n">
        <x:v>0</x:v>
      </x:c>
      <x:c r="E4" s="29" t="n">
        <x:v>700</x:v>
      </x:c>
      <x:c r="F4" s="29" t="n">
        <x:v>0</x:v>
      </x:c>
      <x:c r="G4" s="29" t="n">
        <x:v>0</x:v>
      </x:c>
      <x:c r="H4" s="29" t="n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ULS-4</x:v>
      </x:c>
      <x:c r="B5" s="29" t="str">
        <x:v>Combined</x:v>
      </x:c>
      <x:c r="C5" s="29" t="n">
        <x:v>1800</x:v>
      </x:c>
      <x:c r="D5" s="29" t="n">
        <x:v>400</x:v>
      </x:c>
      <x:c r="E5" s="29" t="n">
        <x:v>300</x:v>
      </x:c>
      <x:c r="F5" s="29" t="n">
        <x:v>50</x:v>
      </x:c>
      <x:c r="G5" s="29" t="n">
        <x:v>30</x:v>
      </x:c>
      <x:c r="H5" s="29" t="n">
        <x:v>10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ULS-5</x:v>
      </x:c>
      <x:c r="B6" s="29" t="str">
        <x:v>Uplift tendency</x:v>
      </x:c>
      <x:c r="C6" s="29" t="n">
        <x:v>200</x:v>
      </x:c>
      <x:c r="D6" s="29" t="n">
        <x:v>1200</x:v>
      </x:c>
      <x:c r="E6" s="29" t="n">
        <x:v>0</x:v>
      </x:c>
      <x:c r="F6" s="29" t="n">
        <x:v>0</x:v>
      </x:c>
      <x:c r="G6" s="29" t="n">
        <x:v>0</x:v>
      </x:c>
      <x:c r="H6" s="29" t="n">
        <x:v>0</x:v>
      </x:c>
      <x:c r="I6" s="29" t="str">
        <x:v>ACTIVE</x:v>
      </x:c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pileId</x:v>
      </x:c>
      <x:c r="B1" s="16" t="str">
        <x:v>x_m</x:v>
      </x:c>
      <x:c r="C1" s="16" t="str">
        <x:v>y_m</x:v>
      </x:c>
      <x:c r="D1" s="16" t="str">
        <x:v>compressionCapacity_kN</x:v>
      </x:c>
      <x:c r="E1" s="16" t="str">
        <x:v>tensionCapacity_kN</x:v>
      </x:c>
      <x:c r="F1" s="16" t="str">
        <x:v>sourceBorehole</x:v>
      </x:c>
      <x:c r="G1" s="16" t="str">
        <x:v>method</x:v>
      </x:c>
      <x:c r="H1" s="16" t="str">
        <x:v>materialGoverning</x:v>
      </x:c>
      <x:c r="I1" s="16" t="str">
        <x:v>status</x:v>
      </x:c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P1</x:v>
      </x:c>
      <x:c r="B2" s="29" t="n">
        <x:v>-1</x:v>
      </x:c>
      <x:c r="C2" s="29" t="n">
        <x:v>-1</x:v>
      </x:c>
      <x:c r="D2" s="29" t="n">
        <x:v>800</x:v>
      </x:c>
      <x:c r="E2" s="29" t="n">
        <x:v>0</x:v>
      </x:c>
      <x:c r="F2" s="29" t="str">
        <x:v>HK1</x:v>
      </x:c>
      <x:c r="G2" s="29" t="str">
        <x:v>SPT</x:v>
      </x:c>
      <x:c r="H2" s="32" t="b">
        <x:v>0</x:v>
      </x:c>
      <x:c r="I2" s="29" t="str">
        <x:v>ACTIVE</x:v>
      </x:c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P2</x:v>
      </x:c>
      <x:c r="B3" s="29" t="n">
        <x:v>1</x:v>
      </x:c>
      <x:c r="C3" s="29" t="n">
        <x:v>-1</x:v>
      </x:c>
      <x:c r="D3" s="29" t="n">
        <x:v>800</x:v>
      </x:c>
      <x:c r="E3" s="29" t="n">
        <x:v>0</x:v>
      </x:c>
      <x:c r="F3" s="29" t="str">
        <x:v>HK1</x:v>
      </x:c>
      <x:c r="G3" s="29" t="str">
        <x:v>SPT</x:v>
      </x:c>
      <x:c r="H3" s="32" t="b">
        <x:v>0</x:v>
      </x:c>
      <x:c r="I3" s="29" t="str">
        <x:v>ACTIVE</x:v>
      </x:c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P3</x:v>
      </x:c>
      <x:c r="B4" s="29" t="n">
        <x:v>-1</x:v>
      </x:c>
      <x:c r="C4" s="29" t="n">
        <x:v>1</x:v>
      </x:c>
      <x:c r="D4" s="29" t="n">
        <x:v>800</x:v>
      </x:c>
      <x:c r="E4" s="29" t="n">
        <x:v>0</x:v>
      </x:c>
      <x:c r="F4" s="29" t="str">
        <x:v>HK2</x:v>
      </x:c>
      <x:c r="G4" s="29" t="str">
        <x:v>MECH</x:v>
      </x:c>
      <x:c r="H4" s="32" t="b">
        <x:v>0</x:v>
      </x:c>
      <x:c r="I4" s="29" t="str">
        <x:v>ACTIVE</x:v>
      </x:c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P4</x:v>
      </x:c>
      <x:c r="B5" s="29" t="n">
        <x:v>1</x:v>
      </x:c>
      <x:c r="C5" s="29" t="n">
        <x:v>1</x:v>
      </x:c>
      <x:c r="D5" s="29" t="n">
        <x:v>800</x:v>
      </x:c>
      <x:c r="E5" s="29" t="n">
        <x:v>0</x:v>
      </x:c>
      <x:c r="F5" s="29" t="str">
        <x:v>HK2</x:v>
      </x:c>
      <x:c r="G5" s="29" t="str">
        <x:v>MECH</x:v>
      </x:c>
      <x:c r="H5" s="32" t="b">
        <x:v>0</x:v>
      </x:c>
      <x:c r="I5" s="29" t="str">
        <x:v>ACTIVE</x:v>
      </x:c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6" max="16" width="18" hidden="0" customWidth="1"/>
    <x:col min="17" max="17" width="18" hidden="0" customWidth="1"/>
    <x:col min="15" max="15" width="18" hidden="0" customWidth="1"/>
  </x:cols>
  <x:sheetData>
    <x:row r="1" ht="16.799999237060547" hidden="0" customHeight="1">
      <x:c r="A1" s="28" t="str">
        <x:v>Formula-Only reaction check — REVIEW seed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Selected Load Row</x:v>
      </x:c>
      <x:c r="B3" s="34" t="n">
        <x:v>2</x:v>
      </x:c>
      <x:c r="C3" s="29"/>
      <x:c r="D3" s="29" t="str">
        <x:v>n</x:v>
      </x:c>
      <x:c r="E3" s="29" t="n">
        <x:f>COUNT(PILE_POINTS!B2:B100)</x:f>
        <x:v>4</x:v>
      </x:c>
      <x:c r="F3" s="29"/>
      <x:c r="G3" s="29" t="str">
        <x:v>a</x:v>
      </x:c>
      <x:c r="H3" s="29" t="n">
        <x:f>IF(ABS($E$9)&lt;1E-12,NA(),($B$4*($E$6*$E$7-$E$8*$E$8)-$E$4*($B$6*$E$7-$B$5*$E$8)+$E$5*($B$6*$E$8-$B$5*$E$6))/$E$9)</x:f>
        <x:v>500</x:v>
      </x:c>
      <x:c r="I3" s="29"/>
      <x:c r="J3" s="29"/>
      <x:c r="K3" s="29"/>
      <x:c r="L3" s="29"/>
      <x:c r="M3" s="29"/>
      <x:c r="N3" s="29"/>
      <x:c r="O3" s="29"/>
      <x:c r="P3" s="29" t="str">
        <x:v>Check</x:v>
      </x:c>
      <x:c r="Q3" s="29" t="str">
        <x:v>Value</x:v>
      </x:c>
    </x:row>
    <x:row r="4" ht="15" hidden="0" customHeight="1">
      <x:c r="A4" s="29" t="str">
        <x:v>N (kN)</x:v>
      </x:c>
      <x:c r="B4" s="34" t="n">
        <x:f>INDEX(LOAD_COMBINATIONS!$C$2:$C$100,$B$3-1)</x:f>
        <x:v>2000</x:v>
      </x:c>
      <x:c r="C4" s="29"/>
      <x:c r="D4" s="29" t="str">
        <x:v>Σx</x:v>
      </x:c>
      <x:c r="E4" s="29" t="n">
        <x:f>SUM(PILE_POINTS!B2:B100)</x:f>
        <x:v>0</x:v>
      </x:c>
      <x:c r="F4" s="29"/>
      <x:c r="G4" s="29" t="str">
        <x:v>b</x:v>
      </x:c>
      <x:c r="H4" s="29" t="n">
        <x:f>IF(ABS($E$9)&lt;1E-12,NA(),($E$3*($B$6*$E$7-$B$5*$E$8)-$B$4*($E$4*$E$7-$E$5*$E$8)+$E$5*($E$4*$B$5-$B$6*$E$5))/$E$9)</x:f>
        <x:v>0</x:v>
      </x:c>
      <x:c r="I4" s="29"/>
      <x:c r="J4" s="29"/>
      <x:c r="K4" s="29"/>
      <x:c r="L4" s="29"/>
      <x:c r="M4" s="29"/>
      <x:c r="N4" s="29"/>
      <x:c r="O4" s="29"/>
      <x:c r="P4" s="29" t="str">
        <x:v>ΣNi</x:v>
      </x:c>
      <x:c r="Q4" s="29" t="n">
        <x:f>SUM(F13:F32)</x:f>
        <x:v>2000</x:v>
      </x:c>
    </x:row>
    <x:row r="5" ht="15" hidden="0" customHeight="1">
      <x:c r="A5" s="29" t="str">
        <x:v>Mx (kNm)</x:v>
      </x:c>
      <x:c r="B5" s="34" t="n">
        <x:f>INDEX(LOAD_COMBINATIONS!$D$2:$D$100,$B$3-1)</x:f>
        <x:v>0</x:v>
      </x:c>
      <x:c r="C5" s="29"/>
      <x:c r="D5" s="29" t="str">
        <x:v>Σy</x:v>
      </x:c>
      <x:c r="E5" s="29" t="n">
        <x:f>SUM(PILE_POINTS!C2:C100)</x:f>
        <x:v>0</x:v>
      </x:c>
      <x:c r="F5" s="29"/>
      <x:c r="G5" s="29" t="str">
        <x:v>c</x:v>
      </x:c>
      <x:c r="H5" s="29" t="n">
        <x:f>IF(ABS($E$9)&lt;1E-12,NA(),($E$3*($E$6*$B$5-$B$6*$E$8)-$E$4*($E$4*$B$5-$B$6*$E$5)+$B$4*($E$4*$E$8-$E$5*$E$6))/$E$9)</x:f>
        <x:v>0</x:v>
      </x:c>
      <x:c r="I5" s="29"/>
      <x:c r="J5" s="29"/>
      <x:c r="K5" s="29"/>
      <x:c r="L5" s="29"/>
      <x:c r="M5" s="29"/>
      <x:c r="N5" s="29"/>
      <x:c r="O5" s="29"/>
      <x:c r="P5" s="29" t="str">
        <x:v>Target N</x:v>
      </x:c>
      <x:c r="Q5" s="29" t="n">
        <x:f>$B$4</x:f>
        <x:v>2000</x:v>
      </x:c>
    </x:row>
    <x:row r="6" ht="15" hidden="0" customHeight="1">
      <x:c r="A6" s="29" t="str">
        <x:v>My (kNm)</x:v>
      </x:c>
      <x:c r="B6" s="34" t="n">
        <x:f>INDEX(LOAD_COMBINATIONS!$E$2:$E$100,$B$3-1)</x:f>
        <x:v>0</x:v>
      </x:c>
      <x:c r="C6" s="29"/>
      <x:c r="D6" s="29" t="str">
        <x:v>Σx²</x:v>
      </x:c>
      <x:c r="E6" s="29" t="n">
        <x:f>SUMPRODUCT(PILE_POINTS!B2:B100,PILE_POINTS!B2:B100)</x:f>
        <x:v>4</x:v>
      </x:c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Residual N</x:v>
      </x:c>
      <x:c r="Q6" s="29" t="n">
        <x:f>Q4-Q5</x:f>
        <x:v>0</x:v>
      </x:c>
    </x:row>
    <x:row r="7" ht="15" hidden="0" customHeight="1">
      <x:c r="A7" s="29" t="str">
        <x:v>Combination ID</x:v>
      </x:c>
      <x:c r="B7" s="34" t="str">
        <x:f>INDEX(LOAD_COMBINATIONS!$A$2:$A$100,$B$3-1)</x:f>
        <x:v>ULS-1</x:v>
      </x:c>
      <x:c r="C7" s="29"/>
      <x:c r="D7" s="29" t="str">
        <x:v>Σy²</x:v>
      </x:c>
      <x:c r="E7" s="29" t="n">
        <x:f>SUMPRODUCT(PILE_POINTS!C2:C100,PILE_POINTS!C2:C100)</x:f>
        <x:v>4</x:v>
      </x:c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ΣNi·x</x:v>
      </x:c>
      <x:c r="Q7" s="29" t="n">
        <x:f>SUM(K13:K32)</x:f>
        <x:v>0</x:v>
      </x:c>
    </x:row>
    <x:row r="8" ht="15" hidden="0" customHeight="1">
      <x:c r="A8" s="29"/>
      <x:c r="B8" s="29"/>
      <x:c r="C8" s="29"/>
      <x:c r="D8" s="29" t="str">
        <x:v>Σxy</x:v>
      </x:c>
      <x:c r="E8" s="29" t="n">
        <x:f>SUMPRODUCT(PILE_POINTS!B2:B100,PILE_POINTS!C2:C100)</x:f>
        <x:v>0</x:v>
      </x:c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 t="str">
        <x:v>Target My</x:v>
      </x:c>
      <x:c r="Q8" s="29" t="n">
        <x:f>$B$6</x:f>
        <x:v>0</x:v>
      </x:c>
    </x:row>
    <x:row r="9" ht="15" hidden="0" customHeight="1">
      <x:c r="A9" s="29"/>
      <x:c r="B9" s="29"/>
      <x:c r="C9" s="29"/>
      <x:c r="D9" s="29" t="str">
        <x:v>det(A)</x:v>
      </x:c>
      <x:c r="E9" s="29" t="n">
        <x:f>E3*(E6*E7-E8*E8)-E4*(E4*E7-E5*E8)+E5*(E4*E8-E5*E6)</x:f>
        <x:v>64</x:v>
      </x:c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 t="str">
        <x:v>Residual My</x:v>
      </x:c>
      <x:c r="Q9" s="29" t="n">
        <x:f>Q7-Q8</x:f>
        <x:v>0</x:v>
      </x:c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 t="str">
        <x:v>ΣNi·y</x:v>
      </x:c>
      <x:c r="Q10" s="29" t="n">
        <x:f>SUM(L13:L32)</x:f>
        <x:v>0</x:v>
      </x:c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 t="str">
        <x:v>Target Mx</x:v>
      </x:c>
      <x:c r="Q11" s="29" t="n">
        <x:f>$B$5</x:f>
        <x:v>0</x:v>
      </x:c>
    </x:row>
    <x:row r="12" ht="15" hidden="0" customHeight="1">
      <x:c r="A12" s="16" t="str">
        <x:v>pileId</x:v>
      </x:c>
      <x:c r="B12" s="16" t="str">
        <x:v>x_m</x:v>
      </x:c>
      <x:c r="C12" s="16" t="str">
        <x:v>y_m</x:v>
      </x:c>
      <x:c r="D12" s="16" t="str">
        <x:v>compressionCap_kN</x:v>
      </x:c>
      <x:c r="E12" s="16" t="str">
        <x:v>tensionCap_kN</x:v>
      </x:c>
      <x:c r="F12" s="16" t="str">
        <x:v>Demand_Ni_kN</x:v>
      </x:c>
      <x:c r="G12" s="16" t="str">
        <x:v>CheckType</x:v>
      </x:c>
      <x:c r="H12" s="16" t="str">
        <x:v>Capacity_kN</x:v>
      </x:c>
      <x:c r="I12" s="16" t="str">
        <x:v>Utilization</x:v>
      </x:c>
      <x:c r="J12" s="16" t="str">
        <x:v>PASS/FAIL</x:v>
      </x:c>
      <x:c r="K12" s="16" t="str">
        <x:v>Ni*x</x:v>
      </x:c>
      <x:c r="L12" s="16" t="str">
        <x:v>Ni*y</x:v>
      </x:c>
      <x:c r="M12" s="16" t="str">
        <x:v>sourceBorehole</x:v>
      </x:c>
      <x:c r="N12" s="16" t="str">
        <x:v>method</x:v>
      </x:c>
      <x:c r="O12" s="29"/>
      <x:c r="P12" s="29"/>
      <x:c r="Q12" s="29"/>
    </x:row>
    <x:row r="13" ht="15" hidden="0" customHeight="1">
      <x:c r="A13" s="29" t="str">
        <x:f>IF(PILE_POINTS!A2="","",PILE_POINTS!A2)</x:f>
        <x:v>P1</x:v>
      </x:c>
      <x:c r="B13" s="29" t="n">
        <x:f>IF($A13="","",PILE_POINTS!B2)</x:f>
        <x:v>-1</x:v>
      </x:c>
      <x:c r="C13" s="29" t="n">
        <x:f>IF($A13="","",PILE_POINTS!C2)</x:f>
        <x:v>-1</x:v>
      </x:c>
      <x:c r="D13" s="29" t="n">
        <x:f>IF($A13="","",PILE_POINTS!D2)</x:f>
        <x:v>800</x:v>
      </x:c>
      <x:c r="E13" s="29" t="n">
        <x:f>IF($A13="","",PILE_POINTS!E2)</x:f>
        <x:v>0</x:v>
      </x:c>
      <x:c r="F13" s="35" t="n">
        <x:f>IF($A13="","",$H$3+$H$4*B13+$H$5*C13)</x:f>
        <x:v>500</x:v>
      </x:c>
      <x:c r="G13" s="35" t="str">
        <x:f>IF($A13="","",IF(F13&gt;=0,"COMPRESSION","TENSION"))</x:f>
        <x:v>COMPRESSION</x:v>
      </x:c>
      <x:c r="H13" s="35" t="n">
        <x:f>IF($A13="","",IF(F13&gt;=0,D13,E13))</x:f>
        <x:v>800</x:v>
      </x:c>
      <x:c r="I13" s="35" t="n">
        <x:f>IF($A13="","",IF(F13&gt;=0,F13/D13,IF(OR(E13="",E13=0),NA(),ABS(F13)/E13)))</x:f>
        <x:v>0.625</x:v>
      </x:c>
      <x:c r="J13" s="35" t="str">
        <x:f>IF($A13="","",IF(F13&gt;=0,IF(I13&lt;=1,"PASS","FAIL"),IF(OR(E13="",E13=0),"BLOCK",IF(I13&lt;=1,"PASS","FAIL"))))</x:f>
        <x:v>PASS</x:v>
      </x:c>
      <x:c r="K13" s="29" t="n">
        <x:f>IF($A13="","",F13*B13)</x:f>
        <x:v>-500</x:v>
      </x:c>
      <x:c r="L13" s="29" t="n">
        <x:f>IF($A13="","",F13*C13)</x:f>
        <x:v>-500</x:v>
      </x:c>
      <x:c r="M13" s="29" t="str">
        <x:f>IF($A13="","",PILE_POINTS!F2)</x:f>
        <x:v>HK1</x:v>
      </x:c>
      <x:c r="N13" s="29" t="str">
        <x:f>IF($A13="","",PILE_POINTS!G2)</x:f>
        <x:v>SPT</x:v>
      </x:c>
      <x:c r="O13" s="29"/>
      <x:c r="P13" s="29" t="str">
        <x:v>Summary</x:v>
      </x:c>
      <x:c r="Q13" s="29" t="str">
        <x:v>Value</x:v>
      </x:c>
    </x:row>
    <x:row r="14" ht="15" hidden="0" customHeight="1">
      <x:c r="A14" s="29" t="str">
        <x:f>IF(PILE_POINTS!A3="","",PILE_POINTS!A3)</x:f>
        <x:v>P2</x:v>
      </x:c>
      <x:c r="B14" s="29" t="n">
        <x:f>IF($A14="","",PILE_POINTS!B3)</x:f>
        <x:v>1</x:v>
      </x:c>
      <x:c r="C14" s="29" t="n">
        <x:f>IF($A14="","",PILE_POINTS!C3)</x:f>
        <x:v>-1</x:v>
      </x:c>
      <x:c r="D14" s="29" t="n">
        <x:f>IF($A14="","",PILE_POINTS!D3)</x:f>
        <x:v>800</x:v>
      </x:c>
      <x:c r="E14" s="29" t="n">
        <x:f>IF($A14="","",PILE_POINTS!E3)</x:f>
        <x:v>0</x:v>
      </x:c>
      <x:c r="F14" s="35" t="n">
        <x:f>IF($A14="","",$H$3+$H$4*B14+$H$5*C14)</x:f>
        <x:v>500</x:v>
      </x:c>
      <x:c r="G14" s="35" t="str">
        <x:f>IF($A14="","",IF(F14&gt;=0,"COMPRESSION","TENSION"))</x:f>
        <x:v>COMPRESSION</x:v>
      </x:c>
      <x:c r="H14" s="35" t="n">
        <x:f>IF($A14="","",IF(F14&gt;=0,D14,E14))</x:f>
        <x:v>800</x:v>
      </x:c>
      <x:c r="I14" s="35" t="n">
        <x:f>IF($A14="","",IF(F14&gt;=0,F14/D14,IF(OR(E14="",E14=0),NA(),ABS(F14)/E14)))</x:f>
        <x:v>0.625</x:v>
      </x:c>
      <x:c r="J14" s="35" t="str">
        <x:f>IF($A14="","",IF(F14&gt;=0,IF(I14&lt;=1,"PASS","FAIL"),IF(OR(E14="",E14=0),"BLOCK",IF(I14&lt;=1,"PASS","FAIL"))))</x:f>
        <x:v>PASS</x:v>
      </x:c>
      <x:c r="K14" s="29" t="n">
        <x:f>IF($A14="","",F14*B14)</x:f>
        <x:v>500</x:v>
      </x:c>
      <x:c r="L14" s="29" t="n">
        <x:f>IF($A14="","",F14*C14)</x:f>
        <x:v>-500</x:v>
      </x:c>
      <x:c r="M14" s="29" t="str">
        <x:f>IF($A14="","",PILE_POINTS!F3)</x:f>
        <x:v>HK1</x:v>
      </x:c>
      <x:c r="N14" s="29" t="str">
        <x:f>IF($A14="","",PILE_POINTS!G3)</x:f>
        <x:v>SPT</x:v>
      </x:c>
      <x:c r="O14" s="29"/>
      <x:c r="P14" s="29" t="str">
        <x:v>Equilibrium PASS</x:v>
      </x:c>
      <x:c r="Q14" s="29" t="str">
        <x:f>IF(AND(ABS(Q6)&lt;1E-7,ABS(Q9)&lt;1E-7,ABS(Q10-$B$5)&lt;1E-7),"PASS","FAIL")</x:f>
        <x:v>PASS</x:v>
      </x:c>
    </x:row>
    <x:row r="15" ht="15" hidden="0" customHeight="1">
      <x:c r="A15" s="29" t="str">
        <x:f>IF(PILE_POINTS!A4="","",PILE_POINTS!A4)</x:f>
        <x:v>P3</x:v>
      </x:c>
      <x:c r="B15" s="29" t="n">
        <x:f>IF($A15="","",PILE_POINTS!B4)</x:f>
        <x:v>-1</x:v>
      </x:c>
      <x:c r="C15" s="29" t="n">
        <x:f>IF($A15="","",PILE_POINTS!C4)</x:f>
        <x:v>1</x:v>
      </x:c>
      <x:c r="D15" s="29" t="n">
        <x:f>IF($A15="","",PILE_POINTS!D4)</x:f>
        <x:v>800</x:v>
      </x:c>
      <x:c r="E15" s="29" t="n">
        <x:f>IF($A15="","",PILE_POINTS!E4)</x:f>
        <x:v>0</x:v>
      </x:c>
      <x:c r="F15" s="35" t="n">
        <x:f>IF($A15="","",$H$3+$H$4*B15+$H$5*C15)</x:f>
        <x:v>500</x:v>
      </x:c>
      <x:c r="G15" s="35" t="str">
        <x:f>IF($A15="","",IF(F15&gt;=0,"COMPRESSION","TENSION"))</x:f>
        <x:v>COMPRESSION</x:v>
      </x:c>
      <x:c r="H15" s="35" t="n">
        <x:f>IF($A15="","",IF(F15&gt;=0,D15,E15))</x:f>
        <x:v>800</x:v>
      </x:c>
      <x:c r="I15" s="35" t="n">
        <x:f>IF($A15="","",IF(F15&gt;=0,F15/D15,IF(OR(E15="",E15=0),NA(),ABS(F15)/E15)))</x:f>
        <x:v>0.625</x:v>
      </x:c>
      <x:c r="J15" s="35" t="str">
        <x:f>IF($A15="","",IF(F15&gt;=0,IF(I15&lt;=1,"PASS","FAIL"),IF(OR(E15="",E15=0),"BLOCK",IF(I15&lt;=1,"PASS","FAIL"))))</x:f>
        <x:v>PASS</x:v>
      </x:c>
      <x:c r="K15" s="29" t="n">
        <x:f>IF($A15="","",F15*B15)</x:f>
        <x:v>-500</x:v>
      </x:c>
      <x:c r="L15" s="29" t="n">
        <x:f>IF($A15="","",F15*C15)</x:f>
        <x:v>500</x:v>
      </x:c>
      <x:c r="M15" s="29" t="str">
        <x:f>IF($A15="","",PILE_POINTS!F4)</x:f>
        <x:v>HK2</x:v>
      </x:c>
      <x:c r="N15" s="29" t="str">
        <x:f>IF($A15="","",PILE_POINTS!G4)</x:f>
        <x:v>MECH</x:v>
      </x:c>
      <x:c r="O15" s="29"/>
      <x:c r="P15" s="29" t="str">
        <x:v>Max compression kN</x:v>
      </x:c>
      <x:c r="Q15" s="29" t="n">
        <x:f>MAX(F13:F32)</x:f>
        <x:v>500</x:v>
      </x:c>
    </x:row>
    <x:row r="16" ht="15" hidden="0" customHeight="1">
      <x:c r="A16" s="29" t="str">
        <x:f>IF(PILE_POINTS!A5="","",PILE_POINTS!A5)</x:f>
        <x:v>P4</x:v>
      </x:c>
      <x:c r="B16" s="29" t="n">
        <x:f>IF($A16="","",PILE_POINTS!B5)</x:f>
        <x:v>1</x:v>
      </x:c>
      <x:c r="C16" s="29" t="n">
        <x:f>IF($A16="","",PILE_POINTS!C5)</x:f>
        <x:v>1</x:v>
      </x:c>
      <x:c r="D16" s="29" t="n">
        <x:f>IF($A16="","",PILE_POINTS!D5)</x:f>
        <x:v>800</x:v>
      </x:c>
      <x:c r="E16" s="29" t="n">
        <x:f>IF($A16="","",PILE_POINTS!E5)</x:f>
        <x:v>0</x:v>
      </x:c>
      <x:c r="F16" s="35" t="n">
        <x:f>IF($A16="","",$H$3+$H$4*B16+$H$5*C16)</x:f>
        <x:v>500</x:v>
      </x:c>
      <x:c r="G16" s="35" t="str">
        <x:f>IF($A16="","",IF(F16&gt;=0,"COMPRESSION","TENSION"))</x:f>
        <x:v>COMPRESSION</x:v>
      </x:c>
      <x:c r="H16" s="35" t="n">
        <x:f>IF($A16="","",IF(F16&gt;=0,D16,E16))</x:f>
        <x:v>800</x:v>
      </x:c>
      <x:c r="I16" s="35" t="n">
        <x:f>IF($A16="","",IF(F16&gt;=0,F16/D16,IF(OR(E16="",E16=0),NA(),ABS(F16)/E16)))</x:f>
        <x:v>0.625</x:v>
      </x:c>
      <x:c r="J16" s="35" t="str">
        <x:f>IF($A16="","",IF(F16&gt;=0,IF(I16&lt;=1,"PASS","FAIL"),IF(OR(E16="",E16=0),"BLOCK",IF(I16&lt;=1,"PASS","FAIL"))))</x:f>
        <x:v>PASS</x:v>
      </x:c>
      <x:c r="K16" s="29" t="n">
        <x:f>IF($A16="","",F16*B16)</x:f>
        <x:v>500</x:v>
      </x:c>
      <x:c r="L16" s="29" t="n">
        <x:f>IF($A16="","",F16*C16)</x:f>
        <x:v>500</x:v>
      </x:c>
      <x:c r="M16" s="29" t="str">
        <x:f>IF($A16="","",PILE_POINTS!F5)</x:f>
        <x:v>HK2</x:v>
      </x:c>
      <x:c r="N16" s="29" t="str">
        <x:f>IF($A16="","",PILE_POINTS!G5)</x:f>
        <x:v>MECH</x:v>
      </x:c>
      <x:c r="O16" s="29"/>
      <x:c r="P16" s="29" t="str">
        <x:v>Min reaction kN</x:v>
      </x:c>
      <x:c r="Q16" s="29" t="n">
        <x:f>MIN(F13:F32)</x:f>
        <x:v>500</x:v>
      </x:c>
    </x:row>
    <x:row r="17" ht="15" hidden="0" customHeight="1">
      <x:c r="A17" s="29" t="str">
        <x:f>IF(PILE_POINTS!A6="","",PILE_POINTS!A6)</x:f>
      </x:c>
      <x:c r="B17" s="29" t="str">
        <x:f>IF($A17="","",PILE_POINTS!B6)</x:f>
      </x:c>
      <x:c r="C17" s="29" t="str">
        <x:f>IF($A17="","",PILE_POINTS!C6)</x:f>
      </x:c>
      <x:c r="D17" s="29" t="str">
        <x:f>IF($A17="","",PILE_POINTS!D6)</x:f>
      </x:c>
      <x:c r="E17" s="29" t="str">
        <x:f>IF($A17="","",PILE_POINTS!E6)</x:f>
      </x:c>
      <x:c r="F17" s="35" t="str">
        <x:f>IF($A17="","",$H$3+$H$4*B17+$H$5*C17)</x:f>
      </x:c>
      <x:c r="G17" s="35" t="str">
        <x:f>IF($A17="","",IF(F17&gt;=0,"COMPRESSION","TENSION"))</x:f>
      </x:c>
      <x:c r="H17" s="35" t="str">
        <x:f>IF($A17="","",IF(F17&gt;=0,D17,E17))</x:f>
      </x:c>
      <x:c r="I17" s="35" t="str">
        <x:f>IF($A17="","",IF(F17&gt;=0,F17/D17,IF(OR(E17="",E17=0),NA(),ABS(F17)/E17)))</x:f>
      </x:c>
      <x:c r="J17" s="35" t="str">
        <x:f>IF($A17="","",IF(F17&gt;=0,IF(I17&lt;=1,"PASS","FAIL"),IF(OR(E17="",E17=0),"BLOCK",IF(I17&lt;=1,"PASS","FAIL"))))</x:f>
      </x:c>
      <x:c r="K17" s="29" t="str">
        <x:f>IF($A17="","",F17*B17)</x:f>
      </x:c>
      <x:c r="L17" s="29" t="str">
        <x:f>IF($A17="","",F17*C17)</x:f>
      </x:c>
      <x:c r="M17" s="29" t="str">
        <x:f>IF($A17="","",PILE_POINTS!F6)</x:f>
      </x:c>
      <x:c r="N17" s="29" t="str">
        <x:f>IF($A17="","",PILE_POINTS!G6)</x:f>
      </x:c>
      <x:c r="O17" s="29"/>
      <x:c r="P17" s="29" t="str">
        <x:v>Max utilization</x:v>
      </x:c>
      <x:c r="Q17" s="29" t="n">
        <x:f>IFERROR(MAX(I13:I32),"")</x:f>
        <x:v>0.625</x:v>
      </x:c>
    </x:row>
    <x:row r="18" ht="15" hidden="0" customHeight="1">
      <x:c r="A18" s="29" t="str">
        <x:f>IF(PILE_POINTS!A7="","",PILE_POINTS!A7)</x:f>
      </x:c>
      <x:c r="B18" s="29" t="str">
        <x:f>IF($A18="","",PILE_POINTS!B7)</x:f>
      </x:c>
      <x:c r="C18" s="29" t="str">
        <x:f>IF($A18="","",PILE_POINTS!C7)</x:f>
      </x:c>
      <x:c r="D18" s="29" t="str">
        <x:f>IF($A18="","",PILE_POINTS!D7)</x:f>
      </x:c>
      <x:c r="E18" s="29" t="str">
        <x:f>IF($A18="","",PILE_POINTS!E7)</x:f>
      </x:c>
      <x:c r="F18" s="35" t="str">
        <x:f>IF($A18="","",$H$3+$H$4*B18+$H$5*C18)</x:f>
      </x:c>
      <x:c r="G18" s="35" t="str">
        <x:f>IF($A18="","",IF(F18&gt;=0,"COMPRESSION","TENSION"))</x:f>
      </x:c>
      <x:c r="H18" s="35" t="str">
        <x:f>IF($A18="","",IF(F18&gt;=0,D18,E18))</x:f>
      </x:c>
      <x:c r="I18" s="35" t="str">
        <x:f>IF($A18="","",IF(F18&gt;=0,F18/D18,IF(OR(E18="",E18=0),NA(),ABS(F18)/E18)))</x:f>
      </x:c>
      <x:c r="J18" s="35" t="str">
        <x:f>IF($A18="","",IF(F18&gt;=0,IF(I18&lt;=1,"PASS","FAIL"),IF(OR(E18="",E18=0),"BLOCK",IF(I18&lt;=1,"PASS","FAIL"))))</x:f>
      </x:c>
      <x:c r="K18" s="29" t="str">
        <x:f>IF($A18="","",F18*B18)</x:f>
      </x:c>
      <x:c r="L18" s="29" t="str">
        <x:f>IF($A18="","",F18*C18)</x:f>
      </x:c>
      <x:c r="M18" s="29" t="str">
        <x:f>IF($A18="","",PILE_POINTS!F7)</x:f>
      </x:c>
      <x:c r="N18" s="29" t="str">
        <x:f>IF($A18="","",PILE_POINTS!G7)</x:f>
      </x:c>
      <x:c r="O18" s="29"/>
      <x:c r="P18" s="29" t="str">
        <x:v>Has tension</x:v>
      </x:c>
      <x:c r="Q18" s="29" t="str">
        <x:f>IF(MIN(F13:F32)&lt;0,"YES","NO")</x:f>
        <x:v>NO</x:v>
      </x:c>
    </x:row>
    <x:row r="19" ht="15" hidden="0" customHeight="1">
      <x:c r="A19" s="29" t="str">
        <x:f>IF(PILE_POINTS!A8="","",PILE_POINTS!A8)</x:f>
      </x:c>
      <x:c r="B19" s="29" t="str">
        <x:f>IF($A19="","",PILE_POINTS!B8)</x:f>
      </x:c>
      <x:c r="C19" s="29" t="str">
        <x:f>IF($A19="","",PILE_POINTS!C8)</x:f>
      </x:c>
      <x:c r="D19" s="29" t="str">
        <x:f>IF($A19="","",PILE_POINTS!D8)</x:f>
      </x:c>
      <x:c r="E19" s="29" t="str">
        <x:f>IF($A19="","",PILE_POINTS!E8)</x:f>
      </x:c>
      <x:c r="F19" s="35" t="str">
        <x:f>IF($A19="","",$H$3+$H$4*B19+$H$5*C19)</x:f>
      </x:c>
      <x:c r="G19" s="35" t="str">
        <x:f>IF($A19="","",IF(F19&gt;=0,"COMPRESSION","TENSION"))</x:f>
      </x:c>
      <x:c r="H19" s="35" t="str">
        <x:f>IF($A19="","",IF(F19&gt;=0,D19,E19))</x:f>
      </x:c>
      <x:c r="I19" s="35" t="str">
        <x:f>IF($A19="","",IF(F19&gt;=0,F19/D19,IF(OR(E19="",E19=0),NA(),ABS(F19)/E19)))</x:f>
      </x:c>
      <x:c r="J19" s="35" t="str">
        <x:f>IF($A19="","",IF(F19&gt;=0,IF(I19&lt;=1,"PASS","FAIL"),IF(OR(E19="",E19=0),"BLOCK",IF(I19&lt;=1,"PASS","FAIL"))))</x:f>
      </x:c>
      <x:c r="K19" s="29" t="str">
        <x:f>IF($A19="","",F19*B19)</x:f>
      </x:c>
      <x:c r="L19" s="29" t="str">
        <x:f>IF($A19="","",F19*C19)</x:f>
      </x:c>
      <x:c r="M19" s="29" t="str">
        <x:f>IF($A19="","",PILE_POINTS!F8)</x:f>
      </x:c>
      <x:c r="N19" s="29" t="str">
        <x:f>IF($A19="","",PILE_POINTS!G8)</x:f>
      </x:c>
      <x:c r="O19" s="29"/>
      <x:c r="P19" s="29" t="str">
        <x:v>Any BLOCK</x:v>
      </x:c>
      <x:c r="Q19" s="29" t="str">
        <x:f>IF(COUNTIF(J13:J32,"BLOCK")&gt;0,"YES","NO")</x:f>
        <x:v>NO</x:v>
      </x:c>
    </x:row>
    <x:row r="20" ht="15" hidden="0" customHeight="1">
      <x:c r="A20" s="29" t="str">
        <x:f>IF(PILE_POINTS!A9="","",PILE_POINTS!A9)</x:f>
      </x:c>
      <x:c r="B20" s="29" t="str">
        <x:f>IF($A20="","",PILE_POINTS!B9)</x:f>
      </x:c>
      <x:c r="C20" s="29" t="str">
        <x:f>IF($A20="","",PILE_POINTS!C9)</x:f>
      </x:c>
      <x:c r="D20" s="29" t="str">
        <x:f>IF($A20="","",PILE_POINTS!D9)</x:f>
      </x:c>
      <x:c r="E20" s="29" t="str">
        <x:f>IF($A20="","",PILE_POINTS!E9)</x:f>
      </x:c>
      <x:c r="F20" s="35" t="str">
        <x:f>IF($A20="","",$H$3+$H$4*B20+$H$5*C20)</x:f>
      </x:c>
      <x:c r="G20" s="35" t="str">
        <x:f>IF($A20="","",IF(F20&gt;=0,"COMPRESSION","TENSION"))</x:f>
      </x:c>
      <x:c r="H20" s="35" t="str">
        <x:f>IF($A20="","",IF(F20&gt;=0,D20,E20))</x:f>
      </x:c>
      <x:c r="I20" s="35" t="str">
        <x:f>IF($A20="","",IF(F20&gt;=0,F20/D20,IF(OR(E20="",E20=0),NA(),ABS(F20)/E20)))</x:f>
      </x:c>
      <x:c r="J20" s="35" t="str">
        <x:f>IF($A20="","",IF(F20&gt;=0,IF(I20&lt;=1,"PASS","FAIL"),IF(OR(E20="",E20=0),"BLOCK",IF(I20&lt;=1,"PASS","FAIL"))))</x:f>
      </x:c>
      <x:c r="K20" s="29" t="str">
        <x:f>IF($A20="","",F20*B20)</x:f>
      </x:c>
      <x:c r="L20" s="29" t="str">
        <x:f>IF($A20="","",F20*C20)</x:f>
      </x:c>
      <x:c r="M20" s="29" t="str">
        <x:f>IF($A20="","",PILE_POINTS!F9)</x:f>
      </x:c>
      <x:c r="N20" s="29" t="str">
        <x:f>IF($A20="","",PILE_POINTS!G9)</x:f>
      </x:c>
      <x:c r="O20" s="29"/>
      <x:c r="P20" s="29" t="str">
        <x:v>Overall</x:v>
      </x:c>
      <x:c r="Q20" s="36" t="str">
        <x:f>IF(AND(Q14="PASS",COUNTIF(J13:J32,"FAIL")=0,Q19="NO"),"PASS","FAIL/BLOCK")</x:f>
        <x:v>PASS</x:v>
      </x:c>
    </x:row>
    <x:row r="21" ht="15" hidden="0" customHeight="1">
      <x:c r="A21" s="29" t="str">
        <x:f>IF(PILE_POINTS!A10="","",PILE_POINTS!A10)</x:f>
      </x:c>
      <x:c r="B21" s="29" t="str">
        <x:f>IF($A21="","",PILE_POINTS!B10)</x:f>
      </x:c>
      <x:c r="C21" s="29" t="str">
        <x:f>IF($A21="","",PILE_POINTS!C10)</x:f>
      </x:c>
      <x:c r="D21" s="29" t="str">
        <x:f>IF($A21="","",PILE_POINTS!D10)</x:f>
      </x:c>
      <x:c r="E21" s="29" t="str">
        <x:f>IF($A21="","",PILE_POINTS!E10)</x:f>
      </x:c>
      <x:c r="F21" s="35" t="str">
        <x:f>IF($A21="","",$H$3+$H$4*B21+$H$5*C21)</x:f>
      </x:c>
      <x:c r="G21" s="35" t="str">
        <x:f>IF($A21="","",IF(F21&gt;=0,"COMPRESSION","TENSION"))</x:f>
      </x:c>
      <x:c r="H21" s="35" t="str">
        <x:f>IF($A21="","",IF(F21&gt;=0,D21,E21))</x:f>
      </x:c>
      <x:c r="I21" s="35" t="str">
        <x:f>IF($A21="","",IF(F21&gt;=0,F21/D21,IF(OR(E21="",E21=0),NA(),ABS(F21)/E21)))</x:f>
      </x:c>
      <x:c r="J21" s="35" t="str">
        <x:f>IF($A21="","",IF(F21&gt;=0,IF(I21&lt;=1,"PASS","FAIL"),IF(OR(E21="",E21=0),"BLOCK",IF(I21&lt;=1,"PASS","FAIL"))))</x:f>
      </x:c>
      <x:c r="K21" s="29" t="str">
        <x:f>IF($A21="","",F21*B21)</x:f>
      </x:c>
      <x:c r="L21" s="29" t="str">
        <x:f>IF($A21="","",F21*C21)</x:f>
      </x:c>
      <x:c r="M21" s="29" t="str">
        <x:f>IF($A21="","",PILE_POINTS!F10)</x:f>
      </x:c>
      <x:c r="N21" s="29" t="str">
        <x:f>IF($A21="","",PILE_POINTS!G10)</x:f>
      </x:c>
      <x:c r="O21" s="29"/>
      <x:c r="P21" s="29"/>
      <x:c r="Q21" s="29"/>
    </x:row>
    <x:row r="22" ht="15" hidden="0" customHeight="1">
      <x:c r="A22" s="29" t="str">
        <x:f>IF(PILE_POINTS!A11="","",PILE_POINTS!A11)</x:f>
      </x:c>
      <x:c r="B22" s="29" t="str">
        <x:f>IF($A22="","",PILE_POINTS!B11)</x:f>
      </x:c>
      <x:c r="C22" s="29" t="str">
        <x:f>IF($A22="","",PILE_POINTS!C11)</x:f>
      </x:c>
      <x:c r="D22" s="29" t="str">
        <x:f>IF($A22="","",PILE_POINTS!D11)</x:f>
      </x:c>
      <x:c r="E22" s="29" t="str">
        <x:f>IF($A22="","",PILE_POINTS!E11)</x:f>
      </x:c>
      <x:c r="F22" s="35" t="str">
        <x:f>IF($A22="","",$H$3+$H$4*B22+$H$5*C22)</x:f>
      </x:c>
      <x:c r="G22" s="35" t="str">
        <x:f>IF($A22="","",IF(F22&gt;=0,"COMPRESSION","TENSION"))</x:f>
      </x:c>
      <x:c r="H22" s="35" t="str">
        <x:f>IF($A22="","",IF(F22&gt;=0,D22,E22))</x:f>
      </x:c>
      <x:c r="I22" s="35" t="str">
        <x:f>IF($A22="","",IF(F22&gt;=0,F22/D22,IF(OR(E22="",E22=0),NA(),ABS(F22)/E22)))</x:f>
      </x:c>
      <x:c r="J22" s="35" t="str">
        <x:f>IF($A22="","",IF(F22&gt;=0,IF(I22&lt;=1,"PASS","FAIL"),IF(OR(E22="",E22=0),"BLOCK",IF(I22&lt;=1,"PASS","FAIL"))))</x:f>
      </x:c>
      <x:c r="K22" s="29" t="str">
        <x:f>IF($A22="","",F22*B22)</x:f>
      </x:c>
      <x:c r="L22" s="29" t="str">
        <x:f>IF($A22="","",F22*C22)</x:f>
      </x:c>
      <x:c r="M22" s="29" t="str">
        <x:f>IF($A22="","",PILE_POINTS!F11)</x:f>
      </x:c>
      <x:c r="N22" s="29" t="str">
        <x:f>IF($A22="","",PILE_POINTS!G11)</x:f>
      </x:c>
      <x:c r="O22" s="29"/>
      <x:c r="P22" s="29"/>
      <x:c r="Q22" s="29"/>
    </x:row>
    <x:row r="23" ht="15" hidden="0" customHeight="1">
      <x:c r="A23" s="29" t="str">
        <x:f>IF(PILE_POINTS!A12="","",PILE_POINTS!A12)</x:f>
      </x:c>
      <x:c r="B23" s="29" t="str">
        <x:f>IF($A23="","",PILE_POINTS!B12)</x:f>
      </x:c>
      <x:c r="C23" s="29" t="str">
        <x:f>IF($A23="","",PILE_POINTS!C12)</x:f>
      </x:c>
      <x:c r="D23" s="29" t="str">
        <x:f>IF($A23="","",PILE_POINTS!D12)</x:f>
      </x:c>
      <x:c r="E23" s="29" t="str">
        <x:f>IF($A23="","",PILE_POINTS!E12)</x:f>
      </x:c>
      <x:c r="F23" s="35" t="str">
        <x:f>IF($A23="","",$H$3+$H$4*B23+$H$5*C23)</x:f>
      </x:c>
      <x:c r="G23" s="35" t="str">
        <x:f>IF($A23="","",IF(F23&gt;=0,"COMPRESSION","TENSION"))</x:f>
      </x:c>
      <x:c r="H23" s="35" t="str">
        <x:f>IF($A23="","",IF(F23&gt;=0,D23,E23))</x:f>
      </x:c>
      <x:c r="I23" s="35" t="str">
        <x:f>IF($A23="","",IF(F23&gt;=0,F23/D23,IF(OR(E23="",E23=0),NA(),ABS(F23)/E23)))</x:f>
      </x:c>
      <x:c r="J23" s="35" t="str">
        <x:f>IF($A23="","",IF(F23&gt;=0,IF(I23&lt;=1,"PASS","FAIL"),IF(OR(E23="",E23=0),"BLOCK",IF(I23&lt;=1,"PASS","FAIL"))))</x:f>
      </x:c>
      <x:c r="K23" s="29" t="str">
        <x:f>IF($A23="","",F23*B23)</x:f>
      </x:c>
      <x:c r="L23" s="29" t="str">
        <x:f>IF($A23="","",F23*C23)</x:f>
      </x:c>
      <x:c r="M23" s="29" t="str">
        <x:f>IF($A23="","",PILE_POINTS!F12)</x:f>
      </x:c>
      <x:c r="N23" s="29" t="str">
        <x:f>IF($A23="","",PILE_POINTS!G12)</x:f>
      </x:c>
      <x:c r="O23" s="29"/>
      <x:c r="P23" s="29"/>
      <x:c r="Q23" s="29"/>
    </x:row>
    <x:row r="24" ht="15" hidden="0" customHeight="1">
      <x:c r="A24" s="29" t="str">
        <x:f>IF(PILE_POINTS!A13="","",PILE_POINTS!A13)</x:f>
      </x:c>
      <x:c r="B24" s="29" t="str">
        <x:f>IF($A24="","",PILE_POINTS!B13)</x:f>
      </x:c>
      <x:c r="C24" s="29" t="str">
        <x:f>IF($A24="","",PILE_POINTS!C13)</x:f>
      </x:c>
      <x:c r="D24" s="29" t="str">
        <x:f>IF($A24="","",PILE_POINTS!D13)</x:f>
      </x:c>
      <x:c r="E24" s="29" t="str">
        <x:f>IF($A24="","",PILE_POINTS!E13)</x:f>
      </x:c>
      <x:c r="F24" s="35" t="str">
        <x:f>IF($A24="","",$H$3+$H$4*B24+$H$5*C24)</x:f>
      </x:c>
      <x:c r="G24" s="35" t="str">
        <x:f>IF($A24="","",IF(F24&gt;=0,"COMPRESSION","TENSION"))</x:f>
      </x:c>
      <x:c r="H24" s="35" t="str">
        <x:f>IF($A24="","",IF(F24&gt;=0,D24,E24))</x:f>
      </x:c>
      <x:c r="I24" s="35" t="str">
        <x:f>IF($A24="","",IF(F24&gt;=0,F24/D24,IF(OR(E24="",E24=0),NA(),ABS(F24)/E24)))</x:f>
      </x:c>
      <x:c r="J24" s="35" t="str">
        <x:f>IF($A24="","",IF(F24&gt;=0,IF(I24&lt;=1,"PASS","FAIL"),IF(OR(E24="",E24=0),"BLOCK",IF(I24&lt;=1,"PASS","FAIL"))))</x:f>
      </x:c>
      <x:c r="K24" s="29" t="str">
        <x:f>IF($A24="","",F24*B24)</x:f>
      </x:c>
      <x:c r="L24" s="29" t="str">
        <x:f>IF($A24="","",F24*C24)</x:f>
      </x:c>
      <x:c r="M24" s="29" t="str">
        <x:f>IF($A24="","",PILE_POINTS!F13)</x:f>
      </x:c>
      <x:c r="N24" s="29" t="str">
        <x:f>IF($A24="","",PILE_POINTS!G13)</x:f>
      </x:c>
      <x:c r="O24" s="29"/>
      <x:c r="P24" s="29"/>
      <x:c r="Q24" s="29"/>
    </x:row>
    <x:row r="25" ht="15" hidden="0" customHeight="1">
      <x:c r="A25" s="29" t="str">
        <x:f>IF(PILE_POINTS!A14="","",PILE_POINTS!A14)</x:f>
      </x:c>
      <x:c r="B25" s="29" t="str">
        <x:f>IF($A25="","",PILE_POINTS!B14)</x:f>
      </x:c>
      <x:c r="C25" s="29" t="str">
        <x:f>IF($A25="","",PILE_POINTS!C14)</x:f>
      </x:c>
      <x:c r="D25" s="29" t="str">
        <x:f>IF($A25="","",PILE_POINTS!D14)</x:f>
      </x:c>
      <x:c r="E25" s="29" t="str">
        <x:f>IF($A25="","",PILE_POINTS!E14)</x:f>
      </x:c>
      <x:c r="F25" s="35" t="str">
        <x:f>IF($A25="","",$H$3+$H$4*B25+$H$5*C25)</x:f>
      </x:c>
      <x:c r="G25" s="35" t="str">
        <x:f>IF($A25="","",IF(F25&gt;=0,"COMPRESSION","TENSION"))</x:f>
      </x:c>
      <x:c r="H25" s="35" t="str">
        <x:f>IF($A25="","",IF(F25&gt;=0,D25,E25))</x:f>
      </x:c>
      <x:c r="I25" s="35" t="str">
        <x:f>IF($A25="","",IF(F25&gt;=0,F25/D25,IF(OR(E25="",E25=0),NA(),ABS(F25)/E25)))</x:f>
      </x:c>
      <x:c r="J25" s="35" t="str">
        <x:f>IF($A25="","",IF(F25&gt;=0,IF(I25&lt;=1,"PASS","FAIL"),IF(OR(E25="",E25=0),"BLOCK",IF(I25&lt;=1,"PASS","FAIL"))))</x:f>
      </x:c>
      <x:c r="K25" s="29" t="str">
        <x:f>IF($A25="","",F25*B25)</x:f>
      </x:c>
      <x:c r="L25" s="29" t="str">
        <x:f>IF($A25="","",F25*C25)</x:f>
      </x:c>
      <x:c r="M25" s="29" t="str">
        <x:f>IF($A25="","",PILE_POINTS!F14)</x:f>
      </x:c>
      <x:c r="N25" s="29" t="str">
        <x:f>IF($A25="","",PILE_POINTS!G14)</x:f>
      </x:c>
      <x:c r="O25" s="29"/>
      <x:c r="P25" s="29"/>
      <x:c r="Q25" s="29"/>
    </x:row>
    <x:row r="26" ht="15" hidden="0" customHeight="1">
      <x:c r="A26" s="29" t="str">
        <x:f>IF(PILE_POINTS!A15="","",PILE_POINTS!A15)</x:f>
      </x:c>
      <x:c r="B26" s="29" t="str">
        <x:f>IF($A26="","",PILE_POINTS!B15)</x:f>
      </x:c>
      <x:c r="C26" s="29" t="str">
        <x:f>IF($A26="","",PILE_POINTS!C15)</x:f>
      </x:c>
      <x:c r="D26" s="29" t="str">
        <x:f>IF($A26="","",PILE_POINTS!D15)</x:f>
      </x:c>
      <x:c r="E26" s="29" t="str">
        <x:f>IF($A26="","",PILE_POINTS!E15)</x:f>
      </x:c>
      <x:c r="F26" s="35" t="str">
        <x:f>IF($A26="","",$H$3+$H$4*B26+$H$5*C26)</x:f>
      </x:c>
      <x:c r="G26" s="35" t="str">
        <x:f>IF($A26="","",IF(F26&gt;=0,"COMPRESSION","TENSION"))</x:f>
      </x:c>
      <x:c r="H26" s="35" t="str">
        <x:f>IF($A26="","",IF(F26&gt;=0,D26,E26))</x:f>
      </x:c>
      <x:c r="I26" s="35" t="str">
        <x:f>IF($A26="","",IF(F26&gt;=0,F26/D26,IF(OR(E26="",E26=0),NA(),ABS(F26)/E26)))</x:f>
      </x:c>
      <x:c r="J26" s="35" t="str">
        <x:f>IF($A26="","",IF(F26&gt;=0,IF(I26&lt;=1,"PASS","FAIL"),IF(OR(E26="",E26=0),"BLOCK",IF(I26&lt;=1,"PASS","FAIL"))))</x:f>
      </x:c>
      <x:c r="K26" s="29" t="str">
        <x:f>IF($A26="","",F26*B26)</x:f>
      </x:c>
      <x:c r="L26" s="29" t="str">
        <x:f>IF($A26="","",F26*C26)</x:f>
      </x:c>
      <x:c r="M26" s="29" t="str">
        <x:f>IF($A26="","",PILE_POINTS!F15)</x:f>
      </x:c>
      <x:c r="N26" s="29" t="str">
        <x:f>IF($A26="","",PILE_POINTS!G15)</x:f>
      </x:c>
      <x:c r="O26" s="29"/>
      <x:c r="P26" s="29"/>
      <x:c r="Q26" s="29"/>
    </x:row>
    <x:row r="27" ht="15" hidden="0" customHeight="1">
      <x:c r="A27" s="29" t="str">
        <x:f>IF(PILE_POINTS!A16="","",PILE_POINTS!A16)</x:f>
      </x:c>
      <x:c r="B27" s="29" t="str">
        <x:f>IF($A27="","",PILE_POINTS!B16)</x:f>
      </x:c>
      <x:c r="C27" s="29" t="str">
        <x:f>IF($A27="","",PILE_POINTS!C16)</x:f>
      </x:c>
      <x:c r="D27" s="29" t="str">
        <x:f>IF($A27="","",PILE_POINTS!D16)</x:f>
      </x:c>
      <x:c r="E27" s="29" t="str">
        <x:f>IF($A27="","",PILE_POINTS!E16)</x:f>
      </x:c>
      <x:c r="F27" s="35" t="str">
        <x:f>IF($A27="","",$H$3+$H$4*B27+$H$5*C27)</x:f>
      </x:c>
      <x:c r="G27" s="35" t="str">
        <x:f>IF($A27="","",IF(F27&gt;=0,"COMPRESSION","TENSION"))</x:f>
      </x:c>
      <x:c r="H27" s="35" t="str">
        <x:f>IF($A27="","",IF(F27&gt;=0,D27,E27))</x:f>
      </x:c>
      <x:c r="I27" s="35" t="str">
        <x:f>IF($A27="","",IF(F27&gt;=0,F27/D27,IF(OR(E27="",E27=0),NA(),ABS(F27)/E27)))</x:f>
      </x:c>
      <x:c r="J27" s="35" t="str">
        <x:f>IF($A27="","",IF(F27&gt;=0,IF(I27&lt;=1,"PASS","FAIL"),IF(OR(E27="",E27=0),"BLOCK",IF(I27&lt;=1,"PASS","FAIL"))))</x:f>
      </x:c>
      <x:c r="K27" s="29" t="str">
        <x:f>IF($A27="","",F27*B27)</x:f>
      </x:c>
      <x:c r="L27" s="29" t="str">
        <x:f>IF($A27="","",F27*C27)</x:f>
      </x:c>
      <x:c r="M27" s="29" t="str">
        <x:f>IF($A27="","",PILE_POINTS!F16)</x:f>
      </x:c>
      <x:c r="N27" s="29" t="str">
        <x:f>IF($A27="","",PILE_POINTS!G16)</x:f>
      </x:c>
      <x:c r="O27" s="29"/>
      <x:c r="P27" s="29"/>
      <x:c r="Q27" s="29"/>
    </x:row>
    <x:row r="28" ht="15" hidden="0" customHeight="1">
      <x:c r="A28" s="29" t="str">
        <x:f>IF(PILE_POINTS!A17="","",PILE_POINTS!A17)</x:f>
      </x:c>
      <x:c r="B28" s="29" t="str">
        <x:f>IF($A28="","",PILE_POINTS!B17)</x:f>
      </x:c>
      <x:c r="C28" s="29" t="str">
        <x:f>IF($A28="","",PILE_POINTS!C17)</x:f>
      </x:c>
      <x:c r="D28" s="29" t="str">
        <x:f>IF($A28="","",PILE_POINTS!D17)</x:f>
      </x:c>
      <x:c r="E28" s="29" t="str">
        <x:f>IF($A28="","",PILE_POINTS!E17)</x:f>
      </x:c>
      <x:c r="F28" s="35" t="str">
        <x:f>IF($A28="","",$H$3+$H$4*B28+$H$5*C28)</x:f>
      </x:c>
      <x:c r="G28" s="35" t="str">
        <x:f>IF($A28="","",IF(F28&gt;=0,"COMPRESSION","TENSION"))</x:f>
      </x:c>
      <x:c r="H28" s="35" t="str">
        <x:f>IF($A28="","",IF(F28&gt;=0,D28,E28))</x:f>
      </x:c>
      <x:c r="I28" s="35" t="str">
        <x:f>IF($A28="","",IF(F28&gt;=0,F28/D28,IF(OR(E28="",E28=0),NA(),ABS(F28)/E28)))</x:f>
      </x:c>
      <x:c r="J28" s="35" t="str">
        <x:f>IF($A28="","",IF(F28&gt;=0,IF(I28&lt;=1,"PASS","FAIL"),IF(OR(E28="",E28=0),"BLOCK",IF(I28&lt;=1,"PASS","FAIL"))))</x:f>
      </x:c>
      <x:c r="K28" s="29" t="str">
        <x:f>IF($A28="","",F28*B28)</x:f>
      </x:c>
      <x:c r="L28" s="29" t="str">
        <x:f>IF($A28="","",F28*C28)</x:f>
      </x:c>
      <x:c r="M28" s="29" t="str">
        <x:f>IF($A28="","",PILE_POINTS!F17)</x:f>
      </x:c>
      <x:c r="N28" s="29" t="str">
        <x:f>IF($A28="","",PILE_POINTS!G17)</x:f>
      </x:c>
      <x:c r="O28" s="29"/>
      <x:c r="P28" s="29"/>
      <x:c r="Q28" s="29"/>
    </x:row>
    <x:row r="29" ht="15" hidden="0" customHeight="1">
      <x:c r="A29" s="29" t="str">
        <x:f>IF(PILE_POINTS!A18="","",PILE_POINTS!A18)</x:f>
      </x:c>
      <x:c r="B29" s="29" t="str">
        <x:f>IF($A29="","",PILE_POINTS!B18)</x:f>
      </x:c>
      <x:c r="C29" s="29" t="str">
        <x:f>IF($A29="","",PILE_POINTS!C18)</x:f>
      </x:c>
      <x:c r="D29" s="29" t="str">
        <x:f>IF($A29="","",PILE_POINTS!D18)</x:f>
      </x:c>
      <x:c r="E29" s="29" t="str">
        <x:f>IF($A29="","",PILE_POINTS!E18)</x:f>
      </x:c>
      <x:c r="F29" s="35" t="str">
        <x:f>IF($A29="","",$H$3+$H$4*B29+$H$5*C29)</x:f>
      </x:c>
      <x:c r="G29" s="35" t="str">
        <x:f>IF($A29="","",IF(F29&gt;=0,"COMPRESSION","TENSION"))</x:f>
      </x:c>
      <x:c r="H29" s="35" t="str">
        <x:f>IF($A29="","",IF(F29&gt;=0,D29,E29))</x:f>
      </x:c>
      <x:c r="I29" s="35" t="str">
        <x:f>IF($A29="","",IF(F29&gt;=0,F29/D29,IF(OR(E29="",E29=0),NA(),ABS(F29)/E29)))</x:f>
      </x:c>
      <x:c r="J29" s="35" t="str">
        <x:f>IF($A29="","",IF(F29&gt;=0,IF(I29&lt;=1,"PASS","FAIL"),IF(OR(E29="",E29=0),"BLOCK",IF(I29&lt;=1,"PASS","FAIL"))))</x:f>
      </x:c>
      <x:c r="K29" s="29" t="str">
        <x:f>IF($A29="","",F29*B29)</x:f>
      </x:c>
      <x:c r="L29" s="29" t="str">
        <x:f>IF($A29="","",F29*C29)</x:f>
      </x:c>
      <x:c r="M29" s="29" t="str">
        <x:f>IF($A29="","",PILE_POINTS!F18)</x:f>
      </x:c>
      <x:c r="N29" s="29" t="str">
        <x:f>IF($A29="","",PILE_POINTS!G18)</x:f>
      </x:c>
      <x:c r="O29" s="29"/>
      <x:c r="P29" s="29"/>
      <x:c r="Q29" s="29"/>
    </x:row>
    <x:row r="30" ht="15" hidden="0" customHeight="1">
      <x:c r="A30" s="29" t="str">
        <x:f>IF(PILE_POINTS!A19="","",PILE_POINTS!A19)</x:f>
      </x:c>
      <x:c r="B30" s="29" t="str">
        <x:f>IF($A30="","",PILE_POINTS!B19)</x:f>
      </x:c>
      <x:c r="C30" s="29" t="str">
        <x:f>IF($A30="","",PILE_POINTS!C19)</x:f>
      </x:c>
      <x:c r="D30" s="29" t="str">
        <x:f>IF($A30="","",PILE_POINTS!D19)</x:f>
      </x:c>
      <x:c r="E30" s="29" t="str">
        <x:f>IF($A30="","",PILE_POINTS!E19)</x:f>
      </x:c>
      <x:c r="F30" s="35" t="str">
        <x:f>IF($A30="","",$H$3+$H$4*B30+$H$5*C30)</x:f>
      </x:c>
      <x:c r="G30" s="35" t="str">
        <x:f>IF($A30="","",IF(F30&gt;=0,"COMPRESSION","TENSION"))</x:f>
      </x:c>
      <x:c r="H30" s="35" t="str">
        <x:f>IF($A30="","",IF(F30&gt;=0,D30,E30))</x:f>
      </x:c>
      <x:c r="I30" s="35" t="str">
        <x:f>IF($A30="","",IF(F30&gt;=0,F30/D30,IF(OR(E30="",E30=0),NA(),ABS(F30)/E30)))</x:f>
      </x:c>
      <x:c r="J30" s="35" t="str">
        <x:f>IF($A30="","",IF(F30&gt;=0,IF(I30&lt;=1,"PASS","FAIL"),IF(OR(E30="",E30=0),"BLOCK",IF(I30&lt;=1,"PASS","FAIL"))))</x:f>
      </x:c>
      <x:c r="K30" s="29" t="str">
        <x:f>IF($A30="","",F30*B30)</x:f>
      </x:c>
      <x:c r="L30" s="29" t="str">
        <x:f>IF($A30="","",F30*C30)</x:f>
      </x:c>
      <x:c r="M30" s="29" t="str">
        <x:f>IF($A30="","",PILE_POINTS!F19)</x:f>
      </x:c>
      <x:c r="N30" s="29" t="str">
        <x:f>IF($A30="","",PILE_POINTS!G19)</x:f>
      </x:c>
      <x:c r="O30" s="29"/>
      <x:c r="P30" s="29"/>
      <x:c r="Q30" s="29"/>
    </x:row>
    <x:row r="31" ht="15" hidden="0" customHeight="1">
      <x:c r="A31" s="29" t="str">
        <x:f>IF(PILE_POINTS!A20="","",PILE_POINTS!A20)</x:f>
      </x:c>
      <x:c r="B31" s="29" t="str">
        <x:f>IF($A31="","",PILE_POINTS!B20)</x:f>
      </x:c>
      <x:c r="C31" s="29" t="str">
        <x:f>IF($A31="","",PILE_POINTS!C20)</x:f>
      </x:c>
      <x:c r="D31" s="29" t="str">
        <x:f>IF($A31="","",PILE_POINTS!D20)</x:f>
      </x:c>
      <x:c r="E31" s="29" t="str">
        <x:f>IF($A31="","",PILE_POINTS!E20)</x:f>
      </x:c>
      <x:c r="F31" s="35" t="str">
        <x:f>IF($A31="","",$H$3+$H$4*B31+$H$5*C31)</x:f>
      </x:c>
      <x:c r="G31" s="35" t="str">
        <x:f>IF($A31="","",IF(F31&gt;=0,"COMPRESSION","TENSION"))</x:f>
      </x:c>
      <x:c r="H31" s="35" t="str">
        <x:f>IF($A31="","",IF(F31&gt;=0,D31,E31))</x:f>
      </x:c>
      <x:c r="I31" s="35" t="str">
        <x:f>IF($A31="","",IF(F31&gt;=0,F31/D31,IF(OR(E31="",E31=0),NA(),ABS(F31)/E31)))</x:f>
      </x:c>
      <x:c r="J31" s="35" t="str">
        <x:f>IF($A31="","",IF(F31&gt;=0,IF(I31&lt;=1,"PASS","FAIL"),IF(OR(E31="",E31=0),"BLOCK",IF(I31&lt;=1,"PASS","FAIL"))))</x:f>
      </x:c>
      <x:c r="K31" s="29" t="str">
        <x:f>IF($A31="","",F31*B31)</x:f>
      </x:c>
      <x:c r="L31" s="29" t="str">
        <x:f>IF($A31="","",F31*C31)</x:f>
      </x:c>
      <x:c r="M31" s="29" t="str">
        <x:f>IF($A31="","",PILE_POINTS!F20)</x:f>
      </x:c>
      <x:c r="N31" s="29" t="str">
        <x:f>IF($A31="","",PILE_POINTS!G20)</x:f>
      </x:c>
      <x:c r="O31" s="29"/>
      <x:c r="P31" s="29"/>
      <x:c r="Q31" s="29"/>
    </x:row>
    <x:row r="32" ht="15" hidden="0" customHeight="1">
      <x:c r="A32" s="29" t="str">
        <x:f>IF(PILE_POINTS!A21="","",PILE_POINTS!A21)</x:f>
      </x:c>
      <x:c r="B32" s="29" t="str">
        <x:f>IF($A32="","",PILE_POINTS!B21)</x:f>
      </x:c>
      <x:c r="C32" s="29" t="str">
        <x:f>IF($A32="","",PILE_POINTS!C21)</x:f>
      </x:c>
      <x:c r="D32" s="29" t="str">
        <x:f>IF($A32="","",PILE_POINTS!D21)</x:f>
      </x:c>
      <x:c r="E32" s="29" t="str">
        <x:f>IF($A32="","",PILE_POINTS!E21)</x:f>
      </x:c>
      <x:c r="F32" s="35" t="str">
        <x:f>IF($A32="","",$H$3+$H$4*B32+$H$5*C32)</x:f>
      </x:c>
      <x:c r="G32" s="35" t="str">
        <x:f>IF($A32="","",IF(F32&gt;=0,"COMPRESSION","TENSION"))</x:f>
      </x:c>
      <x:c r="H32" s="35" t="str">
        <x:f>IF($A32="","",IF(F32&gt;=0,D32,E32))</x:f>
      </x:c>
      <x:c r="I32" s="35" t="str">
        <x:f>IF($A32="","",IF(F32&gt;=0,F32/D32,IF(OR(E32="",E32=0),NA(),ABS(F32)/E32)))</x:f>
      </x:c>
      <x:c r="J32" s="35" t="str">
        <x:f>IF($A32="","",IF(F32&gt;=0,IF(I32&lt;=1,"PASS","FAIL"),IF(OR(E32="",E32=0),"BLOCK",IF(I32&lt;=1,"PASS","FAIL"))))</x:f>
      </x:c>
      <x:c r="K32" s="29" t="str">
        <x:f>IF($A32="","",F32*B32)</x:f>
      </x:c>
      <x:c r="L32" s="29" t="str">
        <x:f>IF($A32="","",F32*C32)</x:f>
      </x:c>
      <x:c r="M32" s="29" t="str">
        <x:f>IF($A32="","",PILE_POINTS!F21)</x:f>
      </x:c>
      <x:c r="N32" s="29" t="str">
        <x:f>IF($A32="","",PILE_POINTS!G21)</x:f>
      </x:c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Q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Item</x:v>
      </x:c>
      <x:c r="B1" s="16" t="str">
        <x:v>Authority</x:v>
      </x:c>
      <x:c r="C1" s="16" t="str">
        <x:v>Status</x:v>
      </x:c>
      <x:c r="D1" s="16" t="str">
        <x:v>Use</x:v>
      </x:c>
      <x:c r="E1" s="16" t="str">
        <x:v>Reference</x:v>
      </x:c>
      <x:c r="F1" s="16" t="str">
        <x:v>Note</x:v>
      </x:c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Compression capacity</x:v>
      </x:c>
      <x:c r="B2" s="29" t="str">
        <x:v>TCVN/HNL verified chain</x:v>
      </x:c>
      <x:c r="C2" s="29" t="str">
        <x:v>VERIFIED upstream</x:v>
      </x:c>
      <x:c r="D2" s="29" t="str">
        <x:v>Input</x:v>
      </x:c>
      <x:c r="E2" s="29" t="str">
        <x:v>Rpile / Nd,max</x:v>
      </x:c>
      <x:c r="F2" s="29" t="str">
        <x:v>Preserve provenance</x:v>
      </x:c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Reaction distribution</x:v>
      </x:c>
      <x:c r="B3" s="29" t="str">
        <x:v>Engineering statics</x:v>
      </x:c>
      <x:c r="C3" s="29" t="str">
        <x:v>REVIEW</x:v>
      </x:c>
      <x:c r="D3" s="29" t="str">
        <x:v>Axial reaction</x:v>
      </x:c>
      <x:c r="E3" s="29" t="str">
        <x:v>Ni=a+b*x+c*y</x:v>
      </x:c>
      <x:c r="F3" s="29" t="str">
        <x:v>Benchmark XLSM before LOCK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TM SCT Coc</x:v>
      </x:c>
      <x:c r="B4" s="29" t="str">
        <x:v>DCE XLSM</x:v>
      </x:c>
      <x:c r="C4" s="29" t="str">
        <x:v>REFERENCE</x:v>
      </x:c>
      <x:c r="D4" s="29" t="str">
        <x:v>Workflow benchmark</x:v>
      </x:c>
      <x:c r="E4" s="29" t="str">
        <x:v>6082 formulas</x:v>
      </x:c>
      <x:c r="F4" s="29" t="str">
        <x:v>0 UDF/XLL per prior audit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Vx/Vy/T</x:v>
      </x:c>
      <x:c r="B5" s="29" t="str">
        <x:v>No verified axial coupling</x:v>
      </x:c>
      <x:c r="C5" s="29" t="str">
        <x:v>METADATA</x:v>
      </x:c>
      <x:c r="D5" s="29" t="str">
        <x:v>Carry only</x:v>
      </x:c>
      <x:c r="E5" s="29" t="str">
        <x:v>—</x:v>
      </x:c>
      <x:c r="F5" s="29" t="str">
        <x:v>Do not add to Ni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Tension</x:v>
      </x:c>
      <x:c r="B6" s="29" t="str">
        <x:v>Separate verified source</x:v>
      </x:c>
      <x:c r="C6" s="29" t="str">
        <x:v>BLOCK if absent</x:v>
      </x:c>
      <x:c r="D6" s="29" t="str">
        <x:v>Tension check</x:v>
      </x:c>
      <x:c r="E6" s="29" t="str">
        <x:v>—</x:v>
      </x:c>
      <x:c r="F6" s="29" t="str">
        <x:v>Never reuse compression Rpile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 t="str">
        <x:v>ETABS/SAP importer</x:v>
      </x:c>
      <x:c r="B7" s="29" t="str">
        <x:v>Future P1 Pass 5</x:v>
      </x:c>
      <x:c r="C7" s="29" t="str">
        <x:v>DEFERRED</x:v>
      </x:c>
      <x:c r="D7" s="29" t="str">
        <x:v>Not implemented</x:v>
      </x:c>
      <x:c r="E7" s="29" t="str">
        <x:v>—</x:v>
      </x:c>
      <x:c r="F7" s="29" t="str">
        <x:v>After reaction LOCK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 t="str">
        <x:v>Search Brain</x:v>
      </x:c>
      <x:c r="B8" s="29" t="str">
        <x:v>HNL locked</x:v>
      </x:c>
      <x:c r="C8" s="29" t="str">
        <x:v>LOCKED</x:v>
      </x:c>
      <x:c r="D8" s="29" t="str">
        <x:v>Do not modify</x:v>
      </x:c>
      <x:c r="E8" s="29" t="str">
        <x:v>f9b65e5e...21d2</x:v>
      </x:c>
      <x:c r="F8" s="29" t="str">
        <x:v>No search.js changes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 t="str">
        <x:v>Reaction mode</x:v>
      </x:c>
      <x:c r="B10" s="29" t="str">
        <x:v>Authority</x:v>
      </x:c>
      <x:c r="C10" s="29" t="str">
        <x:v>Status</x:v>
      </x:c>
      <x:c r="D10" s="29" t="str">
        <x:v>Use</x:v>
      </x:c>
      <x:c r="E10" s="29" t="str">
        <x:v>Reference</x:v>
      </x:c>
      <x:c r="F10" s="29" t="str">
        <x:v>Note</x:v>
      </x:c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26.399999618530273" hidden="0" customHeight="1">
      <x:c r="A11" s="29" t="str">
        <x:v>ANALYTICAL_RIGID_CAP</x:v>
      </x:c>
      <x:c r="B11" s="29" t="str">
        <x:v>Engineering statics</x:v>
      </x:c>
      <x:c r="C11" s="29" t="str">
        <x:v>REVIEW</x:v>
      </x:c>
      <x:c r="D11" s="29" t="str">
        <x:v>Derive Ni</x:v>
      </x:c>
      <x:c r="E11" s="29" t="str">
        <x:v>ΣNi=N; ΣNi*x=My; ΣNi*y=Mx</x:v>
      </x:c>
      <x:c r="F11" s="29" t="str">
        <x:v>Independent HNL mode</x:v>
      </x:c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26.399999618530273" hidden="0" customHeight="1">
      <x:c r="A12" s="29" t="str">
        <x:v>IMPORTED_NODAL_REACTION</x:v>
      </x:c>
      <x:c r="B12" s="29" t="str">
        <x:v>Audited TM SCT Coc workflow</x:v>
      </x:c>
      <x:c r="C12" s="29" t="str">
        <x:v>REVIEW</x:v>
      </x:c>
      <x:c r="D12" s="29" t="str">
        <x:v>Check imported Fz per pile</x:v>
      </x:c>
      <x:c r="E12" s="29" t="str">
        <x:v>Point→Spring→Reaction→Capacity</x:v>
      </x:c>
      <x:c r="F12" s="29" t="str">
        <x:v>Closer to workbook data-flow evidence</x:v>
      </x:c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3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15" hidden="0" customHeight="1">
      <x:c r="A1" s="16" t="str">
        <x:v>Gate</x:v>
      </x:c>
      <x:c r="B1" s="16" t="str">
        <x:v>Result</x:v>
      </x:c>
      <x:c r="C1" s="16" t="str">
        <x:v>Status</x:v>
      </x:c>
      <x:c r="D1" s="16" t="str">
        <x:v>Note</x:v>
      </x:c>
      <x:c r="E1" s="29"/>
      <x:c r="F1" s="29"/>
      <x:c r="G1" s="29"/>
      <x:c r="H1" s="29"/>
      <x:c r="I1" s="29"/>
      <x:c r="J1" s="29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Engine seed tests</x:v>
      </x:c>
      <x:c r="B2" s="29" t="str">
        <x:v>12/12</x:v>
      </x:c>
      <x:c r="C2" s="29" t="str">
        <x:v>PASS</x:v>
      </x:c>
      <x:c r="D2" s="29" t="str">
        <x:v>Executed in runtime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26.399999618530273" hidden="0" customHeight="1">
      <x:c r="A3" s="29" t="str">
        <x:v>Formula-only workbook</x:v>
      </x:c>
      <x:c r="B3" s="29" t="str">
        <x:v>Created</x:v>
      </x:c>
      <x:c r="C3" s="29" t="str">
        <x:v>PASS</x:v>
      </x:c>
      <x:c r="D3" s="29" t="str">
        <x:v>Live formulas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Static equilibrium</x:v>
      </x:c>
      <x:c r="B4" s="29" t="str">
        <x:v>ΣN, ΣMx, ΣMy</x:v>
      </x:c>
      <x:c r="C4" s="29" t="str">
        <x:v>FORMULA</x:v>
      </x:c>
      <x:c r="D4" s="29" t="str">
        <x:v>Full coupled 3x3 solution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26.399999618530273" hidden="0" customHeight="1">
      <x:c r="A5" s="29" t="str">
        <x:v>Tension without capacity</x:v>
      </x:c>
      <x:c r="B5" s="29" t="str">
        <x:v>BLOCK</x:v>
      </x:c>
      <x:c r="C5" s="29" t="str">
        <x:v>PASS</x:v>
      </x:c>
      <x:c r="D5" s="29" t="str">
        <x:v>Safety behavior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 t="str">
        <x:v>Vx/Vy/T axial coupling</x:v>
      </x:c>
      <x:c r="B6" s="29" t="str">
        <x:v>Not used</x:v>
      </x:c>
      <x:c r="C6" s="29" t="str">
        <x:v>PASS</x:v>
      </x:c>
      <x:c r="D6" s="29" t="str">
        <x:v>Metadata only</x:v>
      </x:c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26.399999618530273" hidden="0" customHeight="1">
      <x:c r="A7" s="29" t="str">
        <x:v>XLSM TM SCT Coc mapping</x:v>
      </x:c>
      <x:c r="B7" s="29" t="str">
        <x:v>Not run</x:v>
      </x:c>
      <x:c r="C7" s="29" t="str">
        <x:v>BLOCKED</x:v>
      </x:c>
      <x:c r="D7" s="29" t="str">
        <x:v>Workbook bytes not mounted</x:v>
      </x:c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26.399999618530273" hidden="0" customHeight="1">
      <x:c r="A8" s="29" t="str">
        <x:v>XLSM ↔ Engine benchmark</x:v>
      </x:c>
      <x:c r="B8" s="29" t="str">
        <x:v>Not run</x:v>
      </x:c>
      <x:c r="C8" s="29" t="str">
        <x:v>BLOCKED</x:v>
      </x:c>
      <x:c r="D8" s="29" t="str">
        <x:v>Needs cell formulas/cached values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26.399999618530273" hidden="0" customHeight="1">
      <x:c r="A9" s="29" t="str">
        <x:v>Engine ↔ Excel benchmark</x:v>
      </x:c>
      <x:c r="B9" s="29" t="str">
        <x:v>Seed ready</x:v>
      </x:c>
      <x:c r="C9" s="29" t="str">
        <x:v>REVIEW</x:v>
      </x:c>
      <x:c r="D9" s="29" t="str">
        <x:v>Independent formula model created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26.399999618530273" hidden="0" customHeight="1">
      <x:c r="A10" s="29" t="str">
        <x:v>Excel COM recalculation</x:v>
      </x:c>
      <x:c r="B10" s="29" t="str">
        <x:v>Not run</x:v>
      </x:c>
      <x:c r="C10" s="29" t="str">
        <x:v>ENV BLOCK</x:v>
      </x:c>
      <x:c r="D10" s="29" t="str">
        <x:v>Needs Windows Excel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 t="str">
        <x:v>Production status</x:v>
      </x:c>
      <x:c r="B11" s="29" t="str">
        <x:v>FALSE</x:v>
      </x:c>
      <x:c r="C11" s="29" t="str">
        <x:v>REVIEW</x:v>
      </x:c>
      <x:c r="D11" s="29" t="str">
        <x:v>Do not LOCK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 t="str">
        <x:v>Next step</x:v>
      </x:c>
      <x:c r="B12" s="29" t="str">
        <x:v>TM SCT Coc Golden</x:v>
      </x:c>
      <x:c r="C12" s="29" t="str">
        <x:v>PENDING</x:v>
      </x:c>
      <x:c r="D12" s="29" t="str">
        <x:v>Then integrate source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26.399999618530273" hidden="0" customHeight="1">
      <x:c r="A13" s="29" t="str">
        <x:v>Expanded Engine Golden</x:v>
      </x:c>
      <x:c r="B13" s="29" t="str">
        <x:v>24/24</x:v>
      </x:c>
      <x:c r="C13" s="29" t="str">
        <x:v>PASS</x:v>
      </x:c>
      <x:c r="D13" s="29" t="str">
        <x:v>12 original + 12 independent hand/boundary cases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 t="str">
        <x:v>Engine ↔ hand values</x:v>
      </x:c>
      <x:c r="B14" s="29" t="str">
        <x:v>G1/G2/G4/G5/G6</x:v>
      </x:c>
      <x:c r="C14" s="29" t="str">
        <x:v>PASS</x:v>
      </x:c>
      <x:c r="D14" s="29" t="str">
        <x:v>Closed-form expected values</x:v>
      </x:c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26.399999618530273" hidden="0" customHeight="1">
      <x:c r="A15" s="29" t="str">
        <x:v>Governing semantics</x:v>
      </x:c>
      <x:c r="B15" s="29" t="str">
        <x:v>Separated</x:v>
      </x:c>
      <x:c r="C15" s="29" t="str">
        <x:v>PASS</x:v>
      </x:c>
      <x:c r="D15" s="29" t="str">
        <x:v>maxCompressionPile != governingPile when capacities differ</x:v>
      </x:c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 t="str">
        <x:v>XLSM Golden</x:v>
      </x:c>
      <x:c r="B16" s="29" t="str">
        <x:v>Not run</x:v>
      </x:c>
      <x:c r="C16" s="29" t="str">
        <x:v>BLOCKED</x:v>
      </x:c>
      <x:c r="D16" s="29" t="str">
        <x:v>Original XLSM bytes still unavailable</x:v>
      </x:c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26.399999618530273" hidden="0" customHeight="1">
      <x:c r="A17" s="29" t="str">
        <x:v>P1 Pass 4 status</x:v>
      </x:c>
      <x:c r="B17" s="29" t="str">
        <x:v>REVIEW</x:v>
      </x:c>
      <x:c r="C17" s="29" t="str">
        <x:v>UNCHANGED</x:v>
      </x:c>
      <x:c r="D17" s="29" t="str">
        <x:v>Do not promote until TM SCT Coc mapping passes</x:v>
      </x:c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 t="str">
        <x:v>Imported reaction path</x:v>
      </x:c>
      <x:c r="B18" s="29" t="str">
        <x:v>12/12</x:v>
      </x:c>
      <x:c r="C18" s="29" t="str">
        <x:v>PASS</x:v>
      </x:c>
      <x:c r="D18" s="29" t="str">
        <x:v>Point→Spring→Pile→Nodal reaction strict join</x:v>
      </x:c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 t="str">
        <x:v>Total Pass 4 tests</x:v>
      </x:c>
      <x:c r="B19" s="29" t="str">
        <x:v>36/36</x:v>
      </x:c>
      <x:c r="C19" s="29" t="str">
        <x:v>PASS</x:v>
      </x:c>
      <x:c r="D19" s="29" t="str">
        <x:v>24 analytical + 12 imported</x:v>
      </x:c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26.399999618530273" hidden="0" customHeight="1">
      <x:c r="A20" s="29" t="str">
        <x:v>Mode separation</x:v>
      </x:c>
      <x:c r="B20" s="29" t="str">
        <x:v>Implemented</x:v>
      </x:c>
      <x:c r="C20" s="29" t="str">
        <x:v>PASS</x:v>
      </x:c>
      <x:c r="D20" s="29" t="str">
        <x:v>No longer equates TM SCT Coc with rigid-cap solver</x:v>
      </x:c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26.399999618530273" hidden="0" customHeight="1">
      <x:c r="A21" s="29" t="str">
        <x:v>Imported tension safety</x:v>
      </x:c>
      <x:c r="B21" s="29" t="str">
        <x:v>BLOCK if capacity missing</x:v>
      </x:c>
      <x:c r="C21" s="29" t="str">
        <x:v>PASS</x:v>
      </x:c>
      <x:c r="D21" s="29" t="str">
        <x:v>Compression Rpile never reused for uplift</x:v>
      </x:c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26.399999618530273" hidden="0" customHeight="1">
      <x:c r="A22" s="29" t="str">
        <x:v>Imported envelope</x:v>
      </x:c>
      <x:c r="B22" s="29" t="str">
        <x:v>Multi-combo</x:v>
      </x:c>
      <x:c r="C22" s="29" t="str">
        <x:v>PASS</x:v>
      </x:c>
      <x:c r="D22" s="29" t="str">
        <x:v>Tracks max compression and governing utilization separately</x:v>
      </x:c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26.399999618530273" hidden="0" customHeight="1">
      <x:c r="A23" s="29" t="str">
        <x:v>XLSM cell-level equivalence</x:v>
      </x:c>
      <x:c r="B23" s="29" t="str">
        <x:v>Not claimed</x:v>
      </x:c>
      <x:c r="C23" s="29" t="str">
        <x:v>REVIEW</x:v>
      </x:c>
      <x:c r="D23" s="29" t="str">
        <x:v>Still requires exact TM SCT Coc formula mapping</x:v>
      </x:c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 t="str">
        <x:v>TM formula-pattern reconstruction</x:v>
      </x:c>
      <x:c r="B24" s="29" t="str">
        <x:v>5 blocks</x:v>
      </x:c>
      <x:c r="C24" s="29" t="str">
        <x:v>PASS</x:v>
      </x:c>
      <x:c r="D24" s="29" t="str">
        <x:v>JOIN→ACTION→CAPACITY→UTILIZATION→STATUS</x:v>
      </x:c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 t="str">
        <x:v>TM pattern tests</x:v>
      </x:c>
      <x:c r="B25" s="29" t="str">
        <x:v>15/15</x:v>
      </x:c>
      <x:c r="C25" s="29" t="str">
        <x:v>PASS</x:v>
      </x:c>
      <x:c r="D25" s="29" t="str">
        <x:v>Block trace + boundary + missing-data cases</x:v>
      </x:c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 t="str">
        <x:v>Pass 4 total local tests</x:v>
      </x:c>
      <x:c r="B26" s="29" t="str">
        <x:v>51/51</x:v>
      </x:c>
      <x:c r="C26" s="29" t="str">
        <x:v>PASS</x:v>
      </x:c>
      <x:c r="D26" s="29" t="str">
        <x:v>24 analytical + 12 imported + 15 pattern</x:v>
      </x:c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 t="str">
        <x:v>Per-block XLSM formula count</x:v>
      </x:c>
      <x:c r="B27" s="29" t="str">
        <x:v>Not assigned</x:v>
      </x:c>
      <x:c r="C27" s="29" t="str">
        <x:v>PASS SAFETY</x:v>
      </x:c>
      <x:c r="D27" s="29" t="str">
        <x:v>No fabricated counts without cell inventory</x:v>
      </x:c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 t="str">
        <x:v>Golden fixture</x:v>
      </x:c>
      <x:c r="B28" s="29" t="str">
        <x:v>IMPORT-001 + boundaries</x:v>
      </x:c>
      <x:c r="C28" s="29" t="str">
        <x:v>PASS ENGINE</x:v>
      </x:c>
      <x:c r="D28" s="29" t="str">
        <x:v>4 piles × 2 combos + block boundary cases</x:v>
      </x:c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 t="str">
        <x:v>Exact XLSM cell mapping</x:v>
      </x:c>
      <x:c r="B29" s="29" t="str">
        <x:v>Pending</x:v>
      </x:c>
      <x:c r="C29" s="29" t="str">
        <x:v>REVIEW</x:v>
      </x:c>
      <x:c r="D29" s="29" t="str">
        <x:v>Remaining gate before XLSM-equivalence</x:v>
      </x:c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 t="str">
        <x:v>Pass 4 productionNumeric</x:v>
      </x:c>
      <x:c r="B30" s="29" t="str">
        <x:v>FALSE</x:v>
      </x:c>
      <x:c r="C30" s="29" t="str">
        <x:v>UNCHANGED</x:v>
      </x:c>
      <x:c r="D30" s="29" t="str">
        <x:v>Do not LOCK yet</x:v>
      </x:c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2" hidden="0" customWidth="1"/>
    <x:col min="4" max="4" width="12" hidden="0" customWidth="1"/>
    <x:col min="5" max="5" width="12" hidden="0" customWidth="1"/>
    <x:col min="6" max="6" width="34" hidden="0" customWidth="1"/>
    <x:col min="7" max="7" width="22" hidden="0" customWidth="1"/>
    <x:col min="8" max="8" width="28" hidden="0" customWidth="1"/>
    <x:col min="9" max="9" width="12" hidden="0" customWidth="1"/>
    <x:col min="10" max="10" width="20" hidden="0" customWidth="1"/>
  </x:cols>
  <x:sheetData>
    <x:row r="1" ht="39.599998474121094" hidden="0" customHeight="1">
      <x:c r="A1" s="46" t="str">
        <x:v>Case</x:v>
      </x:c>
      <x:c r="B1" s="46" t="str">
        <x:v>Layout</x:v>
      </x:c>
      <x:c r="C1" s="46" t="str">
        <x:v>N_kN</x:v>
      </x:c>
      <x:c r="D1" s="46" t="str">
        <x:v>Mx_kNm</x:v>
      </x:c>
      <x:c r="E1" s="46" t="str">
        <x:v>My_kNm</x:v>
      </x:c>
      <x:c r="F1" s="46" t="str">
        <x:v>Expected key reactions</x:v>
      </x:c>
      <x:c r="G1" s="46" t="str">
        <x:v>Expected result</x:v>
      </x:c>
      <x:c r="H1" s="46" t="str">
        <x:v>Purpose</x:v>
      </x:c>
      <x:c r="I1" s="46" t="str">
        <x:v>Status</x:v>
      </x:c>
      <x:c r="J1" s="46" t="str">
        <x:v>XLSM status</x:v>
      </x:c>
    </x:row>
    <x:row r="2" ht="52.79999923706055" hidden="0" customHeight="1">
      <x:c r="A2" s="29" t="str">
        <x:v>G1</x:v>
      </x:c>
      <x:c r="B2" s="29" t="str">
        <x:v>2x2 @ ±1 m</x:v>
      </x:c>
      <x:c r="C2" s="29" t="n">
        <x:v>2000</x:v>
      </x:c>
      <x:c r="D2" s="29" t="n">
        <x:v>400</x:v>
      </x:c>
      <x:c r="E2" s="29" t="n">
        <x:v>200</x:v>
      </x:c>
      <x:c r="F2" s="29" t="str">
        <x:v>P1=350; P2=450; P3=550; P4=650</x:v>
      </x:c>
      <x:c r="G2" s="29" t="str">
        <x:v>PASS</x:v>
      </x:c>
      <x:c r="H2" s="29" t="str">
        <x:v>Hand-value N+Mx+My</x:v>
      </x:c>
      <x:c r="I2" s="29" t="str">
        <x:v>PASS</x:v>
      </x:c>
      <x:c r="J2" s="29" t="str">
        <x:v>NOT BENCHMARKED</x:v>
      </x:c>
    </x:row>
    <x:row r="3" ht="39.599998474121094" hidden="0" customHeight="1">
      <x:c r="A3" s="29" t="str">
        <x:v>G2</x:v>
      </x:c>
      <x:c r="B3" s="29" t="str">
        <x:v>2x2 @ ±1 m</x:v>
      </x:c>
      <x:c r="C3" s="29" t="n">
        <x:v>4000</x:v>
      </x:c>
      <x:c r="D3" s="29" t="n">
        <x:v>0</x:v>
      </x:c>
      <x:c r="E3" s="29" t="n">
        <x:v>0</x:v>
      </x:c>
      <x:c r="F3" s="29" t="str">
        <x:v>All=1000; utilization=1.0000</x:v>
      </x:c>
      <x:c r="G3" s="29" t="str">
        <x:v>PASS</x:v>
      </x:c>
      <x:c r="H3" s="29" t="str">
        <x:v>Exact capacity boundary</x:v>
      </x:c>
      <x:c r="I3" s="29" t="str">
        <x:v>PASS</x:v>
      </x:c>
      <x:c r="J3" s="29" t="str">
        <x:v>NOT BENCHMARKED</x:v>
      </x:c>
    </x:row>
    <x:row r="4" ht="39.599998474121094" hidden="0" customHeight="1">
      <x:c r="A4" s="29" t="str">
        <x:v>G3</x:v>
      </x:c>
      <x:c r="B4" s="29" t="str">
        <x:v>2x2 @ ±1 m</x:v>
      </x:c>
      <x:c r="C4" s="29" t="n">
        <x:v>4000.00001</x:v>
      </x:c>
      <x:c r="D4" s="29" t="n">
        <x:v>0</x:v>
      </x:c>
      <x:c r="E4" s="29" t="n">
        <x:v>0</x:v>
      </x:c>
      <x:c r="F4" s="29" t="str">
        <x:v>All slightly &gt;1000</x:v>
      </x:c>
      <x:c r="G4" s="29" t="str">
        <x:v>FAIL</x:v>
      </x:c>
      <x:c r="H4" s="29" t="str">
        <x:v>Epsilon above boundary</x:v>
      </x:c>
      <x:c r="I4" s="29" t="str">
        <x:v>PASS</x:v>
      </x:c>
      <x:c r="J4" s="29" t="str">
        <x:v>NOT BENCHMARKED</x:v>
      </x:c>
    </x:row>
    <x:row r="5" ht="39.599998474121094" hidden="0" customHeight="1">
      <x:c r="A5" s="29" t="str">
        <x:v>G4</x:v>
      </x:c>
      <x:c r="B5" s="29" t="str">
        <x:v>2x2 @ ±1 m</x:v>
      </x:c>
      <x:c r="C5" s="29" t="n">
        <x:v>0</x:v>
      </x:c>
      <x:c r="D5" s="29" t="n">
        <x:v>400</x:v>
      </x:c>
      <x:c r="E5" s="29" t="n">
        <x:v>0</x:v>
      </x:c>
      <x:c r="F5" s="29" t="str">
        <x:v>[-100,-100,+100,+100]</x:v>
      </x:c>
      <x:c r="G5" s="29" t="str">
        <x:v>PASS if tension cap exists</x:v>
      </x:c>
      <x:c r="H5" s="29" t="str">
        <x:v>Pure moment / uplift</x:v>
      </x:c>
      <x:c r="I5" s="29" t="str">
        <x:v>PASS</x:v>
      </x:c>
      <x:c r="J5" s="29" t="str">
        <x:v>NOT BENCHMARKED</x:v>
      </x:c>
    </x:row>
    <x:row r="6" ht="52.79999923706055" hidden="0" customHeight="1">
      <x:c r="A6" s="29" t="str">
        <x:v>G5</x:v>
      </x:c>
      <x:c r="B6" s="29" t="str">
        <x:v>3x3 @ -1,0,1</x:v>
      </x:c>
      <x:c r="C6" s="29" t="n">
        <x:v>2700</x:v>
      </x:c>
      <x:c r="D6" s="29" t="n">
        <x:v>0</x:v>
      </x:c>
      <x:c r="E6" s="29" t="n">
        <x:v>0</x:v>
      </x:c>
      <x:c r="F6" s="29" t="str">
        <x:v>All=300</x:v>
      </x:c>
      <x:c r="G6" s="29" t="str">
        <x:v>PASS</x:v>
      </x:c>
      <x:c r="H6" s="29" t="str">
        <x:v>Equal pure-N distribution</x:v>
      </x:c>
      <x:c r="I6" s="29" t="str">
        <x:v>PASS</x:v>
      </x:c>
      <x:c r="J6" s="29" t="str">
        <x:v>NOT BENCHMARKED</x:v>
      </x:c>
    </x:row>
    <x:row r="7" ht="39.599998474121094" hidden="0" customHeight="1">
      <x:c r="A7" s="29" t="str">
        <x:v>G6</x:v>
      </x:c>
      <x:c r="B7" s="29" t="str">
        <x:v>3x3 @ -1,0,1</x:v>
      </x:c>
      <x:c r="C7" s="29" t="n">
        <x:v>2700</x:v>
      </x:c>
      <x:c r="D7" s="29" t="n">
        <x:v>600</x:v>
      </x:c>
      <x:c r="E7" s="29" t="n">
        <x:v>0</x:v>
      </x:c>
      <x:c r="F7" s="29" t="str">
        <x:v>y=-1:200; y=0:300; y=+1:400</x:v>
      </x:c>
      <x:c r="G7" s="29" t="str">
        <x:v>PASS</x:v>
      </x:c>
      <x:c r="H7" s="29" t="str">
        <x:v>Mx gradient</x:v>
      </x:c>
      <x:c r="I7" s="29" t="str">
        <x:v>PASS</x:v>
      </x:c>
      <x:c r="J7" s="29" t="str">
        <x:v>NOT BENCHMARKED</x:v>
      </x:c>
    </x:row>
    <x:row r="8" ht="52.79999923706055" hidden="0" customHeight="1">
      <x:c r="A8" s="29" t="str">
        <x:v>G7</x:v>
      </x:c>
      <x:c r="B8" s="29" t="str">
        <x:v>2x2 translated</x:v>
      </x:c>
      <x:c r="C8" s="29" t="n">
        <x:v>2000</x:v>
      </x:c>
      <x:c r="D8" s="29" t="n">
        <x:v>400</x:v>
      </x:c>
      <x:c r="E8" s="29" t="n">
        <x:v>200</x:v>
      </x:c>
      <x:c r="F8" s="29" t="str">
        <x:v>Translation-equivalent reactions</x:v>
      </x:c>
      <x:c r="G8" s="29" t="str">
        <x:v>PASS</x:v>
      </x:c>
      <x:c r="H8" s="29" t="str">
        <x:v>Coordinate origin invariance</x:v>
      </x:c>
      <x:c r="I8" s="29" t="str">
        <x:v>PASS</x:v>
      </x:c>
      <x:c r="J8" s="29" t="str">
        <x:v>NOT BENCHMARKED</x:v>
      </x:c>
    </x:row>
    <x:row r="9" ht="52.79999923706055" hidden="0" customHeight="1">
      <x:c r="A9" s="29" t="str">
        <x:v>G8</x:v>
      </x:c>
      <x:c r="B9" s="29" t="str">
        <x:v>2x2 variable capacity</x:v>
      </x:c>
      <x:c r="C9" s="29" t="n">
        <x:v>1200</x:v>
      </x:c>
      <x:c r="D9" s="29" t="n">
        <x:v>0</x:v>
      </x:c>
      <x:c r="E9" s="29" t="n">
        <x:v>0</x:v>
      </x:c>
      <x:c r="F9" s="29" t="str">
        <x:v>Weak P1 governs utilization</x:v>
      </x:c>
      <x:c r="G9" s="29" t="str">
        <x:v>PASS/FAIL by capacity</x:v>
      </x:c>
      <x:c r="H9" s="29" t="str">
        <x:v>Governing≠max compression</x:v>
      </x:c>
      <x:c r="I9" s="29" t="str">
        <x:v>PASS</x:v>
      </x:c>
      <x:c r="J9" s="29" t="str">
        <x:v>NOT BENCHMARKED</x:v>
      </x:c>
    </x:row>
    <x:row r="10" ht="66" hidden="0" customHeight="1">
      <x:c r="A10" s="29" t="str">
        <x:v>G9</x:v>
      </x:c>
      <x:c r="B10" s="29" t="str">
        <x:v>2x2 ETABS sign</x:v>
      </x:c>
      <x:c r="C10" s="29" t="n">
        <x:v>-2000</x:v>
      </x:c>
      <x:c r="D10" s="29" t="n">
        <x:v>400</x:v>
      </x:c>
      <x:c r="E10" s="29" t="n">
        <x:v>200</x:v>
      </x:c>
      <x:c r="F10" s="29" t="str">
        <x:v>After N normalization: 350..650</x:v>
      </x:c>
      <x:c r="G10" s="29" t="str">
        <x:v>PASS</x:v>
      </x:c>
      <x:c r="H10" s="29" t="str">
        <x:v>compression-negative convention</x:v>
      </x:c>
      <x:c r="I10" s="29" t="str">
        <x:v>PASS</x:v>
      </x:c>
      <x:c r="J10" s="29" t="str">
        <x:v>NOT BENCHMARKED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 ht="15" hidden="0" customHeight="1">
      <x:c r="A1" s="51" t="str">
        <x:v>pointId</x:v>
      </x:c>
      <x:c r="B1" s="51" t="str">
        <x:v>X_m</x:v>
      </x:c>
      <x:c r="C1" s="51" t="str">
        <x:v>Y_m</x:v>
      </x:c>
      <x:c r="D1" s="51" t="str">
        <x:v>Z_m</x:v>
      </x:c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n">
        <x:v>-1</x:v>
      </x:c>
      <x:c r="C2" s="29" t="n">
        <x:v>-1</x:v>
      </x:c>
      <x:c r="D2" s="29" t="n">
        <x:v>0</x:v>
      </x:c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n">
        <x:v>1</x:v>
      </x:c>
      <x:c r="C3" s="29" t="n">
        <x:v>-1</x:v>
      </x:c>
      <x:c r="D3" s="29" t="n">
        <x:v>0</x:v>
      </x:c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n">
        <x:v>-1</x:v>
      </x:c>
      <x:c r="C4" s="29" t="n">
        <x:v>1</x:v>
      </x:c>
      <x:c r="D4" s="29" t="n">
        <x:v>0</x:v>
      </x:c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n">
        <x:v>1</x:v>
      </x:c>
      <x:c r="C5" s="29" t="n">
        <x:v>1</x:v>
      </x:c>
      <x:c r="D5" s="29" t="n">
        <x:v>0</x:v>
      </x:c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pileId</x:v>
      </x:c>
      <x:c r="C1" s="51" t="str">
        <x:v>springName</x:v>
      </x:c>
      <x:c r="D1" s="51"/>
      <x:c r="E1" s="51"/>
      <x:c r="F1" s="51"/>
      <x:c r="G1" s="51"/>
      <x:c r="H1" s="51"/>
      <x:c r="I1" s="51"/>
      <x:c r="J1" s="51"/>
      <x:c r="K1" s="29"/>
      <x:c r="L1" s="29"/>
      <x:c r="M1" s="29"/>
      <x:c r="N1" s="29"/>
      <x:c r="O1" s="29"/>
      <x:c r="P1" s="29"/>
      <x:c r="Q1" s="29"/>
    </x:row>
    <x:row r="2" ht="15" hidden="0" customHeight="1">
      <x:c r="A2" s="29" t="str">
        <x:v>N1</x:v>
      </x:c>
      <x:c r="B2" s="29" t="str">
        <x:v>P1</x:v>
      </x:c>
      <x:c r="C2" s="29" t="str">
        <x:v>PILE-P1</x:v>
      </x:c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15" hidden="0" customHeight="1">
      <x:c r="A3" s="29" t="str">
        <x:v>N2</x:v>
      </x:c>
      <x:c r="B3" s="29" t="str">
        <x:v>P2</x:v>
      </x:c>
      <x:c r="C3" s="29" t="str">
        <x:v>PILE-P2</x:v>
      </x:c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</x:row>
    <x:row r="4" ht="15" hidden="0" customHeight="1">
      <x:c r="A4" s="29" t="str">
        <x:v>N3</x:v>
      </x:c>
      <x:c r="B4" s="29" t="str">
        <x:v>P3</x:v>
      </x:c>
      <x:c r="C4" s="29" t="str">
        <x:v>PILE-P3</x:v>
      </x:c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/>
    </x:row>
    <x:row r="5" ht="15" hidden="0" customHeight="1">
      <x:c r="A5" s="29" t="str">
        <x:v>N4</x:v>
      </x:c>
      <x:c r="B5" s="29" t="str">
        <x:v>P4</x:v>
      </x:c>
      <x:c r="C5" s="29" t="str">
        <x:v>PILE-P4</x:v>
      </x:c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</x:row>
    <x:row r="6" ht="15" hidden="0" customHeight="1">
      <x:c r="A6" s="29"/>
      <x:c r="B6" s="29"/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</x:row>
    <x:row r="8" ht="15" hidden="0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</x:row>
    <x:row r="9" ht="15" hidden="0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 ht="26.399999618530273" hidden="0" customHeight="1">
      <x:c r="A1" s="51" t="str">
        <x:v>pointId</x:v>
      </x:c>
      <x:c r="B1" s="51" t="str">
        <x:v>combinationId</x:v>
      </x:c>
      <x:c r="C1" s="51" t="str">
        <x:v>Fx_kN</x:v>
      </x:c>
      <x:c r="D1" s="51" t="str">
        <x:v>Fy_kN</x:v>
      </x:c>
      <x:c r="E1" s="51" t="str">
        <x:v>Fz_kN</x:v>
      </x:c>
      <x:c r="F1" s="51" t="str">
        <x:v>Mx_kNm</x:v>
      </x:c>
      <x:c r="G1" s="51" t="str">
        <x:v>My_kNm</x:v>
      </x:c>
      <x:c r="H1" s="51" t="str">
        <x:v>Mz_kNm</x:v>
      </x:c>
      <x:c r="I1" s="51" t="str">
        <x:v>signConvention</x:v>
      </x:c>
      <x:c r="J1" s="51" t="str">
        <x:v>status</x:v>
      </x:c>
      <x:c r="K1" s="29"/>
      <x:c r="L1" s="29"/>
      <x:c r="M1" s="29"/>
      <x:c r="N1" s="29"/>
      <x:c r="O1" s="29"/>
      <x:c r="P1" s="29"/>
      <x:c r="Q1" s="29"/>
    </x:row>
    <x:row r="2" ht="39.599998474121094" hidden="0" customHeight="1">
      <x:c r="A2" s="29" t="str">
        <x:v>N1</x:v>
      </x:c>
      <x:c r="B2" s="29" t="str">
        <x:v>C1</x:v>
      </x:c>
      <x:c r="C2" s="29" t="n">
        <x:v>1</x:v>
      </x:c>
      <x:c r="D2" s="29" t="n">
        <x:v>2</x:v>
      </x:c>
      <x:c r="E2" s="29" t="n">
        <x:v>-400</x:v>
      </x:c>
      <x:c r="F2" s="29" t="n">
        <x:v>3</x:v>
      </x:c>
      <x:c r="G2" s="29" t="n">
        <x:v>4</x:v>
      </x:c>
      <x:c r="H2" s="29" t="n">
        <x:v>5</x:v>
      </x:c>
      <x:c r="I2" s="29" t="str">
        <x:v>compression-negative</x:v>
      </x:c>
      <x:c r="J2" s="29" t="str">
        <x:v>ACTIVE</x:v>
      </x:c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N2</x:v>
      </x:c>
      <x:c r="B3" s="29" t="str">
        <x:v>C1</x:v>
      </x:c>
      <x:c r="C3" s="29" t="n">
        <x:v>0</x:v>
      </x:c>
      <x:c r="D3" s="29" t="n">
        <x:v>0</x:v>
      </x:c>
      <x:c r="E3" s="29" t="n">
        <x:v>-500</x:v>
      </x:c>
      <x:c r="F3" s="29" t="n">
        <x:v>0</x:v>
      </x:c>
      <x:c r="G3" s="29" t="n">
        <x:v>0</x:v>
      </x:c>
      <x:c r="H3" s="29" t="n">
        <x:v>0</x:v>
      </x:c>
      <x:c r="I3" s="29" t="str">
        <x:v>compression-negative</x:v>
      </x:c>
      <x:c r="J3" s="29" t="str">
        <x:v>ACTIVE</x:v>
      </x:c>
      <x:c r="K3" s="29"/>
      <x:c r="L3" s="29"/>
      <x:c r="M3" s="29"/>
      <x:c r="N3" s="29"/>
      <x:c r="O3" s="29"/>
      <x:c r="P3" s="29"/>
      <x:c r="Q3" s="29"/>
    </x:row>
    <x:row r="4" ht="39.599998474121094" hidden="0" customHeight="1">
      <x:c r="A4" s="29" t="str">
        <x:v>N3</x:v>
      </x:c>
      <x:c r="B4" s="29" t="str">
        <x:v>C1</x:v>
      </x:c>
      <x:c r="C4" s="29" t="n">
        <x:v>0</x:v>
      </x:c>
      <x:c r="D4" s="29" t="n">
        <x:v>0</x:v>
      </x:c>
      <x:c r="E4" s="29" t="n">
        <x:v>-600</x:v>
      </x:c>
      <x:c r="F4" s="29" t="n">
        <x:v>0</x:v>
      </x:c>
      <x:c r="G4" s="29" t="n">
        <x:v>0</x:v>
      </x:c>
      <x:c r="H4" s="29" t="n">
        <x:v>0</x:v>
      </x:c>
      <x:c r="I4" s="29" t="str">
        <x:v>compression-negative</x:v>
      </x:c>
      <x:c r="J4" s="29" t="str">
        <x:v>ACTIVE</x:v>
      </x:c>
      <x:c r="K4" s="29"/>
      <x:c r="L4" s="29"/>
      <x:c r="M4" s="29"/>
      <x:c r="N4" s="29"/>
      <x:c r="O4" s="29"/>
      <x:c r="P4" s="29"/>
      <x:c r="Q4" s="29"/>
    </x:row>
    <x:row r="5" ht="39.599998474121094" hidden="0" customHeight="1">
      <x:c r="A5" s="29" t="str">
        <x:v>N4</x:v>
      </x:c>
      <x:c r="B5" s="29" t="str">
        <x:v>C1</x:v>
      </x:c>
      <x:c r="C5" s="29" t="n">
        <x:v>0</x:v>
      </x:c>
      <x:c r="D5" s="29" t="n">
        <x:v>0</x:v>
      </x:c>
      <x:c r="E5" s="29" t="n">
        <x:v>-700</x:v>
      </x:c>
      <x:c r="F5" s="29" t="n">
        <x:v>0</x:v>
      </x:c>
      <x:c r="G5" s="29" t="n">
        <x:v>0</x:v>
      </x:c>
      <x:c r="H5" s="29" t="n">
        <x:v>0</x:v>
      </x:c>
      <x:c r="I5" s="29" t="str">
        <x:v>compression-negative</x:v>
      </x:c>
      <x:c r="J5" s="29" t="str">
        <x:v>ACTIVE</x:v>
      </x:c>
      <x:c r="K5" s="29"/>
      <x:c r="L5" s="29"/>
      <x:c r="M5" s="29"/>
      <x:c r="N5" s="29"/>
      <x:c r="O5" s="29"/>
      <x:c r="P5" s="29"/>
      <x:c r="Q5" s="29"/>
    </x:row>
    <x:row r="6" ht="39.599998474121094" hidden="0" customHeight="1">
      <x:c r="A6" s="29" t="str">
        <x:v>N1</x:v>
      </x:c>
      <x:c r="B6" s="29" t="str">
        <x:v>C2</x:v>
      </x:c>
      <x:c r="C6" s="29" t="n">
        <x:v>0</x:v>
      </x:c>
      <x:c r="D6" s="29" t="n">
        <x:v>0</x:v>
      </x:c>
      <x:c r="E6" s="29" t="n">
        <x:v>-300</x:v>
      </x:c>
      <x:c r="F6" s="29" t="n">
        <x:v>0</x:v>
      </x:c>
      <x:c r="G6" s="29" t="n">
        <x:v>0</x:v>
      </x:c>
      <x:c r="H6" s="29" t="n">
        <x:v>0</x:v>
      </x:c>
      <x:c r="I6" s="29" t="str">
        <x:v>compression-negative</x:v>
      </x:c>
      <x:c r="J6" s="29" t="str">
        <x:v>ACTIVE</x:v>
      </x:c>
      <x:c r="K6" s="29"/>
      <x:c r="L6" s="29"/>
      <x:c r="M6" s="29"/>
      <x:c r="N6" s="29"/>
      <x:c r="O6" s="29"/>
      <x:c r="P6" s="29"/>
      <x:c r="Q6" s="29"/>
    </x:row>
    <x:row r="7" ht="39.599998474121094" hidden="0" customHeight="1">
      <x:c r="A7" s="29" t="str">
        <x:v>N2</x:v>
      </x:c>
      <x:c r="B7" s="29" t="str">
        <x:v>C2</x:v>
      </x:c>
      <x:c r="C7" s="29" t="n">
        <x:v>0</x:v>
      </x:c>
      <x:c r="D7" s="29" t="n">
        <x:v>0</x:v>
      </x:c>
      <x:c r="E7" s="29" t="n">
        <x:v>-350</x:v>
      </x:c>
      <x:c r="F7" s="29" t="n">
        <x:v>0</x:v>
      </x:c>
      <x:c r="G7" s="29" t="n">
        <x:v>0</x:v>
      </x:c>
      <x:c r="H7" s="29" t="n">
        <x:v>0</x:v>
      </x:c>
      <x:c r="I7" s="29" t="str">
        <x:v>compression-negative</x:v>
      </x:c>
      <x:c r="J7" s="29" t="str">
        <x:v>ACTIVE</x:v>
      </x:c>
      <x:c r="K7" s="29"/>
      <x:c r="L7" s="29"/>
      <x:c r="M7" s="29"/>
      <x:c r="N7" s="29"/>
      <x:c r="O7" s="29"/>
      <x:c r="P7" s="29"/>
      <x:c r="Q7" s="29"/>
    </x:row>
    <x:row r="8" ht="39.599998474121094" hidden="0" customHeight="1">
      <x:c r="A8" s="29" t="str">
        <x:v>N3</x:v>
      </x:c>
      <x:c r="B8" s="29" t="str">
        <x:v>C2</x:v>
      </x:c>
      <x:c r="C8" s="29" t="n">
        <x:v>0</x:v>
      </x:c>
      <x:c r="D8" s="29" t="n">
        <x:v>0</x:v>
      </x:c>
      <x:c r="E8" s="29" t="n">
        <x:v>-650</x:v>
      </x:c>
      <x:c r="F8" s="29" t="n">
        <x:v>0</x:v>
      </x:c>
      <x:c r="G8" s="29" t="n">
        <x:v>0</x:v>
      </x:c>
      <x:c r="H8" s="29" t="n">
        <x:v>0</x:v>
      </x:c>
      <x:c r="I8" s="29" t="str">
        <x:v>compression-negative</x:v>
      </x:c>
      <x:c r="J8" s="29" t="str">
        <x:v>ACTIVE</x:v>
      </x:c>
      <x:c r="K8" s="29"/>
      <x:c r="L8" s="29"/>
      <x:c r="M8" s="29"/>
      <x:c r="N8" s="29"/>
      <x:c r="O8" s="29"/>
      <x:c r="P8" s="29"/>
      <x:c r="Q8" s="29"/>
    </x:row>
    <x:row r="9" ht="39.599998474121094" hidden="0" customHeight="1">
      <x:c r="A9" s="29" t="str">
        <x:v>N4</x:v>
      </x:c>
      <x:c r="B9" s="29" t="str">
        <x:v>C2</x:v>
      </x:c>
      <x:c r="C9" s="29" t="n">
        <x:v>0</x:v>
      </x:c>
      <x:c r="D9" s="29" t="n">
        <x:v>0</x:v>
      </x:c>
      <x:c r="E9" s="29" t="n">
        <x:v>-400</x:v>
      </x:c>
      <x:c r="F9" s="29" t="n">
        <x:v>0</x:v>
      </x:c>
      <x:c r="G9" s="29" t="n">
        <x:v>0</x:v>
      </x:c>
      <x:c r="H9" s="29" t="n">
        <x:v>0</x:v>
      </x:c>
      <x:c r="I9" s="29" t="str">
        <x:v>compression-negative</x:v>
      </x:c>
      <x:c r="J9" s="29" t="str">
        <x:v>ACTIVE</x:v>
      </x:c>
      <x:c r="K9" s="29"/>
      <x:c r="L9" s="29"/>
      <x:c r="M9" s="29"/>
      <x:c r="N9" s="29"/>
      <x:c r="O9" s="29"/>
      <x:c r="P9" s="29"/>
      <x:c r="Q9" s="29"/>
    </x:row>
    <x:row r="10" ht="15" hidden="0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</x:row>
    <x:row r="11" ht="15" hidden="0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4" hidden="0" customWidth="1"/>
    <x:col min="12" max="12" width="14" hidden="0" customWidth="1"/>
    <x:col min="13" max="13" width="18" hidden="0" customWidth="1"/>
    <x:col min="14" max="14" width="18" hidden="0" customWidth="1"/>
    <x:col min="16" max="16" width="20" hidden="0" customWidth="1"/>
    <x:col min="17" max="17" width="18" hidden="0" customWidth="1"/>
  </x:cols>
  <x:sheetData>
    <x:row r="1" ht="16.799999237060547" hidden="0" customHeight="1">
      <x:c r="A1" s="58" t="str">
        <x:v>TM SCT Coc-compatible imported reaction checker — REVIEW contract, not cell-level XLSM clone</x:v>
      </x:c>
      <x:c r="B1" s="58"/>
      <x:c r="C1" s="58"/>
      <x:c r="D1" s="58"/>
      <x:c r="E1" s="58"/>
      <x:c r="F1" s="58"/>
      <x:c r="G1" s="58"/>
      <x:c r="H1" s="58"/>
      <x:c r="I1" s="58"/>
      <x:c r="J1" s="58"/>
      <x:c r="K1" s="58"/>
      <x:c r="L1" s="58"/>
      <x:c r="M1" s="58"/>
      <x:c r="N1" s="58"/>
      <x:c r="O1" s="29"/>
      <x:c r="P1" s="29"/>
      <x:c r="Q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</x:row>
    <x:row r="3" ht="39.599998474121094" hidden="0" customHeight="1">
      <x:c r="A3" s="29" t="str">
        <x:v>Selected Combination</x:v>
      </x:c>
      <x:c r="B3" s="59" t="str">
        <x:v>C1</x:v>
      </x:c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 t="str">
        <x:v>Summary</x:v>
      </x:c>
      <x:c r="Q3" s="29" t="str">
        <x:v>Value</x:v>
      </x:c>
    </x:row>
    <x:row r="4" ht="39.599998474121094" hidden="0" customHeight="1">
      <x:c r="A4" s="29" t="str">
        <x:v>Reaction Sign</x:v>
      </x:c>
      <x:c r="B4" s="59" t="str">
        <x:v>compression-negative</x:v>
      </x:c>
      <x:c r="C4" s="29"/>
      <x:c r="D4" s="29"/>
      <x:c r="E4" s="29"/>
      <x:c r="F4" s="29"/>
      <x:c r="G4" s="29"/>
      <x:c r="H4" s="29"/>
      <x:c r="I4" s="29"/>
      <x:c r="J4" s="29"/>
      <x:c r="K4" s="29"/>
      <x:c r="L4" s="29"/>
      <x:c r="M4" s="29"/>
      <x:c r="N4" s="29"/>
      <x:c r="O4" s="29"/>
      <x:c r="P4" s="29" t="str">
        <x:v>Max compression kN</x:v>
      </x:c>
      <x:c r="Q4" s="29" t="n">
        <x:f>MAX(F9:F28)</x:f>
        <x:v>700</x:v>
      </x:c>
    </x:row>
    <x:row r="5" ht="52.79999923706055" hidden="0" customHeight="1">
      <x:c r="A5" s="29" t="str">
        <x:v>Mode</x:v>
      </x:c>
      <x:c r="B5" s="59" t="str">
        <x:v>IMPORTED_NODAL_REACTION</x:v>
      </x:c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 t="str">
        <x:v>Min reaction kN</x:v>
      </x:c>
      <x:c r="Q5" s="29" t="n">
        <x:f>MIN(F9:F28)</x:f>
        <x:v>400</x:v>
      </x:c>
    </x:row>
    <x:row r="6" ht="66" hidden="0" customHeight="1">
      <x:c r="A6" s="29" t="str">
        <x:v>XLSM status</x:v>
      </x:c>
      <x:c r="B6" s="59" t="str">
        <x:v>REFERENCE / cell mapping not yet complete</x:v>
      </x:c>
      <x:c r="C6" s="29"/>
      <x:c r="D6" s="29"/>
      <x:c r="E6" s="29"/>
      <x:c r="F6" s="29"/>
      <x:c r="G6" s="29"/>
      <x:c r="H6" s="29"/>
      <x:c r="I6" s="29"/>
      <x:c r="J6" s="29"/>
      <x:c r="K6" s="29"/>
      <x:c r="L6" s="29"/>
      <x:c r="M6" s="29"/>
      <x:c r="N6" s="29"/>
      <x:c r="O6" s="29"/>
      <x:c r="P6" s="29" t="str">
        <x:v>Max utilization</x:v>
      </x:c>
      <x:c r="Q6" s="29" t="n">
        <x:f>IFERROR(MAX(K9:K28),"")</x:f>
        <x:v>0.875</x:v>
      </x:c>
    </x:row>
    <x:row r="7" ht="26.399999618530273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 t="str">
        <x:v>Any tension</x:v>
      </x:c>
      <x:c r="Q7" s="29" t="str">
        <x:f>IF(MIN(F9:F28)&lt;0,"YES","NO")</x:f>
        <x:v>NO</x:v>
      </x:c>
    </x:row>
    <x:row r="8" ht="26.399999618530273" hidden="0" customHeight="1">
      <x:c r="A8" s="51" t="str">
        <x:v>pileId</x:v>
      </x:c>
      <x:c r="B8" s="51" t="str">
        <x:v>pointId</x:v>
      </x:c>
      <x:c r="C8" s="51" t="str">
        <x:v>X_m</x:v>
      </x:c>
      <x:c r="D8" s="51" t="str">
        <x:v>Y_m</x:v>
      </x:c>
      <x:c r="E8" s="51" t="str">
        <x:v>Fz_raw_kN</x:v>
      </x:c>
      <x:c r="F8" s="51" t="str">
        <x:v>Demand_kN</x:v>
      </x:c>
      <x:c r="G8" s="51" t="str">
        <x:v>CheckType</x:v>
      </x:c>
      <x:c r="H8" s="51" t="str">
        <x:v>CompressionCap_kN</x:v>
      </x:c>
      <x:c r="I8" s="51" t="str">
        <x:v>TensionCap_kN</x:v>
      </x:c>
      <x:c r="J8" s="51" t="str">
        <x:v>CapacityUsed_kN</x:v>
      </x:c>
      <x:c r="K8" s="51" t="str">
        <x:v>Utilization</x:v>
      </x:c>
      <x:c r="L8" s="51" t="str">
        <x:v>PASS/FAIL</x:v>
      </x:c>
      <x:c r="M8" s="51" t="str">
        <x:v>sourceBorehole</x:v>
      </x:c>
      <x:c r="N8" s="51" t="str">
        <x:v>method</x:v>
      </x:c>
      <x:c r="O8" s="29"/>
      <x:c r="P8" s="29" t="str">
        <x:v>Any BLOCK</x:v>
      </x:c>
      <x:c r="Q8" s="29" t="str">
        <x:f>IF(COUNTIF(L9:L28,"BLOCK")&gt;0,"YES","NO")</x:f>
        <x:v>NO</x:v>
      </x:c>
    </x:row>
    <x:row r="9" ht="26.399999618530273" hidden="0" customHeight="1">
      <x:c r="A9" s="29" t="str">
        <x:f>IF(SPRING_ASSIGNMENTS!B2="","",SPRING_ASSIGNMENTS!B2)</x:f>
        <x:v>P1</x:v>
      </x:c>
      <x:c r="B9" s="29" t="str">
        <x:f>IF($A9="","",SPRING_ASSIGNMENTS!A2)</x:f>
        <x:v>N1</x:v>
      </x:c>
      <x:c r="C9" s="29" t="n">
        <x:f>IF($B9="","",INDEX(POINT_COORDINATES!$B$2:$B$100,MATCH($B9,POINT_COORDINATES!$A$2:$A$100,0)))</x:f>
        <x:v>-1</x:v>
      </x:c>
      <x:c r="D9" s="29" t="n">
        <x:f>IF($B9="","",INDEX(POINT_COORDINATES!$C$2:$C$100,MATCH($B9,POINT_COORDINATES!$A$2:$A$100,0)))</x:f>
        <x:v>-1</x:v>
      </x:c>
      <x:c r="E9" s="29" t="n">
        <x:f>IF($B9="","",SUMIFS(IMPORTED_NODAL!$E$2:$E$200,IMPORTED_NODAL!$A$2:$A$200,$B9,IMPORTED_NODAL!$B$2:$B$200,$B$3))</x:f>
        <x:v>-400</x:v>
      </x:c>
      <x:c r="F9" s="60" t="n">
        <x:f>IF($A9="","",IF($B$4="compression-negative",-E9,E9))</x:f>
        <x:v>400</x:v>
      </x:c>
      <x:c r="G9" s="60" t="str">
        <x:f>IF($A9="","",IF(F9&gt;=0,"COMPRESSION","TENSION"))</x:f>
        <x:v>COMPRESSION</x:v>
      </x:c>
      <x:c r="H9" s="60" t="n">
        <x:f>IF($A9="","",INDEX(PILE_POINTS!$D$2:$D$100,MATCH($A9,PILE_POINTS!$A$2:$A$100,0)))</x:f>
        <x:v>800</x:v>
      </x:c>
      <x:c r="I9" s="60" t="n">
        <x:f>IF($A9="","",INDEX(PILE_POINTS!$E$2:$E$100,MATCH($A9,PILE_POINTS!$A$2:$A$100,0)))</x:f>
        <x:v>0</x:v>
      </x:c>
      <x:c r="J9" s="60" t="n">
        <x:f>IF($A9="","",IF(G9="COMPRESSION",H9,I9))</x:f>
        <x:v>800</x:v>
      </x:c>
      <x:c r="K9" s="60" t="n">
        <x:f>IF($A9="","",IF(G9="COMPRESSION",F9/H9,IF(I9&gt;0,ABS(F9)/I9,NA())))</x:f>
        <x:v>0.5</x:v>
      </x:c>
      <x:c r="L9" s="60" t="str">
        <x:f>IF($A9="","",IF(G9="COMPRESSION",IF(K9&lt;=1,"PASS","FAIL"),IF(I9&lt;=0,"BLOCK",IF(K9&lt;=1,"PASS","FAIL"))))</x:f>
        <x:v>PASS</x:v>
      </x:c>
      <x:c r="M9" s="29" t="str">
        <x:f>IF($A9="","",INDEX(PILE_POINTS!$F$2:$F$100,MATCH($A9,PILE_POINTS!$A$2:$A$100,0)))</x:f>
        <x:v>HK1</x:v>
      </x:c>
      <x:c r="N9" s="29" t="str">
        <x:f>IF($A9="","",INDEX(PILE_POINTS!$G$2:$G$100,MATCH($A9,PILE_POINTS!$A$2:$A$100,0)))</x:f>
        <x:v>SPT</x:v>
      </x:c>
      <x:c r="O9" s="29"/>
      <x:c r="P9" s="29" t="str">
        <x:v>Any FAIL</x:v>
      </x:c>
      <x:c r="Q9" s="29" t="str">
        <x:f>IF(COUNTIF(L9:L28,"FAIL")&gt;0,"YES","NO")</x:f>
        <x:v>NO</x:v>
      </x:c>
    </x:row>
    <x:row r="10" ht="26.399999618530273" hidden="0" customHeight="1">
      <x:c r="A10" s="29" t="str">
        <x:f>IF(SPRING_ASSIGNMENTS!B3="","",SPRING_ASSIGNMENTS!B3)</x:f>
        <x:v>P2</x:v>
      </x:c>
      <x:c r="B10" s="29" t="str">
        <x:f>IF($A10="","",SPRING_ASSIGNMENTS!A3)</x:f>
        <x:v>N2</x:v>
      </x:c>
      <x:c r="C10" s="29" t="n">
        <x:f>IF($B10="","",INDEX(POINT_COORDINATES!$B$2:$B$100,MATCH($B10,POINT_COORDINATES!$A$2:$A$100,0)))</x:f>
        <x:v>1</x:v>
      </x:c>
      <x:c r="D10" s="29" t="n">
        <x:f>IF($B10="","",INDEX(POINT_COORDINATES!$C$2:$C$100,MATCH($B10,POINT_COORDINATES!$A$2:$A$100,0)))</x:f>
        <x:v>-1</x:v>
      </x:c>
      <x:c r="E10" s="29" t="n">
        <x:f>IF($B10="","",SUMIFS(IMPORTED_NODAL!$E$2:$E$200,IMPORTED_NODAL!$A$2:$A$200,$B10,IMPORTED_NODAL!$B$2:$B$200,$B$3))</x:f>
        <x:v>-500</x:v>
      </x:c>
      <x:c r="F10" s="60" t="n">
        <x:f>IF($A10="","",IF($B$4="compression-negative",-E10,E10))</x:f>
        <x:v>500</x:v>
      </x:c>
      <x:c r="G10" s="60" t="str">
        <x:f>IF($A10="","",IF(F10&gt;=0,"COMPRESSION","TENSION"))</x:f>
        <x:v>COMPRESSION</x:v>
      </x:c>
      <x:c r="H10" s="60" t="n">
        <x:f>IF($A10="","",INDEX(PILE_POINTS!$D$2:$D$100,MATCH($A10,PILE_POINTS!$A$2:$A$100,0)))</x:f>
        <x:v>800</x:v>
      </x:c>
      <x:c r="I10" s="60" t="n">
        <x:f>IF($A10="","",INDEX(PILE_POINTS!$E$2:$E$100,MATCH($A10,PILE_POINTS!$A$2:$A$100,0)))</x:f>
        <x:v>0</x:v>
      </x:c>
      <x:c r="J10" s="60" t="n">
        <x:f>IF($A10="","",IF(G10="COMPRESSION",H10,I10))</x:f>
        <x:v>800</x:v>
      </x:c>
      <x:c r="K10" s="60" t="n">
        <x:f>IF($A10="","",IF(G10="COMPRESSION",F10/H10,IF(I10&gt;0,ABS(F10)/I10,NA())))</x:f>
        <x:v>0.625</x:v>
      </x:c>
      <x:c r="L10" s="60" t="str">
        <x:f>IF($A10="","",IF(G10="COMPRESSION",IF(K10&lt;=1,"PASS","FAIL"),IF(I10&lt;=0,"BLOCK",IF(K10&lt;=1,"PASS","FAIL"))))</x:f>
        <x:v>PASS</x:v>
      </x:c>
      <x:c r="M10" s="29" t="str">
        <x:f>IF($A10="","",INDEX(PILE_POINTS!$F$2:$F$100,MATCH($A10,PILE_POINTS!$A$2:$A$100,0)))</x:f>
        <x:v>HK1</x:v>
      </x:c>
      <x:c r="N10" s="29" t="str">
        <x:f>IF($A10="","",INDEX(PILE_POINTS!$G$2:$G$100,MATCH($A10,PILE_POINTS!$A$2:$A$100,0)))</x:f>
        <x:v>SPT</x:v>
      </x:c>
      <x:c r="O10" s="29"/>
      <x:c r="P10" s="29" t="str">
        <x:v>Overall</x:v>
      </x:c>
      <x:c r="Q10" s="29" t="str">
        <x:f>IF(AND(Q8="NO",Q9="NO"),"PASS","FAIL/BLOCK")</x:f>
        <x:v>PASS</x:v>
      </x:c>
    </x:row>
    <x:row r="11" ht="26.399999618530273" hidden="0" customHeight="1">
      <x:c r="A11" s="29" t="str">
        <x:f>IF(SPRING_ASSIGNMENTS!B4="","",SPRING_ASSIGNMENTS!B4)</x:f>
        <x:v>P3</x:v>
      </x:c>
      <x:c r="B11" s="29" t="str">
        <x:f>IF($A11="","",SPRING_ASSIGNMENTS!A4)</x:f>
        <x:v>N3</x:v>
      </x:c>
      <x:c r="C11" s="29" t="n">
        <x:f>IF($B11="","",INDEX(POINT_COORDINATES!$B$2:$B$100,MATCH($B11,POINT_COORDINATES!$A$2:$A$100,0)))</x:f>
        <x:v>-1</x:v>
      </x:c>
      <x:c r="D11" s="29" t="n">
        <x:f>IF($B11="","",INDEX(POINT_COORDINATES!$C$2:$C$100,MATCH($B11,POINT_COORDINATES!$A$2:$A$100,0)))</x:f>
        <x:v>1</x:v>
      </x:c>
      <x:c r="E11" s="29" t="n">
        <x:f>IF($B11="","",SUMIFS(IMPORTED_NODAL!$E$2:$E$200,IMPORTED_NODAL!$A$2:$A$200,$B11,IMPORTED_NODAL!$B$2:$B$200,$B$3))</x:f>
        <x:v>-600</x:v>
      </x:c>
      <x:c r="F11" s="60" t="n">
        <x:f>IF($A11="","",IF($B$4="compression-negative",-E11,E11))</x:f>
        <x:v>600</x:v>
      </x:c>
      <x:c r="G11" s="60" t="str">
        <x:f>IF($A11="","",IF(F11&gt;=0,"COMPRESSION","TENSION"))</x:f>
        <x:v>COMPRESSION</x:v>
      </x:c>
      <x:c r="H11" s="60" t="n">
        <x:f>IF($A11="","",INDEX(PILE_POINTS!$D$2:$D$100,MATCH($A11,PILE_POINTS!$A$2:$A$100,0)))</x:f>
        <x:v>800</x:v>
      </x:c>
      <x:c r="I11" s="60" t="n">
        <x:f>IF($A11="","",INDEX(PILE_POINTS!$E$2:$E$100,MATCH($A11,PILE_POINTS!$A$2:$A$100,0)))</x:f>
        <x:v>0</x:v>
      </x:c>
      <x:c r="J11" s="60" t="n">
        <x:f>IF($A11="","",IF(G11="COMPRESSION",H11,I11))</x:f>
        <x:v>800</x:v>
      </x:c>
      <x:c r="K11" s="60" t="n">
        <x:f>IF($A11="","",IF(G11="COMPRESSION",F11/H11,IF(I11&gt;0,ABS(F11)/I11,NA())))</x:f>
        <x:v>0.75</x:v>
      </x:c>
      <x:c r="L11" s="60" t="str">
        <x:f>IF($A11="","",IF(G11="COMPRESSION",IF(K11&lt;=1,"PASS","FAIL"),IF(I11&lt;=0,"BLOCK",IF(K11&lt;=1,"PASS","FAIL"))))</x:f>
        <x:v>PASS</x:v>
      </x:c>
      <x:c r="M11" s="29" t="str">
        <x:f>IF($A11="","",INDEX(PILE_POINTS!$F$2:$F$100,MATCH($A11,PILE_POINTS!$A$2:$A$100,0)))</x:f>
        <x:v>HK2</x:v>
      </x:c>
      <x:c r="N11" s="29" t="str">
        <x:f>IF($A11="","",INDEX(PILE_POINTS!$G$2:$G$100,MATCH($A11,PILE_POINTS!$A$2:$A$100,0)))</x:f>
        <x:v>MECH</x:v>
      </x:c>
      <x:c r="O11" s="29"/>
      <x:c r="P11" s="29"/>
      <x:c r="Q11" s="29"/>
    </x:row>
    <x:row r="12" ht="26.399999618530273" hidden="0" customHeight="1">
      <x:c r="A12" s="29" t="str">
        <x:f>IF(SPRING_ASSIGNMENTS!B5="","",SPRING_ASSIGNMENTS!B5)</x:f>
        <x:v>P4</x:v>
      </x:c>
      <x:c r="B12" s="29" t="str">
        <x:f>IF($A12="","",SPRING_ASSIGNMENTS!A5)</x:f>
        <x:v>N4</x:v>
      </x:c>
      <x:c r="C12" s="29" t="n">
        <x:f>IF($B12="","",INDEX(POINT_COORDINATES!$B$2:$B$100,MATCH($B12,POINT_COORDINATES!$A$2:$A$100,0)))</x:f>
        <x:v>1</x:v>
      </x:c>
      <x:c r="D12" s="29" t="n">
        <x:f>IF($B12="","",INDEX(POINT_COORDINATES!$C$2:$C$100,MATCH($B12,POINT_COORDINATES!$A$2:$A$100,0)))</x:f>
        <x:v>1</x:v>
      </x:c>
      <x:c r="E12" s="29" t="n">
        <x:f>IF($B12="","",SUMIFS(IMPORTED_NODAL!$E$2:$E$200,IMPORTED_NODAL!$A$2:$A$200,$B12,IMPORTED_NODAL!$B$2:$B$200,$B$3))</x:f>
        <x:v>-700</x:v>
      </x:c>
      <x:c r="F12" s="60" t="n">
        <x:f>IF($A12="","",IF($B$4="compression-negative",-E12,E12))</x:f>
        <x:v>700</x:v>
      </x:c>
      <x:c r="G12" s="60" t="str">
        <x:f>IF($A12="","",IF(F12&gt;=0,"COMPRESSION","TENSION"))</x:f>
        <x:v>COMPRESSION</x:v>
      </x:c>
      <x:c r="H12" s="60" t="n">
        <x:f>IF($A12="","",INDEX(PILE_POINTS!$D$2:$D$100,MATCH($A12,PILE_POINTS!$A$2:$A$100,0)))</x:f>
        <x:v>800</x:v>
      </x:c>
      <x:c r="I12" s="60" t="n">
        <x:f>IF($A12="","",INDEX(PILE_POINTS!$E$2:$E$100,MATCH($A12,PILE_POINTS!$A$2:$A$100,0)))</x:f>
        <x:v>0</x:v>
      </x:c>
      <x:c r="J12" s="60" t="n">
        <x:f>IF($A12="","",IF(G12="COMPRESSION",H12,I12))</x:f>
        <x:v>800</x:v>
      </x:c>
      <x:c r="K12" s="60" t="n">
        <x:f>IF($A12="","",IF(G12="COMPRESSION",F12/H12,IF(I12&gt;0,ABS(F12)/I12,NA())))</x:f>
        <x:v>0.875</x:v>
      </x:c>
      <x:c r="L12" s="60" t="str">
        <x:f>IF($A12="","",IF(G12="COMPRESSION",IF(K12&lt;=1,"PASS","FAIL"),IF(I12&lt;=0,"BLOCK",IF(K12&lt;=1,"PASS","FAIL"))))</x:f>
        <x:v>PASS</x:v>
      </x:c>
      <x:c r="M12" s="29" t="str">
        <x:f>IF($A12="","",INDEX(PILE_POINTS!$F$2:$F$100,MATCH($A12,PILE_POINTS!$A$2:$A$100,0)))</x:f>
        <x:v>HK2</x:v>
      </x:c>
      <x:c r="N12" s="29" t="str">
        <x:f>IF($A12="","",INDEX(PILE_POINTS!$G$2:$G$100,MATCH($A12,PILE_POINTS!$A$2:$A$100,0)))</x:f>
        <x:v>MECH</x:v>
      </x:c>
      <x:c r="O12" s="29"/>
      <x:c r="P12" s="29"/>
      <x:c r="Q12" s="29"/>
    </x:row>
    <x:row r="13" ht="15" hidden="0" customHeight="1">
      <x:c r="A13" s="29" t="str">
        <x:f>IF(SPRING_ASSIGNMENTS!B6="","",SPRING_ASSIGNMENTS!B6)</x:f>
      </x:c>
      <x:c r="B13" s="29" t="str">
        <x:f>IF($A13="","",SPRING_ASSIGNMENTS!A6)</x:f>
      </x:c>
      <x:c r="C13" s="29" t="str">
        <x:f>IF($B13="","",INDEX(POINT_COORDINATES!$B$2:$B$100,MATCH($B13,POINT_COORDINATES!$A$2:$A$100,0)))</x:f>
      </x:c>
      <x:c r="D13" s="29" t="str">
        <x:f>IF($B13="","",INDEX(POINT_COORDINATES!$C$2:$C$100,MATCH($B13,POINT_COORDINATES!$A$2:$A$100,0)))</x:f>
      </x:c>
      <x:c r="E13" s="29" t="str">
        <x:f>IF($B13="","",SUMIFS(IMPORTED_NODAL!$E$2:$E$200,IMPORTED_NODAL!$A$2:$A$200,$B13,IMPORTED_NODAL!$B$2:$B$200,$B$3))</x:f>
      </x:c>
      <x:c r="F13" s="60" t="str">
        <x:f>IF($A13="","",IF($B$4="compression-negative",-E13,E13))</x:f>
      </x:c>
      <x:c r="G13" s="60" t="str">
        <x:f>IF($A13="","",IF(F13&gt;=0,"COMPRESSION","TENSION"))</x:f>
      </x:c>
      <x:c r="H13" s="60" t="str">
        <x:f>IF($A13="","",INDEX(PILE_POINTS!$D$2:$D$100,MATCH($A13,PILE_POINTS!$A$2:$A$100,0)))</x:f>
      </x:c>
      <x:c r="I13" s="60" t="str">
        <x:f>IF($A13="","",INDEX(PILE_POINTS!$E$2:$E$100,MATCH($A13,PILE_POINTS!$A$2:$A$100,0)))</x:f>
      </x:c>
      <x:c r="J13" s="60" t="str">
        <x:f>IF($A13="","",IF(G13="COMPRESSION",H13,I13))</x:f>
      </x:c>
      <x:c r="K13" s="60" t="str">
        <x:f>IF($A13="","",IF(G13="COMPRESSION",F13/H13,IF(I13&gt;0,ABS(F13)/I13,NA())))</x:f>
      </x:c>
      <x:c r="L13" s="60" t="str">
        <x:f>IF($A13="","",IF(G13="COMPRESSION",IF(K13&lt;=1,"PASS","FAIL"),IF(I13&lt;=0,"BLOCK",IF(K13&lt;=1,"PASS","FAIL"))))</x:f>
      </x:c>
      <x:c r="M13" s="29" t="str">
        <x:f>IF($A13="","",INDEX(PILE_POINTS!$F$2:$F$100,MATCH($A13,PILE_POINTS!$A$2:$A$100,0)))</x:f>
      </x:c>
      <x:c r="N13" s="29" t="str">
        <x:f>IF($A13="","",INDEX(PILE_POINTS!$G$2:$G$100,MATCH($A13,PILE_POINTS!$A$2:$A$100,0)))</x:f>
      </x:c>
      <x:c r="O13" s="29"/>
      <x:c r="P13" s="29"/>
      <x:c r="Q13" s="29"/>
    </x:row>
    <x:row r="14" ht="15" hidden="0" customHeight="1">
      <x:c r="A14" s="29" t="str">
        <x:f>IF(SPRING_ASSIGNMENTS!B7="","",SPRING_ASSIGNMENTS!B7)</x:f>
      </x:c>
      <x:c r="B14" s="29" t="str">
        <x:f>IF($A14="","",SPRING_ASSIGNMENTS!A7)</x:f>
      </x:c>
      <x:c r="C14" s="29" t="str">
        <x:f>IF($B14="","",INDEX(POINT_COORDINATES!$B$2:$B$100,MATCH($B14,POINT_COORDINATES!$A$2:$A$100,0)))</x:f>
      </x:c>
      <x:c r="D14" s="29" t="str">
        <x:f>IF($B14="","",INDEX(POINT_COORDINATES!$C$2:$C$100,MATCH($B14,POINT_COORDINATES!$A$2:$A$100,0)))</x:f>
      </x:c>
      <x:c r="E14" s="29" t="str">
        <x:f>IF($B14="","",SUMIFS(IMPORTED_NODAL!$E$2:$E$200,IMPORTED_NODAL!$A$2:$A$200,$B14,IMPORTED_NODAL!$B$2:$B$200,$B$3))</x:f>
      </x:c>
      <x:c r="F14" s="60" t="str">
        <x:f>IF($A14="","",IF($B$4="compression-negative",-E14,E14))</x:f>
      </x:c>
      <x:c r="G14" s="60" t="str">
        <x:f>IF($A14="","",IF(F14&gt;=0,"COMPRESSION","TENSION"))</x:f>
      </x:c>
      <x:c r="H14" s="60" t="str">
        <x:f>IF($A14="","",INDEX(PILE_POINTS!$D$2:$D$100,MATCH($A14,PILE_POINTS!$A$2:$A$100,0)))</x:f>
      </x:c>
      <x:c r="I14" s="60" t="str">
        <x:f>IF($A14="","",INDEX(PILE_POINTS!$E$2:$E$100,MATCH($A14,PILE_POINTS!$A$2:$A$100,0)))</x:f>
      </x:c>
      <x:c r="J14" s="60" t="str">
        <x:f>IF($A14="","",IF(G14="COMPRESSION",H14,I14))</x:f>
      </x:c>
      <x:c r="K14" s="60" t="str">
        <x:f>IF($A14="","",IF(G14="COMPRESSION",F14/H14,IF(I14&gt;0,ABS(F14)/I14,NA())))</x:f>
      </x:c>
      <x:c r="L14" s="60" t="str">
        <x:f>IF($A14="","",IF(G14="COMPRESSION",IF(K14&lt;=1,"PASS","FAIL"),IF(I14&lt;=0,"BLOCK",IF(K14&lt;=1,"PASS","FAIL"))))</x:f>
      </x:c>
      <x:c r="M14" s="29" t="str">
        <x:f>IF($A14="","",INDEX(PILE_POINTS!$F$2:$F$100,MATCH($A14,PILE_POINTS!$A$2:$A$100,0)))</x:f>
      </x:c>
      <x:c r="N14" s="29" t="str">
        <x:f>IF($A14="","",INDEX(PILE_POINTS!$G$2:$G$100,MATCH($A14,PILE_POINTS!$A$2:$A$100,0)))</x:f>
      </x:c>
      <x:c r="O14" s="29"/>
      <x:c r="P14" s="29"/>
      <x:c r="Q14" s="29"/>
    </x:row>
    <x:row r="15" ht="15" hidden="0" customHeight="1">
      <x:c r="A15" s="29" t="str">
        <x:f>IF(SPRING_ASSIGNMENTS!B8="","",SPRING_ASSIGNMENTS!B8)</x:f>
      </x:c>
      <x:c r="B15" s="29" t="str">
        <x:f>IF($A15="","",SPRING_ASSIGNMENTS!A8)</x:f>
      </x:c>
      <x:c r="C15" s="29" t="str">
        <x:f>IF($B15="","",INDEX(POINT_COORDINATES!$B$2:$B$100,MATCH($B15,POINT_COORDINATES!$A$2:$A$100,0)))</x:f>
      </x:c>
      <x:c r="D15" s="29" t="str">
        <x:f>IF($B15="","",INDEX(POINT_COORDINATES!$C$2:$C$100,MATCH($B15,POINT_COORDINATES!$A$2:$A$100,0)))</x:f>
      </x:c>
      <x:c r="E15" s="29" t="str">
        <x:f>IF($B15="","",SUMIFS(IMPORTED_NODAL!$E$2:$E$200,IMPORTED_NODAL!$A$2:$A$200,$B15,IMPORTED_NODAL!$B$2:$B$200,$B$3))</x:f>
      </x:c>
      <x:c r="F15" s="60" t="str">
        <x:f>IF($A15="","",IF($B$4="compression-negative",-E15,E15))</x:f>
      </x:c>
      <x:c r="G15" s="60" t="str">
        <x:f>IF($A15="","",IF(F15&gt;=0,"COMPRESSION","TENSION"))</x:f>
      </x:c>
      <x:c r="H15" s="60" t="str">
        <x:f>IF($A15="","",INDEX(PILE_POINTS!$D$2:$D$100,MATCH($A15,PILE_POINTS!$A$2:$A$100,0)))</x:f>
      </x:c>
      <x:c r="I15" s="60" t="str">
        <x:f>IF($A15="","",INDEX(PILE_POINTS!$E$2:$E$100,MATCH($A15,PILE_POINTS!$A$2:$A$100,0)))</x:f>
      </x:c>
      <x:c r="J15" s="60" t="str">
        <x:f>IF($A15="","",IF(G15="COMPRESSION",H15,I15))</x:f>
      </x:c>
      <x:c r="K15" s="60" t="str">
        <x:f>IF($A15="","",IF(G15="COMPRESSION",F15/H15,IF(I15&gt;0,ABS(F15)/I15,NA())))</x:f>
      </x:c>
      <x:c r="L15" s="60" t="str">
        <x:f>IF($A15="","",IF(G15="COMPRESSION",IF(K15&lt;=1,"PASS","FAIL"),IF(I15&lt;=0,"BLOCK",IF(K15&lt;=1,"PASS","FAIL"))))</x:f>
      </x:c>
      <x:c r="M15" s="29" t="str">
        <x:f>IF($A15="","",INDEX(PILE_POINTS!$F$2:$F$100,MATCH($A15,PILE_POINTS!$A$2:$A$100,0)))</x:f>
      </x:c>
      <x:c r="N15" s="29" t="str">
        <x:f>IF($A15="","",INDEX(PILE_POINTS!$G$2:$G$100,MATCH($A15,PILE_POINTS!$A$2:$A$100,0)))</x:f>
      </x:c>
      <x:c r="O15" s="29"/>
      <x:c r="P15" s="29"/>
      <x:c r="Q15" s="29"/>
    </x:row>
    <x:row r="16" ht="15" hidden="0" customHeight="1">
      <x:c r="A16" s="29" t="str">
        <x:f>IF(SPRING_ASSIGNMENTS!B9="","",SPRING_ASSIGNMENTS!B9)</x:f>
      </x:c>
      <x:c r="B16" s="29" t="str">
        <x:f>IF($A16="","",SPRING_ASSIGNMENTS!A9)</x:f>
      </x:c>
      <x:c r="C16" s="29" t="str">
        <x:f>IF($B16="","",INDEX(POINT_COORDINATES!$B$2:$B$100,MATCH($B16,POINT_COORDINATES!$A$2:$A$100,0)))</x:f>
      </x:c>
      <x:c r="D16" s="29" t="str">
        <x:f>IF($B16="","",INDEX(POINT_COORDINATES!$C$2:$C$100,MATCH($B16,POINT_COORDINATES!$A$2:$A$100,0)))</x:f>
      </x:c>
      <x:c r="E16" s="29" t="str">
        <x:f>IF($B16="","",SUMIFS(IMPORTED_NODAL!$E$2:$E$200,IMPORTED_NODAL!$A$2:$A$200,$B16,IMPORTED_NODAL!$B$2:$B$200,$B$3))</x:f>
      </x:c>
      <x:c r="F16" s="60" t="str">
        <x:f>IF($A16="","",IF($B$4="compression-negative",-E16,E16))</x:f>
      </x:c>
      <x:c r="G16" s="60" t="str">
        <x:f>IF($A16="","",IF(F16&gt;=0,"COMPRESSION","TENSION"))</x:f>
      </x:c>
      <x:c r="H16" s="60" t="str">
        <x:f>IF($A16="","",INDEX(PILE_POINTS!$D$2:$D$100,MATCH($A16,PILE_POINTS!$A$2:$A$100,0)))</x:f>
      </x:c>
      <x:c r="I16" s="60" t="str">
        <x:f>IF($A16="","",INDEX(PILE_POINTS!$E$2:$E$100,MATCH($A16,PILE_POINTS!$A$2:$A$100,0)))</x:f>
      </x:c>
      <x:c r="J16" s="60" t="str">
        <x:f>IF($A16="","",IF(G16="COMPRESSION",H16,I16))</x:f>
      </x:c>
      <x:c r="K16" s="60" t="str">
        <x:f>IF($A16="","",IF(G16="COMPRESSION",F16/H16,IF(I16&gt;0,ABS(F16)/I16,NA())))</x:f>
      </x:c>
      <x:c r="L16" s="60" t="str">
        <x:f>IF($A16="","",IF(G16="COMPRESSION",IF(K16&lt;=1,"PASS","FAIL"),IF(I16&lt;=0,"BLOCK",IF(K16&lt;=1,"PASS","FAIL"))))</x:f>
      </x:c>
      <x:c r="M16" s="29" t="str">
        <x:f>IF($A16="","",INDEX(PILE_POINTS!$F$2:$F$100,MATCH($A16,PILE_POINTS!$A$2:$A$100,0)))</x:f>
      </x:c>
      <x:c r="N16" s="29" t="str">
        <x:f>IF($A16="","",INDEX(PILE_POINTS!$G$2:$G$100,MATCH($A16,PILE_POINTS!$A$2:$A$100,0)))</x:f>
      </x:c>
      <x:c r="O16" s="29"/>
      <x:c r="P16" s="29"/>
      <x:c r="Q16" s="29"/>
    </x:row>
    <x:row r="17" ht="15" hidden="0" customHeight="1">
      <x:c r="A17" s="29" t="str">
        <x:f>IF(SPRING_ASSIGNMENTS!B10="","",SPRING_ASSIGNMENTS!B10)</x:f>
      </x:c>
      <x:c r="B17" s="29" t="str">
        <x:f>IF($A17="","",SPRING_ASSIGNMENTS!A10)</x:f>
      </x:c>
      <x:c r="C17" s="29" t="str">
        <x:f>IF($B17="","",INDEX(POINT_COORDINATES!$B$2:$B$100,MATCH($B17,POINT_COORDINATES!$A$2:$A$100,0)))</x:f>
      </x:c>
      <x:c r="D17" s="29" t="str">
        <x:f>IF($B17="","",INDEX(POINT_COORDINATES!$C$2:$C$100,MATCH($B17,POINT_COORDINATES!$A$2:$A$100,0)))</x:f>
      </x:c>
      <x:c r="E17" s="29" t="str">
        <x:f>IF($B17="","",SUMIFS(IMPORTED_NODAL!$E$2:$E$200,IMPORTED_NODAL!$A$2:$A$200,$B17,IMPORTED_NODAL!$B$2:$B$200,$B$3))</x:f>
      </x:c>
      <x:c r="F17" s="60" t="str">
        <x:f>IF($A17="","",IF($B$4="compression-negative",-E17,E17))</x:f>
      </x:c>
      <x:c r="G17" s="60" t="str">
        <x:f>IF($A17="","",IF(F17&gt;=0,"COMPRESSION","TENSION"))</x:f>
      </x:c>
      <x:c r="H17" s="60" t="str">
        <x:f>IF($A17="","",INDEX(PILE_POINTS!$D$2:$D$100,MATCH($A17,PILE_POINTS!$A$2:$A$100,0)))</x:f>
      </x:c>
      <x:c r="I17" s="60" t="str">
        <x:f>IF($A17="","",INDEX(PILE_POINTS!$E$2:$E$100,MATCH($A17,PILE_POINTS!$A$2:$A$100,0)))</x:f>
      </x:c>
      <x:c r="J17" s="60" t="str">
        <x:f>IF($A17="","",IF(G17="COMPRESSION",H17,I17))</x:f>
      </x:c>
      <x:c r="K17" s="60" t="str">
        <x:f>IF($A17="","",IF(G17="COMPRESSION",F17/H17,IF(I17&gt;0,ABS(F17)/I17,NA())))</x:f>
      </x:c>
      <x:c r="L17" s="60" t="str">
        <x:f>IF($A17="","",IF(G17="COMPRESSION",IF(K17&lt;=1,"PASS","FAIL"),IF(I17&lt;=0,"BLOCK",IF(K17&lt;=1,"PASS","FAIL"))))</x:f>
      </x:c>
      <x:c r="M17" s="29" t="str">
        <x:f>IF($A17="","",INDEX(PILE_POINTS!$F$2:$F$100,MATCH($A17,PILE_POINTS!$A$2:$A$100,0)))</x:f>
      </x:c>
      <x:c r="N17" s="29" t="str">
        <x:f>IF($A17="","",INDEX(PILE_POINTS!$G$2:$G$100,MATCH($A17,PILE_POINTS!$A$2:$A$100,0)))</x:f>
      </x:c>
      <x:c r="O17" s="29"/>
      <x:c r="P17" s="29"/>
      <x:c r="Q17" s="29"/>
    </x:row>
    <x:row r="18" ht="15" hidden="0" customHeight="1">
      <x:c r="A18" s="29" t="str">
        <x:f>IF(SPRING_ASSIGNMENTS!B11="","",SPRING_ASSIGNMENTS!B11)</x:f>
      </x:c>
      <x:c r="B18" s="29" t="str">
        <x:f>IF($A18="","",SPRING_ASSIGNMENTS!A11)</x:f>
      </x:c>
      <x:c r="C18" s="29" t="str">
        <x:f>IF($B18="","",INDEX(POINT_COORDINATES!$B$2:$B$100,MATCH($B18,POINT_COORDINATES!$A$2:$A$100,0)))</x:f>
      </x:c>
      <x:c r="D18" s="29" t="str">
        <x:f>IF($B18="","",INDEX(POINT_COORDINATES!$C$2:$C$100,MATCH($B18,POINT_COORDINATES!$A$2:$A$100,0)))</x:f>
      </x:c>
      <x:c r="E18" s="29" t="str">
        <x:f>IF($B18="","",SUMIFS(IMPORTED_NODAL!$E$2:$E$200,IMPORTED_NODAL!$A$2:$A$200,$B18,IMPORTED_NODAL!$B$2:$B$200,$B$3))</x:f>
      </x:c>
      <x:c r="F18" s="60" t="str">
        <x:f>IF($A18="","",IF($B$4="compression-negative",-E18,E18))</x:f>
      </x:c>
      <x:c r="G18" s="60" t="str">
        <x:f>IF($A18="","",IF(F18&gt;=0,"COMPRESSION","TENSION"))</x:f>
      </x:c>
      <x:c r="H18" s="60" t="str">
        <x:f>IF($A18="","",INDEX(PILE_POINTS!$D$2:$D$100,MATCH($A18,PILE_POINTS!$A$2:$A$100,0)))</x:f>
      </x:c>
      <x:c r="I18" s="60" t="str">
        <x:f>IF($A18="","",INDEX(PILE_POINTS!$E$2:$E$100,MATCH($A18,PILE_POINTS!$A$2:$A$100,0)))</x:f>
      </x:c>
      <x:c r="J18" s="60" t="str">
        <x:f>IF($A18="","",IF(G18="COMPRESSION",H18,I18))</x:f>
      </x:c>
      <x:c r="K18" s="60" t="str">
        <x:f>IF($A18="","",IF(G18="COMPRESSION",F18/H18,IF(I18&gt;0,ABS(F18)/I18,NA())))</x:f>
      </x:c>
      <x:c r="L18" s="60" t="str">
        <x:f>IF($A18="","",IF(G18="COMPRESSION",IF(K18&lt;=1,"PASS","FAIL"),IF(I18&lt;=0,"BLOCK",IF(K18&lt;=1,"PASS","FAIL"))))</x:f>
      </x:c>
      <x:c r="M18" s="29" t="str">
        <x:f>IF($A18="","",INDEX(PILE_POINTS!$F$2:$F$100,MATCH($A18,PILE_POINTS!$A$2:$A$100,0)))</x:f>
      </x:c>
      <x:c r="N18" s="29" t="str">
        <x:f>IF($A18="","",INDEX(PILE_POINTS!$G$2:$G$100,MATCH($A18,PILE_POINTS!$A$2:$A$100,0)))</x:f>
      </x:c>
      <x:c r="O18" s="29"/>
      <x:c r="P18" s="29"/>
      <x:c r="Q18" s="29"/>
    </x:row>
    <x:row r="19" ht="15" hidden="0" customHeight="1">
      <x:c r="A19" s="29" t="str">
        <x:f>IF(SPRING_ASSIGNMENTS!B12="","",SPRING_ASSIGNMENTS!B12)</x:f>
      </x:c>
      <x:c r="B19" s="29" t="str">
        <x:f>IF($A19="","",SPRING_ASSIGNMENTS!A12)</x:f>
      </x:c>
      <x:c r="C19" s="29" t="str">
        <x:f>IF($B19="","",INDEX(POINT_COORDINATES!$B$2:$B$100,MATCH($B19,POINT_COORDINATES!$A$2:$A$100,0)))</x:f>
      </x:c>
      <x:c r="D19" s="29" t="str">
        <x:f>IF($B19="","",INDEX(POINT_COORDINATES!$C$2:$C$100,MATCH($B19,POINT_COORDINATES!$A$2:$A$100,0)))</x:f>
      </x:c>
      <x:c r="E19" s="29" t="str">
        <x:f>IF($B19="","",SUMIFS(IMPORTED_NODAL!$E$2:$E$200,IMPORTED_NODAL!$A$2:$A$200,$B19,IMPORTED_NODAL!$B$2:$B$200,$B$3))</x:f>
      </x:c>
      <x:c r="F19" s="60" t="str">
        <x:f>IF($A19="","",IF($B$4="compression-negative",-E19,E19))</x:f>
      </x:c>
      <x:c r="G19" s="60" t="str">
        <x:f>IF($A19="","",IF(F19&gt;=0,"COMPRESSION","TENSION"))</x:f>
      </x:c>
      <x:c r="H19" s="60" t="str">
        <x:f>IF($A19="","",INDEX(PILE_POINTS!$D$2:$D$100,MATCH($A19,PILE_POINTS!$A$2:$A$100,0)))</x:f>
      </x:c>
      <x:c r="I19" s="60" t="str">
        <x:f>IF($A19="","",INDEX(PILE_POINTS!$E$2:$E$100,MATCH($A19,PILE_POINTS!$A$2:$A$100,0)))</x:f>
      </x:c>
      <x:c r="J19" s="60" t="str">
        <x:f>IF($A19="","",IF(G19="COMPRESSION",H19,I19))</x:f>
      </x:c>
      <x:c r="K19" s="60" t="str">
        <x:f>IF($A19="","",IF(G19="COMPRESSION",F19/H19,IF(I19&gt;0,ABS(F19)/I19,NA())))</x:f>
      </x:c>
      <x:c r="L19" s="60" t="str">
        <x:f>IF($A19="","",IF(G19="COMPRESSION",IF(K19&lt;=1,"PASS","FAIL"),IF(I19&lt;=0,"BLOCK",IF(K19&lt;=1,"PASS","FAIL"))))</x:f>
      </x:c>
      <x:c r="M19" s="29" t="str">
        <x:f>IF($A19="","",INDEX(PILE_POINTS!$F$2:$F$100,MATCH($A19,PILE_POINTS!$A$2:$A$100,0)))</x:f>
      </x:c>
      <x:c r="N19" s="29" t="str">
        <x:f>IF($A19="","",INDEX(PILE_POINTS!$G$2:$G$100,MATCH($A19,PILE_POINTS!$A$2:$A$100,0)))</x:f>
      </x:c>
      <x:c r="O19" s="29"/>
      <x:c r="P19" s="29"/>
      <x:c r="Q19" s="29"/>
    </x:row>
    <x:row r="20" ht="15" hidden="0" customHeight="1">
      <x:c r="A20" s="29" t="str">
        <x:f>IF(SPRING_ASSIGNMENTS!B13="","",SPRING_ASSIGNMENTS!B13)</x:f>
      </x:c>
      <x:c r="B20" s="29" t="str">
        <x:f>IF($A20="","",SPRING_ASSIGNMENTS!A13)</x:f>
      </x:c>
      <x:c r="C20" s="29" t="str">
        <x:f>IF($B20="","",INDEX(POINT_COORDINATES!$B$2:$B$100,MATCH($B20,POINT_COORDINATES!$A$2:$A$100,0)))</x:f>
      </x:c>
      <x:c r="D20" s="29" t="str">
        <x:f>IF($B20="","",INDEX(POINT_COORDINATES!$C$2:$C$100,MATCH($B20,POINT_COORDINATES!$A$2:$A$100,0)))</x:f>
      </x:c>
      <x:c r="E20" s="29" t="str">
        <x:f>IF($B20="","",SUMIFS(IMPORTED_NODAL!$E$2:$E$200,IMPORTED_NODAL!$A$2:$A$200,$B20,IMPORTED_NODAL!$B$2:$B$200,$B$3))</x:f>
      </x:c>
      <x:c r="F20" s="60" t="str">
        <x:f>IF($A20="","",IF($B$4="compression-negative",-E20,E20))</x:f>
      </x:c>
      <x:c r="G20" s="60" t="str">
        <x:f>IF($A20="","",IF(F20&gt;=0,"COMPRESSION","TENSION"))</x:f>
      </x:c>
      <x:c r="H20" s="60" t="str">
        <x:f>IF($A20="","",INDEX(PILE_POINTS!$D$2:$D$100,MATCH($A20,PILE_POINTS!$A$2:$A$100,0)))</x:f>
      </x:c>
      <x:c r="I20" s="60" t="str">
        <x:f>IF($A20="","",INDEX(PILE_POINTS!$E$2:$E$100,MATCH($A20,PILE_POINTS!$A$2:$A$100,0)))</x:f>
      </x:c>
      <x:c r="J20" s="60" t="str">
        <x:f>IF($A20="","",IF(G20="COMPRESSION",H20,I20))</x:f>
      </x:c>
      <x:c r="K20" s="60" t="str">
        <x:f>IF($A20="","",IF(G20="COMPRESSION",F20/H20,IF(I20&gt;0,ABS(F20)/I20,NA())))</x:f>
      </x:c>
      <x:c r="L20" s="60" t="str">
        <x:f>IF($A20="","",IF(G20="COMPRESSION",IF(K20&lt;=1,"PASS","FAIL"),IF(I20&lt;=0,"BLOCK",IF(K20&lt;=1,"PASS","FAIL"))))</x:f>
      </x:c>
      <x:c r="M20" s="29" t="str">
        <x:f>IF($A20="","",INDEX(PILE_POINTS!$F$2:$F$100,MATCH($A20,PILE_POINTS!$A$2:$A$100,0)))</x:f>
      </x:c>
      <x:c r="N20" s="29" t="str">
        <x:f>IF($A20="","",INDEX(PILE_POINTS!$G$2:$G$100,MATCH($A20,PILE_POINTS!$A$2:$A$100,0)))</x:f>
      </x:c>
      <x:c r="O20" s="29"/>
      <x:c r="P20" s="29"/>
      <x:c r="Q20" s="29"/>
    </x:row>
    <x:row r="21" ht="15" hidden="0" customHeight="1">
      <x:c r="A21" s="29" t="str">
        <x:f>IF(SPRING_ASSIGNMENTS!B14="","",SPRING_ASSIGNMENTS!B14)</x:f>
      </x:c>
      <x:c r="B21" s="29" t="str">
        <x:f>IF($A21="","",SPRING_ASSIGNMENTS!A14)</x:f>
      </x:c>
      <x:c r="C21" s="29" t="str">
        <x:f>IF($B21="","",INDEX(POINT_COORDINATES!$B$2:$B$100,MATCH($B21,POINT_COORDINATES!$A$2:$A$100,0)))</x:f>
      </x:c>
      <x:c r="D21" s="29" t="str">
        <x:f>IF($B21="","",INDEX(POINT_COORDINATES!$C$2:$C$100,MATCH($B21,POINT_COORDINATES!$A$2:$A$100,0)))</x:f>
      </x:c>
      <x:c r="E21" s="29" t="str">
        <x:f>IF($B21="","",SUMIFS(IMPORTED_NODAL!$E$2:$E$200,IMPORTED_NODAL!$A$2:$A$200,$B21,IMPORTED_NODAL!$B$2:$B$200,$B$3))</x:f>
      </x:c>
      <x:c r="F21" s="60" t="str">
        <x:f>IF($A21="","",IF($B$4="compression-negative",-E21,E21))</x:f>
      </x:c>
      <x:c r="G21" s="60" t="str">
        <x:f>IF($A21="","",IF(F21&gt;=0,"COMPRESSION","TENSION"))</x:f>
      </x:c>
      <x:c r="H21" s="60" t="str">
        <x:f>IF($A21="","",INDEX(PILE_POINTS!$D$2:$D$100,MATCH($A21,PILE_POINTS!$A$2:$A$100,0)))</x:f>
      </x:c>
      <x:c r="I21" s="60" t="str">
        <x:f>IF($A21="","",INDEX(PILE_POINTS!$E$2:$E$100,MATCH($A21,PILE_POINTS!$A$2:$A$100,0)))</x:f>
      </x:c>
      <x:c r="J21" s="60" t="str">
        <x:f>IF($A21="","",IF(G21="COMPRESSION",H21,I21))</x:f>
      </x:c>
      <x:c r="K21" s="60" t="str">
        <x:f>IF($A21="","",IF(G21="COMPRESSION",F21/H21,IF(I21&gt;0,ABS(F21)/I21,NA())))</x:f>
      </x:c>
      <x:c r="L21" s="60" t="str">
        <x:f>IF($A21="","",IF(G21="COMPRESSION",IF(K21&lt;=1,"PASS","FAIL"),IF(I21&lt;=0,"BLOCK",IF(K21&lt;=1,"PASS","FAIL"))))</x:f>
      </x:c>
      <x:c r="M21" s="29" t="str">
        <x:f>IF($A21="","",INDEX(PILE_POINTS!$F$2:$F$100,MATCH($A21,PILE_POINTS!$A$2:$A$100,0)))</x:f>
      </x:c>
      <x:c r="N21" s="29" t="str">
        <x:f>IF($A21="","",INDEX(PILE_POINTS!$G$2:$G$100,MATCH($A21,PILE_POINTS!$A$2:$A$100,0)))</x:f>
      </x:c>
      <x:c r="O21" s="29"/>
      <x:c r="P21" s="29"/>
      <x:c r="Q21" s="29"/>
    </x:row>
    <x:row r="22" ht="15" hidden="0" customHeight="1">
      <x:c r="A22" s="29" t="str">
        <x:f>IF(SPRING_ASSIGNMENTS!B15="","",SPRING_ASSIGNMENTS!B15)</x:f>
      </x:c>
      <x:c r="B22" s="29" t="str">
        <x:f>IF($A22="","",SPRING_ASSIGNMENTS!A15)</x:f>
      </x:c>
      <x:c r="C22" s="29" t="str">
        <x:f>IF($B22="","",INDEX(POINT_COORDINATES!$B$2:$B$100,MATCH($B22,POINT_COORDINATES!$A$2:$A$100,0)))</x:f>
      </x:c>
      <x:c r="D22" s="29" t="str">
        <x:f>IF($B22="","",INDEX(POINT_COORDINATES!$C$2:$C$100,MATCH($B22,POINT_COORDINATES!$A$2:$A$100,0)))</x:f>
      </x:c>
      <x:c r="E22" s="29" t="str">
        <x:f>IF($B22="","",SUMIFS(IMPORTED_NODAL!$E$2:$E$200,IMPORTED_NODAL!$A$2:$A$200,$B22,IMPORTED_NODAL!$B$2:$B$200,$B$3))</x:f>
      </x:c>
      <x:c r="F22" s="60" t="str">
        <x:f>IF($A22="","",IF($B$4="compression-negative",-E22,E22))</x:f>
      </x:c>
      <x:c r="G22" s="60" t="str">
        <x:f>IF($A22="","",IF(F22&gt;=0,"COMPRESSION","TENSION"))</x:f>
      </x:c>
      <x:c r="H22" s="60" t="str">
        <x:f>IF($A22="","",INDEX(PILE_POINTS!$D$2:$D$100,MATCH($A22,PILE_POINTS!$A$2:$A$100,0)))</x:f>
      </x:c>
      <x:c r="I22" s="60" t="str">
        <x:f>IF($A22="","",INDEX(PILE_POINTS!$E$2:$E$100,MATCH($A22,PILE_POINTS!$A$2:$A$100,0)))</x:f>
      </x:c>
      <x:c r="J22" s="60" t="str">
        <x:f>IF($A22="","",IF(G22="COMPRESSION",H22,I22))</x:f>
      </x:c>
      <x:c r="K22" s="60" t="str">
        <x:f>IF($A22="","",IF(G22="COMPRESSION",F22/H22,IF(I22&gt;0,ABS(F22)/I22,NA())))</x:f>
      </x:c>
      <x:c r="L22" s="60" t="str">
        <x:f>IF($A22="","",IF(G22="COMPRESSION",IF(K22&lt;=1,"PASS","FAIL"),IF(I22&lt;=0,"BLOCK",IF(K22&lt;=1,"PASS","FAIL"))))</x:f>
      </x:c>
      <x:c r="M22" s="29" t="str">
        <x:f>IF($A22="","",INDEX(PILE_POINTS!$F$2:$F$100,MATCH($A22,PILE_POINTS!$A$2:$A$100,0)))</x:f>
      </x:c>
      <x:c r="N22" s="29" t="str">
        <x:f>IF($A22="","",INDEX(PILE_POINTS!$G$2:$G$100,MATCH($A22,PILE_POINTS!$A$2:$A$100,0)))</x:f>
      </x:c>
      <x:c r="O22" s="29"/>
      <x:c r="P22" s="29"/>
      <x:c r="Q22" s="29"/>
    </x:row>
    <x:row r="23" ht="15" hidden="0" customHeight="1">
      <x:c r="A23" s="29" t="str">
        <x:f>IF(SPRING_ASSIGNMENTS!B16="","",SPRING_ASSIGNMENTS!B16)</x:f>
      </x:c>
      <x:c r="B23" s="29" t="str">
        <x:f>IF($A23="","",SPRING_ASSIGNMENTS!A16)</x:f>
      </x:c>
      <x:c r="C23" s="29" t="str">
        <x:f>IF($B23="","",INDEX(POINT_COORDINATES!$B$2:$B$100,MATCH($B23,POINT_COORDINATES!$A$2:$A$100,0)))</x:f>
      </x:c>
      <x:c r="D23" s="29" t="str">
        <x:f>IF($B23="","",INDEX(POINT_COORDINATES!$C$2:$C$100,MATCH($B23,POINT_COORDINATES!$A$2:$A$100,0)))</x:f>
      </x:c>
      <x:c r="E23" s="29" t="str">
        <x:f>IF($B23="","",SUMIFS(IMPORTED_NODAL!$E$2:$E$200,IMPORTED_NODAL!$A$2:$A$200,$B23,IMPORTED_NODAL!$B$2:$B$200,$B$3))</x:f>
      </x:c>
      <x:c r="F23" s="60" t="str">
        <x:f>IF($A23="","",IF($B$4="compression-negative",-E23,E23))</x:f>
      </x:c>
      <x:c r="G23" s="60" t="str">
        <x:f>IF($A23="","",IF(F23&gt;=0,"COMPRESSION","TENSION"))</x:f>
      </x:c>
      <x:c r="H23" s="60" t="str">
        <x:f>IF($A23="","",INDEX(PILE_POINTS!$D$2:$D$100,MATCH($A23,PILE_POINTS!$A$2:$A$100,0)))</x:f>
      </x:c>
      <x:c r="I23" s="60" t="str">
        <x:f>IF($A23="","",INDEX(PILE_POINTS!$E$2:$E$100,MATCH($A23,PILE_POINTS!$A$2:$A$100,0)))</x:f>
      </x:c>
      <x:c r="J23" s="60" t="str">
        <x:f>IF($A23="","",IF(G23="COMPRESSION",H23,I23))</x:f>
      </x:c>
      <x:c r="K23" s="60" t="str">
        <x:f>IF($A23="","",IF(G23="COMPRESSION",F23/H23,IF(I23&gt;0,ABS(F23)/I23,NA())))</x:f>
      </x:c>
      <x:c r="L23" s="60" t="str">
        <x:f>IF($A23="","",IF(G23="COMPRESSION",IF(K23&lt;=1,"PASS","FAIL"),IF(I23&lt;=0,"BLOCK",IF(K23&lt;=1,"PASS","FAIL"))))</x:f>
      </x:c>
      <x:c r="M23" s="29" t="str">
        <x:f>IF($A23="","",INDEX(PILE_POINTS!$F$2:$F$100,MATCH($A23,PILE_POINTS!$A$2:$A$100,0)))</x:f>
      </x:c>
      <x:c r="N23" s="29" t="str">
        <x:f>IF($A23="","",INDEX(PILE_POINTS!$G$2:$G$100,MATCH($A23,PILE_POINTS!$A$2:$A$100,0)))</x:f>
      </x:c>
      <x:c r="O23" s="29"/>
      <x:c r="P23" s="29"/>
      <x:c r="Q23" s="29"/>
    </x:row>
    <x:row r="24" ht="15" hidden="0" customHeight="1">
      <x:c r="A24" s="29" t="str">
        <x:f>IF(SPRING_ASSIGNMENTS!B17="","",SPRING_ASSIGNMENTS!B17)</x:f>
      </x:c>
      <x:c r="B24" s="29" t="str">
        <x:f>IF($A24="","",SPRING_ASSIGNMENTS!A17)</x:f>
      </x:c>
      <x:c r="C24" s="29" t="str">
        <x:f>IF($B24="","",INDEX(POINT_COORDINATES!$B$2:$B$100,MATCH($B24,POINT_COORDINATES!$A$2:$A$100,0)))</x:f>
      </x:c>
      <x:c r="D24" s="29" t="str">
        <x:f>IF($B24="","",INDEX(POINT_COORDINATES!$C$2:$C$100,MATCH($B24,POINT_COORDINATES!$A$2:$A$100,0)))</x:f>
      </x:c>
      <x:c r="E24" s="29" t="str">
        <x:f>IF($B24="","",SUMIFS(IMPORTED_NODAL!$E$2:$E$200,IMPORTED_NODAL!$A$2:$A$200,$B24,IMPORTED_NODAL!$B$2:$B$200,$B$3))</x:f>
      </x:c>
      <x:c r="F24" s="60" t="str">
        <x:f>IF($A24="","",IF($B$4="compression-negative",-E24,E24))</x:f>
      </x:c>
      <x:c r="G24" s="60" t="str">
        <x:f>IF($A24="","",IF(F24&gt;=0,"COMPRESSION","TENSION"))</x:f>
      </x:c>
      <x:c r="H24" s="60" t="str">
        <x:f>IF($A24="","",INDEX(PILE_POINTS!$D$2:$D$100,MATCH($A24,PILE_POINTS!$A$2:$A$100,0)))</x:f>
      </x:c>
      <x:c r="I24" s="60" t="str">
        <x:f>IF($A24="","",INDEX(PILE_POINTS!$E$2:$E$100,MATCH($A24,PILE_POINTS!$A$2:$A$100,0)))</x:f>
      </x:c>
      <x:c r="J24" s="60" t="str">
        <x:f>IF($A24="","",IF(G24="COMPRESSION",H24,I24))</x:f>
      </x:c>
      <x:c r="K24" s="60" t="str">
        <x:f>IF($A24="","",IF(G24="COMPRESSION",F24/H24,IF(I24&gt;0,ABS(F24)/I24,NA())))</x:f>
      </x:c>
      <x:c r="L24" s="60" t="str">
        <x:f>IF($A24="","",IF(G24="COMPRESSION",IF(K24&lt;=1,"PASS","FAIL"),IF(I24&lt;=0,"BLOCK",IF(K24&lt;=1,"PASS","FAIL"))))</x:f>
      </x:c>
      <x:c r="M24" s="29" t="str">
        <x:f>IF($A24="","",INDEX(PILE_POINTS!$F$2:$F$100,MATCH($A24,PILE_POINTS!$A$2:$A$100,0)))</x:f>
      </x:c>
      <x:c r="N24" s="29" t="str">
        <x:f>IF($A24="","",INDEX(PILE_POINTS!$G$2:$G$100,MATCH($A24,PILE_POINTS!$A$2:$A$100,0)))</x:f>
      </x:c>
      <x:c r="O24" s="29"/>
      <x:c r="P24" s="29"/>
      <x:c r="Q24" s="29"/>
    </x:row>
    <x:row r="25" ht="15" hidden="0" customHeight="1">
      <x:c r="A25" s="29" t="str">
        <x:f>IF(SPRING_ASSIGNMENTS!B18="","",SPRING_ASSIGNMENTS!B18)</x:f>
      </x:c>
      <x:c r="B25" s="29" t="str">
        <x:f>IF($A25="","",SPRING_ASSIGNMENTS!A18)</x:f>
      </x:c>
      <x:c r="C25" s="29" t="str">
        <x:f>IF($B25="","",INDEX(POINT_COORDINATES!$B$2:$B$100,MATCH($B25,POINT_COORDINATES!$A$2:$A$100,0)))</x:f>
      </x:c>
      <x:c r="D25" s="29" t="str">
        <x:f>IF($B25="","",INDEX(POINT_COORDINATES!$C$2:$C$100,MATCH($B25,POINT_COORDINATES!$A$2:$A$100,0)))</x:f>
      </x:c>
      <x:c r="E25" s="29" t="str">
        <x:f>IF($B25="","",SUMIFS(IMPORTED_NODAL!$E$2:$E$200,IMPORTED_NODAL!$A$2:$A$200,$B25,IMPORTED_NODAL!$B$2:$B$200,$B$3))</x:f>
      </x:c>
      <x:c r="F25" s="60" t="str">
        <x:f>IF($A25="","",IF($B$4="compression-negative",-E25,E25))</x:f>
      </x:c>
      <x:c r="G25" s="60" t="str">
        <x:f>IF($A25="","",IF(F25&gt;=0,"COMPRESSION","TENSION"))</x:f>
      </x:c>
      <x:c r="H25" s="60" t="str">
        <x:f>IF($A25="","",INDEX(PILE_POINTS!$D$2:$D$100,MATCH($A25,PILE_POINTS!$A$2:$A$100,0)))</x:f>
      </x:c>
      <x:c r="I25" s="60" t="str">
        <x:f>IF($A25="","",INDEX(PILE_POINTS!$E$2:$E$100,MATCH($A25,PILE_POINTS!$A$2:$A$100,0)))</x:f>
      </x:c>
      <x:c r="J25" s="60" t="str">
        <x:f>IF($A25="","",IF(G25="COMPRESSION",H25,I25))</x:f>
      </x:c>
      <x:c r="K25" s="60" t="str">
        <x:f>IF($A25="","",IF(G25="COMPRESSION",F25/H25,IF(I25&gt;0,ABS(F25)/I25,NA())))</x:f>
      </x:c>
      <x:c r="L25" s="60" t="str">
        <x:f>IF($A25="","",IF(G25="COMPRESSION",IF(K25&lt;=1,"PASS","FAIL"),IF(I25&lt;=0,"BLOCK",IF(K25&lt;=1,"PASS","FAIL"))))</x:f>
      </x:c>
      <x:c r="M25" s="29" t="str">
        <x:f>IF($A25="","",INDEX(PILE_POINTS!$F$2:$F$100,MATCH($A25,PILE_POINTS!$A$2:$A$100,0)))</x:f>
      </x:c>
      <x:c r="N25" s="29" t="str">
        <x:f>IF($A25="","",INDEX(PILE_POINTS!$G$2:$G$100,MATCH($A25,PILE_POINTS!$A$2:$A$100,0)))</x:f>
      </x:c>
      <x:c r="O25" s="29"/>
      <x:c r="P25" s="29"/>
      <x:c r="Q25" s="29"/>
    </x:row>
    <x:row r="26" ht="15" hidden="0" customHeight="1">
      <x:c r="A26" s="29" t="str">
        <x:f>IF(SPRING_ASSIGNMENTS!B19="","",SPRING_ASSIGNMENTS!B19)</x:f>
      </x:c>
      <x:c r="B26" s="29" t="str">
        <x:f>IF($A26="","",SPRING_ASSIGNMENTS!A19)</x:f>
      </x:c>
      <x:c r="C26" s="29" t="str">
        <x:f>IF($B26="","",INDEX(POINT_COORDINATES!$B$2:$B$100,MATCH($B26,POINT_COORDINATES!$A$2:$A$100,0)))</x:f>
      </x:c>
      <x:c r="D26" s="29" t="str">
        <x:f>IF($B26="","",INDEX(POINT_COORDINATES!$C$2:$C$100,MATCH($B26,POINT_COORDINATES!$A$2:$A$100,0)))</x:f>
      </x:c>
      <x:c r="E26" s="29" t="str">
        <x:f>IF($B26="","",SUMIFS(IMPORTED_NODAL!$E$2:$E$200,IMPORTED_NODAL!$A$2:$A$200,$B26,IMPORTED_NODAL!$B$2:$B$200,$B$3))</x:f>
      </x:c>
      <x:c r="F26" s="60" t="str">
        <x:f>IF($A26="","",IF($B$4="compression-negative",-E26,E26))</x:f>
      </x:c>
      <x:c r="G26" s="60" t="str">
        <x:f>IF($A26="","",IF(F26&gt;=0,"COMPRESSION","TENSION"))</x:f>
      </x:c>
      <x:c r="H26" s="60" t="str">
        <x:f>IF($A26="","",INDEX(PILE_POINTS!$D$2:$D$100,MATCH($A26,PILE_POINTS!$A$2:$A$100,0)))</x:f>
      </x:c>
      <x:c r="I26" s="60" t="str">
        <x:f>IF($A26="","",INDEX(PILE_POINTS!$E$2:$E$100,MATCH($A26,PILE_POINTS!$A$2:$A$100,0)))</x:f>
      </x:c>
      <x:c r="J26" s="60" t="str">
        <x:f>IF($A26="","",IF(G26="COMPRESSION",H26,I26))</x:f>
      </x:c>
      <x:c r="K26" s="60" t="str">
        <x:f>IF($A26="","",IF(G26="COMPRESSION",F26/H26,IF(I26&gt;0,ABS(F26)/I26,NA())))</x:f>
      </x:c>
      <x:c r="L26" s="60" t="str">
        <x:f>IF($A26="","",IF(G26="COMPRESSION",IF(K26&lt;=1,"PASS","FAIL"),IF(I26&lt;=0,"BLOCK",IF(K26&lt;=1,"PASS","FAIL"))))</x:f>
      </x:c>
      <x:c r="M26" s="29" t="str">
        <x:f>IF($A26="","",INDEX(PILE_POINTS!$F$2:$F$100,MATCH($A26,PILE_POINTS!$A$2:$A$100,0)))</x:f>
      </x:c>
      <x:c r="N26" s="29" t="str">
        <x:f>IF($A26="","",INDEX(PILE_POINTS!$G$2:$G$100,MATCH($A26,PILE_POINTS!$A$2:$A$100,0)))</x:f>
      </x:c>
      <x:c r="O26" s="29"/>
      <x:c r="P26" s="29"/>
      <x:c r="Q26" s="29"/>
    </x:row>
    <x:row r="27" ht="15" hidden="0" customHeight="1">
      <x:c r="A27" s="29" t="str">
        <x:f>IF(SPRING_ASSIGNMENTS!B20="","",SPRING_ASSIGNMENTS!B20)</x:f>
      </x:c>
      <x:c r="B27" s="29" t="str">
        <x:f>IF($A27="","",SPRING_ASSIGNMENTS!A20)</x:f>
      </x:c>
      <x:c r="C27" s="29" t="str">
        <x:f>IF($B27="","",INDEX(POINT_COORDINATES!$B$2:$B$100,MATCH($B27,POINT_COORDINATES!$A$2:$A$100,0)))</x:f>
      </x:c>
      <x:c r="D27" s="29" t="str">
        <x:f>IF($B27="","",INDEX(POINT_COORDINATES!$C$2:$C$100,MATCH($B27,POINT_COORDINATES!$A$2:$A$100,0)))</x:f>
      </x:c>
      <x:c r="E27" s="29" t="str">
        <x:f>IF($B27="","",SUMIFS(IMPORTED_NODAL!$E$2:$E$200,IMPORTED_NODAL!$A$2:$A$200,$B27,IMPORTED_NODAL!$B$2:$B$200,$B$3))</x:f>
      </x:c>
      <x:c r="F27" s="60" t="str">
        <x:f>IF($A27="","",IF($B$4="compression-negative",-E27,E27))</x:f>
      </x:c>
      <x:c r="G27" s="60" t="str">
        <x:f>IF($A27="","",IF(F27&gt;=0,"COMPRESSION","TENSION"))</x:f>
      </x:c>
      <x:c r="H27" s="60" t="str">
        <x:f>IF($A27="","",INDEX(PILE_POINTS!$D$2:$D$100,MATCH($A27,PILE_POINTS!$A$2:$A$100,0)))</x:f>
      </x:c>
      <x:c r="I27" s="60" t="str">
        <x:f>IF($A27="","",INDEX(PILE_POINTS!$E$2:$E$100,MATCH($A27,PILE_POINTS!$A$2:$A$100,0)))</x:f>
      </x:c>
      <x:c r="J27" s="60" t="str">
        <x:f>IF($A27="","",IF(G27="COMPRESSION",H27,I27))</x:f>
      </x:c>
      <x:c r="K27" s="60" t="str">
        <x:f>IF($A27="","",IF(G27="COMPRESSION",F27/H27,IF(I27&gt;0,ABS(F27)/I27,NA())))</x:f>
      </x:c>
      <x:c r="L27" s="60" t="str">
        <x:f>IF($A27="","",IF(G27="COMPRESSION",IF(K27&lt;=1,"PASS","FAIL"),IF(I27&lt;=0,"BLOCK",IF(K27&lt;=1,"PASS","FAIL"))))</x:f>
      </x:c>
      <x:c r="M27" s="29" t="str">
        <x:f>IF($A27="","",INDEX(PILE_POINTS!$F$2:$F$100,MATCH($A27,PILE_POINTS!$A$2:$A$100,0)))</x:f>
      </x:c>
      <x:c r="N27" s="29" t="str">
        <x:f>IF($A27="","",INDEX(PILE_POINTS!$G$2:$G$100,MATCH($A27,PILE_POINTS!$A$2:$A$100,0)))</x:f>
      </x:c>
      <x:c r="O27" s="29"/>
      <x:c r="P27" s="29"/>
      <x:c r="Q27" s="29"/>
    </x:row>
    <x:row r="28" ht="15" hidden="0" customHeight="1">
      <x:c r="A28" s="29" t="str">
        <x:f>IF(SPRING_ASSIGNMENTS!B21="","",SPRING_ASSIGNMENTS!B21)</x:f>
      </x:c>
      <x:c r="B28" s="29" t="str">
        <x:f>IF($A28="","",SPRING_ASSIGNMENTS!A21)</x:f>
      </x:c>
      <x:c r="C28" s="29" t="str">
        <x:f>IF($B28="","",INDEX(POINT_COORDINATES!$B$2:$B$100,MATCH($B28,POINT_COORDINATES!$A$2:$A$100,0)))</x:f>
      </x:c>
      <x:c r="D28" s="29" t="str">
        <x:f>IF($B28="","",INDEX(POINT_COORDINATES!$C$2:$C$100,MATCH($B28,POINT_COORDINATES!$A$2:$A$100,0)))</x:f>
      </x:c>
      <x:c r="E28" s="29" t="str">
        <x:f>IF($B28="","",SUMIFS(IMPORTED_NODAL!$E$2:$E$200,IMPORTED_NODAL!$A$2:$A$200,$B28,IMPORTED_NODAL!$B$2:$B$200,$B$3))</x:f>
      </x:c>
      <x:c r="F28" s="60" t="str">
        <x:f>IF($A28="","",IF($B$4="compression-negative",-E28,E28))</x:f>
      </x:c>
      <x:c r="G28" s="60" t="str">
        <x:f>IF($A28="","",IF(F28&gt;=0,"COMPRESSION","TENSION"))</x:f>
      </x:c>
      <x:c r="H28" s="60" t="str">
        <x:f>IF($A28="","",INDEX(PILE_POINTS!$D$2:$D$100,MATCH($A28,PILE_POINTS!$A$2:$A$100,0)))</x:f>
      </x:c>
      <x:c r="I28" s="60" t="str">
        <x:f>IF($A28="","",INDEX(PILE_POINTS!$E$2:$E$100,MATCH($A28,PILE_POINTS!$A$2:$A$100,0)))</x:f>
      </x:c>
      <x:c r="J28" s="60" t="str">
        <x:f>IF($A28="","",IF(G28="COMPRESSION",H28,I28))</x:f>
      </x:c>
      <x:c r="K28" s="60" t="str">
        <x:f>IF($A28="","",IF(G28="COMPRESSION",F28/H28,IF(I28&gt;0,ABS(F28)/I28,NA())))</x:f>
      </x:c>
      <x:c r="L28" s="60" t="str">
        <x:f>IF($A28="","",IF(G28="COMPRESSION",IF(K28&lt;=1,"PASS","FAIL"),IF(I28&lt;=0,"BLOCK",IF(K28&lt;=1,"PASS","FAIL"))))</x:f>
      </x:c>
      <x:c r="M28" s="29" t="str">
        <x:f>IF($A28="","",INDEX(PILE_POINTS!$F$2:$F$100,MATCH($A28,PILE_POINTS!$A$2:$A$100,0)))</x:f>
      </x:c>
      <x:c r="N28" s="29" t="str">
        <x:f>IF($A28="","",INDEX(PILE_POINTS!$G$2:$G$100,MATCH($A28,PILE_POINTS!$A$2:$A$100,0)))</x:f>
      </x:c>
      <x:c r="O28" s="29"/>
      <x:c r="P28" s="29"/>
      <x:c r="Q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</x:row>
  </x:sheetData>
  <x:mergeCells>
    <x:mergeCell ref="A1:N1"/>
  </x:mergeCells>
  <x:conditionalFormatting sqref="L9:L28">
    <x:cfRule type="expression" dxfId="0" priority="1">
      <x:formula>L9="PASS"</x:formula>
    </x:cfRule>
    <x:cfRule type="expression" dxfId="1" priority="2">
      <x:formula>OR(L9="FAIL",L9="BLOCK")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6" hidden="0" customWidth="1"/>
    <x:col min="4" max="4" width="30" hidden="0" customWidth="1"/>
    <x:col min="5" max="5" width="38" hidden="0" customWidth="1"/>
    <x:col min="6" max="6" width="24" hidden="0" customWidth="1"/>
    <x:col min="7" max="7" width="26" hidden="0" customWidth="1"/>
    <x:col min="8" max="8" width="24" hidden="0" customWidth="1"/>
    <x:col min="9" max="9" width="22" hidden="0" customWidth="1"/>
    <x:col min="10" max="10" width="22" hidden="0" customWidth="1"/>
    <x:col min="11" max="11" width="20" hidden="0" customWidth="1"/>
    <x:col min="12" max="12" width="34" hidden="0" customWidth="1"/>
  </x:cols>
  <x:sheetData>
    <x:row r="1" ht="39.599998474121094" hidden="0" customHeight="1">
      <x:c r="A1" s="65" t="str">
        <x:v>Order</x:v>
      </x:c>
      <x:c r="B1" s="65" t="str">
        <x:v>Block</x:v>
      </x:c>
      <x:c r="C1" s="65" t="str">
        <x:v>Purpose</x:v>
      </x:c>
      <x:c r="D1" s="65" t="str">
        <x:v>Primary Input</x:v>
      </x:c>
      <x:c r="E1" s="65" t="str">
        <x:v>Dependency/Logic</x:v>
      </x:c>
      <x:c r="F1" s="65" t="str">
        <x:v>Output</x:v>
      </x:c>
      <x:c r="G1" s="65" t="str">
        <x:v>Authority</x:v>
      </x:c>
      <x:c r="H1" s="65" t="str">
        <x:v>HNL Status</x:v>
      </x:c>
      <x:c r="I1" s="65" t="str">
        <x:v>XLSM Cell/Range</x:v>
      </x:c>
      <x:c r="J1" s="65" t="str">
        <x:v>Formula Count/Block</x:v>
      </x:c>
      <x:c r="K1" s="65" t="str">
        <x:v>Confidence</x:v>
      </x:c>
      <x:c r="L1" s="65" t="str">
        <x:v>Lock Requirement</x:v>
      </x:c>
      <x:c r="M1" s="29"/>
      <x:c r="N1" s="29"/>
      <x:c r="O1" s="29"/>
      <x:c r="P1" s="29"/>
      <x:c r="Q1" s="29"/>
      <x:c r="R1" s="29"/>
    </x:row>
    <x:row r="2" ht="118.80000305175781" hidden="0" customHeight="1">
      <x:c r="A2" s="29" t="n">
        <x:v>1</x:v>
      </x:c>
      <x:c r="B2" s="29" t="str">
        <x:v>JOIN</x:v>
      </x:c>
      <x:c r="C2" s="29" t="str">
        <x:v>Ghép dữ liệu cọc/nút/tổ hợp</x:v>
      </x:c>
      <x:c r="D2" s="29" t="str">
        <x:v>Point Coordinates; Point Spring Assignments; Nodal Reactions</x:v>
      </x:c>
      <x:c r="E2" s="29" t="str">
        <x:v>pointId→coordinate; pointId→spring→pileId; pointId+combinationId→reaction</x:v>
      </x:c>
      <x:c r="F2" s="29" t="str">
        <x:v>Joined pile-point-reaction row</x:v>
      </x:c>
      <x:c r="G2" s="29" t="str">
        <x:v>DCE workflow evidence</x:v>
      </x:c>
      <x:c r="H2" s="66" t="str">
        <x:v>REVIEW</x:v>
      </x:c>
      <x:c r="I2" s="29" t="str">
        <x:v>PENDING_CELL_INVENTORY</x:v>
      </x:c>
      <x:c r="J2" s="29" t="str">
        <x:v>PENDING_CELL_INVENTORY</x:v>
      </x:c>
      <x:c r="K2" s="29" t="str">
        <x:v>HIGH_WORKFLOW</x:v>
      </x:c>
      <x:c r="L2" s="29" t="str">
        <x:v>Exact XLSM cell mapping + duplicate/missing policy benchmark</x:v>
      </x:c>
      <x:c r="M2" s="29"/>
      <x:c r="N2" s="29"/>
      <x:c r="O2" s="29"/>
      <x:c r="P2" s="29"/>
      <x:c r="Q2" s="29"/>
      <x:c r="R2" s="29"/>
    </x:row>
    <x:row r="3" ht="132" hidden="0" customHeight="1">
      <x:c r="A3" s="29" t="n">
        <x:v>2</x:v>
      </x:c>
      <x:c r="B3" s="29" t="str">
        <x:v>ACTION</x:v>
      </x:c>
      <x:c r="C3" s="29" t="str">
        <x:v>Chuẩn hóa phản lực đứng</x:v>
      </x:c>
      <x:c r="D3" s="29" t="str">
        <x:v>Raw Fz + sign convention</x:v>
      </x:c>
      <x:c r="E3" s="29" t="str">
        <x:v>Fz raw → demand compression/tension; Fx/Fy/Mx/My/Mz retained as metadata</x:v>
      </x:c>
      <x:c r="F3" s="29" t="str">
        <x:v>demandKn + checkType</x:v>
      </x:c>
      <x:c r="G3" s="29" t="str">
        <x:v>ETABS/SAP schema + HNL contract</x:v>
      </x:c>
      <x:c r="H3" s="66" t="str">
        <x:v>REVIEW</x:v>
      </x:c>
      <x:c r="I3" s="29" t="str">
        <x:v>PENDING_CELL_INVENTORY</x:v>
      </x:c>
      <x:c r="J3" s="29" t="str">
        <x:v>PENDING_CELL_INVENTORY</x:v>
      </x:c>
      <x:c r="K3" s="29" t="str">
        <x:v>HIGH_SCHEMA</x:v>
      </x:c>
      <x:c r="L3" s="29" t="str">
        <x:v>Verify exact workbook sign convention and combo filtering</x:v>
      </x:c>
      <x:c r="M3" s="29"/>
      <x:c r="N3" s="29"/>
      <x:c r="O3" s="29"/>
      <x:c r="P3" s="29"/>
      <x:c r="Q3" s="29"/>
      <x:c r="R3" s="29"/>
    </x:row>
    <x:row r="4" ht="132" hidden="0" customHeight="1">
      <x:c r="A4" s="29" t="n">
        <x:v>3</x:v>
      </x:c>
      <x:c r="B4" s="29" t="str">
        <x:v>CAPACITY</x:v>
      </x:c>
      <x:c r="C4" s="29" t="str">
        <x:v>Chọn sức chịu tải áp dụng</x:v>
      </x:c>
      <x:c r="D4" s="29" t="str">
        <x:v>pileId + upstream capacity</x:v>
      </x:c>
      <x:c r="E4" s="29" t="str">
        <x:v>Compression→verified Rpile/Rd basis; Tension→separate verified tension capacity</x:v>
      </x:c>
      <x:c r="F4" s="29" t="str">
        <x:v>capacityUsedKn</x:v>
      </x:c>
      <x:c r="G4" s="29" t="str">
        <x:v>HNL VERIFIED upstream + XLSM Rd input evidence</x:v>
      </x:c>
      <x:c r="H4" s="66" t="str">
        <x:v>MIXED: upstream VERIFIED / mapping REVIEW</x:v>
      </x:c>
      <x:c r="I4" s="29" t="str">
        <x:v>PENDING_CELL_INVENTORY</x:v>
      </x:c>
      <x:c r="J4" s="29" t="str">
        <x:v>PENDING_CELL_INVENTORY</x:v>
      </x:c>
      <x:c r="K4" s="29" t="str">
        <x:v>MEDIUM_XLSM_HIGH_HNL</x:v>
      </x:c>
      <x:c r="L4" s="29" t="str">
        <x:v>Verify exact workbook capacity basis; never infer uplift from compression</x:v>
      </x:c>
      <x:c r="M4" s="29"/>
      <x:c r="N4" s="29"/>
      <x:c r="O4" s="29"/>
      <x:c r="P4" s="29"/>
      <x:c r="Q4" s="29"/>
      <x:c r="R4" s="29"/>
    </x:row>
    <x:row r="5" ht="118.80000305175781" hidden="0" customHeight="1">
      <x:c r="A5" s="29" t="n">
        <x:v>4</x:v>
      </x:c>
      <x:c r="B5" s="29" t="str">
        <x:v>UTILIZATION</x:v>
      </x:c>
      <x:c r="C5" s="29" t="str">
        <x:v>Tính hệ số sử dụng</x:v>
      </x:c>
      <x:c r="D5" s="29" t="str">
        <x:v>demand + capacity</x:v>
      </x:c>
      <x:c r="E5" s="29" t="str">
        <x:v>Compression demand/capacity; Tension |demand|/verified tension capacity</x:v>
      </x:c>
      <x:c r="F5" s="29" t="str">
        <x:v>utilization</x:v>
      </x:c>
      <x:c r="G5" s="29" t="str">
        <x:v>DCE workflow evidence + deterministic HNL</x:v>
      </x:c>
      <x:c r="H5" s="66" t="str">
        <x:v>REVIEW</x:v>
      </x:c>
      <x:c r="I5" s="29" t="str">
        <x:v>PENDING_CELL_INVENTORY</x:v>
      </x:c>
      <x:c r="J5" s="29" t="str">
        <x:v>PENDING_CELL_INVENTORY</x:v>
      </x:c>
      <x:c r="K5" s="29" t="str">
        <x:v>HIGH_WORKFLOW</x:v>
      </x:c>
      <x:c r="L5" s="29" t="str">
        <x:v>Exact XLSM formula/operator/boundary benchmark</x:v>
      </x:c>
      <x:c r="M5" s="29"/>
      <x:c r="N5" s="29"/>
      <x:c r="O5" s="29"/>
      <x:c r="P5" s="29"/>
      <x:c r="Q5" s="29"/>
      <x:c r="R5" s="29"/>
    </x:row>
    <x:row r="6" ht="145.1999969482422" hidden="0" customHeight="1">
      <x:c r="A6" s="29" t="n">
        <x:v>5</x:v>
      </x:c>
      <x:c r="B6" s="29" t="str">
        <x:v>STATUS</x:v>
      </x:c>
      <x:c r="C6" s="29" t="str">
        <x:v>Kết luận từng cọc và governing</x:v>
      </x:c>
      <x:c r="D6" s="29" t="str">
        <x:v>utilization + data completeness</x:v>
      </x:c>
      <x:c r="E6" s="29" t="str">
        <x:v>≤1 PASS; &gt;1 FAIL; missing critical data/tension capacity BLOCK; max utilization governs</x:v>
      </x:c>
      <x:c r="F6" s="29" t="str">
        <x:v>PASS/FAIL/BLOCK + governing pile/combo</x:v>
      </x:c>
      <x:c r="G6" s="29" t="str">
        <x:v>DCE per-pile output evidence + HNL safety policy</x:v>
      </x:c>
      <x:c r="H6" s="66" t="str">
        <x:v>REVIEW</x:v>
      </x:c>
      <x:c r="I6" s="29" t="str">
        <x:v>PENDING_CELL_INVENTORY</x:v>
      </x:c>
      <x:c r="J6" s="29" t="str">
        <x:v>PENDING_CELL_INVENTORY</x:v>
      </x:c>
      <x:c r="K6" s="29" t="str">
        <x:v>HIGH_OUTPUT</x:v>
      </x:c>
      <x:c r="L6" s="29" t="str">
        <x:v>Exact workbook status text/boundary/governing behavior benchmark</x:v>
      </x:c>
      <x:c r="M6" s="29"/>
      <x:c r="N6" s="29"/>
      <x:c r="O6" s="29"/>
      <x:c r="P6" s="29"/>
      <x:c r="Q6" s="29"/>
      <x:c r="R6" s="29"/>
    </x:row>
    <x:row r="7" ht="15" hidden="0" customHeight="1">
      <x:c r="A7" s="29"/>
      <x:c r="B7" s="29"/>
      <x:c r="C7" s="29"/>
      <x:c r="D7" s="29"/>
      <x:c r="E7" s="29"/>
      <x:c r="F7" s="29"/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/>
      <x:c r="R7" s="29"/>
    </x:row>
    <x:row r="8" ht="26.399999618530273" hidden="0" customHeight="1">
      <x:c r="A8" s="65" t="str">
        <x:v>Evidence Item</x:v>
      </x:c>
      <x:c r="B8" s="65" t="str">
        <x:v>Value</x:v>
      </x:c>
      <x:c r="C8" s="65" t="str">
        <x:v>Status</x:v>
      </x:c>
      <x:c r="D8" s="65" t="str">
        <x:v>Note</x:v>
      </x:c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/>
      <x:c r="R8" s="29"/>
    </x:row>
    <x:row r="9" ht="52.79999923706055" hidden="0" customHeight="1">
      <x:c r="A9" s="29" t="str">
        <x:v>TM SCT Coc total formulas</x:v>
      </x:c>
      <x:c r="B9" s="29" t="n">
        <x:v>6082</x:v>
      </x:c>
      <x:c r="C9" s="29" t="str">
        <x:v>CONFIRMED</x:v>
      </x:c>
      <x:c r="D9" s="29" t="str">
        <x:v>Workbook reverse engineering</x:v>
      </x:c>
      <x:c r="E9" s="29"/>
      <x:c r="F9" s="29"/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/>
      <x:c r="R9" s="29"/>
    </x:row>
    <x:row r="10" ht="66" hidden="0" customHeight="1">
      <x:c r="A10" s="29" t="str">
        <x:v>TM SCT Coc UDF/XLL</x:v>
      </x:c>
      <x:c r="B10" s="29" t="n">
        <x:v>0</x:v>
      </x:c>
      <x:c r="C10" s="29" t="str">
        <x:v>CONFIRMED</x:v>
      </x:c>
      <x:c r="D10" s="29" t="str">
        <x:v>No hidden UDF dependency in this sheet</x:v>
      </x:c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/>
      <x:c r="R10" s="29"/>
    </x:row>
    <x:row r="11" ht="66" hidden="0" customHeight="1">
      <x:c r="A11" s="29" t="str">
        <x:v>Per-block formula counts</x:v>
      </x:c>
      <x:c r="B11" s="29" t="str">
        <x:v>—</x:v>
      </x:c>
      <x:c r="C11" s="29" t="str">
        <x:v>PENDING</x:v>
      </x:c>
      <x:c r="D11" s="29" t="str">
        <x:v>Not fabricated without cell inventory</x:v>
      </x:c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</x:row>
    <x:row r="12" ht="66" hidden="0" customHeight="1">
      <x:c r="A12" s="29" t="str">
        <x:v>Exact cell/range mapping</x:v>
      </x:c>
      <x:c r="B12" s="29" t="str">
        <x:v>—</x:v>
      </x:c>
      <x:c r="C12" s="29" t="str">
        <x:v>PENDING</x:v>
      </x:c>
      <x:c r="D12" s="29" t="str">
        <x:v>Required before XLSM-equivalence LOCK</x:v>
      </x:c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</x:row>
    <x:row r="13" ht="79.19999694824219" hidden="0" customHeight="1">
      <x:c r="A13" s="29" t="str">
        <x:v>Pattern reconstruction</x:v>
      </x:c>
      <x:c r="B13" s="29" t="str">
        <x:v>JOIN→ACTION→CAPACITY→UTILIZATION→STATUS</x:v>
      </x:c>
      <x:c r="C13" s="29" t="str">
        <x:v>PASS</x:v>
      </x:c>
      <x:c r="D13" s="29" t="str">
        <x:v>Logical dependency reconstruction</x:v>
      </x:c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</x:row>
    <x:row r="14" ht="15" hidden="0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29"/>
      <x:c r="M14" s="29"/>
      <x:c r="N14" s="29"/>
      <x:c r="O14" s="29"/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0" hidden="0" customWidth="1"/>
    <x:col min="4" max="4" width="10" hidden="0" customWidth="1"/>
    <x:col min="5" max="5" width="12" hidden="0" customWidth="1"/>
    <x:col min="6" max="6" width="22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14" hidden="0" customWidth="1"/>
    <x:col min="12" max="12" width="16" hidden="0" customWidth="1"/>
    <x:col min="13" max="13" width="18" hidden="0" customWidth="1"/>
    <x:col min="14" max="14" width="28" hidden="0" customWidth="1"/>
    <x:col min="15" max="15" width="22" hidden="0" customWidth="1"/>
    <x:col min="17" max="17" width="24" hidden="0" customWidth="1"/>
    <x:col min="18" max="18" width="28" hidden="0" customWidth="1"/>
  </x:cols>
  <x:sheetData>
    <x:row r="1" ht="26.399999618530273" hidden="0" customHeight="1">
      <x:c r="A1" s="65" t="str">
        <x:v>Fixture</x:v>
      </x:c>
      <x:c r="B1" s="65" t="str">
        <x:v>Combo</x:v>
      </x:c>
      <x:c r="C1" s="65" t="str">
        <x:v>Point</x:v>
      </x:c>
      <x:c r="D1" s="65" t="str">
        <x:v>Pile</x:v>
      </x:c>
      <x:c r="E1" s="65" t="str">
        <x:v>Raw Fz</x:v>
      </x:c>
      <x:c r="F1" s="65" t="str">
        <x:v>Sign</x:v>
      </x:c>
      <x:c r="G1" s="65" t="str">
        <x:v>Expected Demand</x:v>
      </x:c>
      <x:c r="H1" s="65" t="str">
        <x:v>Check Type</x:v>
      </x:c>
      <x:c r="I1" s="65" t="str">
        <x:v>Compression Cap</x:v>
      </x:c>
      <x:c r="J1" s="65" t="str">
        <x:v>Tension Cap</x:v>
      </x:c>
      <x:c r="K1" s="65" t="str">
        <x:v>Expected Util</x:v>
      </x:c>
      <x:c r="L1" s="65" t="str">
        <x:v>Expected Status</x:v>
      </x:c>
      <x:c r="M1" s="65" t="str">
        <x:v>Block</x:v>
      </x:c>
      <x:c r="N1" s="65" t="str">
        <x:v>Purpose</x:v>
      </x:c>
      <x:c r="O1" s="65" t="str">
        <x:v>XLSM Status</x:v>
      </x:c>
      <x:c r="P1" s="29"/>
      <x:c r="Q1" s="65" t="str">
        <x:v>Golden Summary</x:v>
      </x:c>
      <x:c r="R1" s="65" t="str">
        <x:v>Value</x:v>
      </x:c>
    </x:row>
    <x:row r="2" ht="52.79999923706055" hidden="0" customHeight="1">
      <x:c r="A2" s="29" t="str">
        <x:v>IMPORT-001</x:v>
      </x:c>
      <x:c r="B2" s="29" t="str">
        <x:v>C1</x:v>
      </x:c>
      <x:c r="C2" s="29" t="str">
        <x:v>N1</x:v>
      </x:c>
      <x:c r="D2" s="29" t="str">
        <x:v>P1</x:v>
      </x:c>
      <x:c r="E2" s="29" t="n">
        <x:v>-400</x:v>
      </x:c>
      <x:c r="F2" s="29" t="str">
        <x:v>compression-negative</x:v>
      </x:c>
      <x:c r="G2" s="29" t="n">
        <x:v>400</x:v>
      </x:c>
      <x:c r="H2" s="29" t="str">
        <x:v>COMPRESSION</x:v>
      </x:c>
      <x:c r="I2" s="29" t="n">
        <x:v>800</x:v>
      </x:c>
      <x:c r="J2" s="29" t="n">
        <x:v>200</x:v>
      </x:c>
      <x:c r="K2" s="29" t="n">
        <x:v>0.5</x:v>
      </x:c>
      <x:c r="L2" s="29" t="str">
        <x:v>PASS</x:v>
      </x:c>
      <x:c r="M2" s="29" t="str">
        <x:v>ALL</x:v>
      </x:c>
      <x:c r="N2" s="29" t="str">
        <x:v>Normal compression</x:v>
      </x:c>
      <x:c r="O2" s="29" t="str">
        <x:v>NOT CELL-BENCHMARKED</x:v>
      </x:c>
      <x:c r="P2" s="29"/>
      <x:c r="Q2" s="29" t="str">
        <x:v>Pass 4 total tests</x:v>
      </x:c>
      <x:c r="R2" s="29" t="str">
        <x:v>51/51 PASS</x:v>
      </x:c>
    </x:row>
    <x:row r="3" ht="52.79999923706055" hidden="0" customHeight="1">
      <x:c r="A3" s="29" t="str">
        <x:v>IMPORT-001</x:v>
      </x:c>
      <x:c r="B3" s="29" t="str">
        <x:v>C1</x:v>
      </x:c>
      <x:c r="C3" s="29" t="str">
        <x:v>N2</x:v>
      </x:c>
      <x:c r="D3" s="29" t="str">
        <x:v>P2</x:v>
      </x:c>
      <x:c r="E3" s="29" t="n">
        <x:v>-500</x:v>
      </x:c>
      <x:c r="F3" s="29" t="str">
        <x:v>compression-negative</x:v>
      </x:c>
      <x:c r="G3" s="29" t="n">
        <x:v>500</x:v>
      </x:c>
      <x:c r="H3" s="29" t="str">
        <x:v>COMPRESSION</x:v>
      </x:c>
      <x:c r="I3" s="29" t="n">
        <x:v>800</x:v>
      </x:c>
      <x:c r="J3" s="29" t="n">
        <x:v>200</x:v>
      </x:c>
      <x:c r="K3" s="29" t="n">
        <x:v>0.625</x:v>
      </x:c>
      <x:c r="L3" s="29" t="str">
        <x:v>PASS</x:v>
      </x:c>
      <x:c r="M3" s="29" t="str">
        <x:v>ALL</x:v>
      </x:c>
      <x:c r="N3" s="29" t="str">
        <x:v>Normal compression</x:v>
      </x:c>
      <x:c r="O3" s="29" t="str">
        <x:v>NOT CELL-BENCHMARKED</x:v>
      </x:c>
      <x:c r="P3" s="29"/>
      <x:c r="Q3" s="29" t="str">
        <x:v>Pattern tests</x:v>
      </x:c>
      <x:c r="R3" s="29" t="str">
        <x:v>15/15 PASS</x:v>
      </x:c>
    </x:row>
    <x:row r="4" ht="52.79999923706055" hidden="0" customHeight="1">
      <x:c r="A4" s="29" t="str">
        <x:v>IMPORT-001</x:v>
      </x:c>
      <x:c r="B4" s="29" t="str">
        <x:v>C1</x:v>
      </x:c>
      <x:c r="C4" s="29" t="str">
        <x:v>N3</x:v>
      </x:c>
      <x:c r="D4" s="29" t="str">
        <x:v>P3</x:v>
      </x:c>
      <x:c r="E4" s="29" t="n">
        <x:v>-600</x:v>
      </x:c>
      <x:c r="F4" s="29" t="str">
        <x:v>compression-negative</x:v>
      </x:c>
      <x:c r="G4" s="29" t="n">
        <x:v>600</x:v>
      </x:c>
      <x:c r="H4" s="29" t="str">
        <x:v>COMPRESSION</x:v>
      </x:c>
      <x:c r="I4" s="29" t="n">
        <x:v>800</x:v>
      </x:c>
      <x:c r="J4" s="29" t="n">
        <x:v>200</x:v>
      </x:c>
      <x:c r="K4" s="29" t="n">
        <x:v>0.75</x:v>
      </x:c>
      <x:c r="L4" s="29" t="str">
        <x:v>PASS</x:v>
      </x:c>
      <x:c r="M4" s="29" t="str">
        <x:v>ALL</x:v>
      </x:c>
      <x:c r="N4" s="29" t="str">
        <x:v>Normal compression</x:v>
      </x:c>
      <x:c r="O4" s="29" t="str">
        <x:v>NOT CELL-BENCHMARKED</x:v>
      </x:c>
      <x:c r="P4" s="29"/>
      <x:c r="Q4" s="29" t="str">
        <x:v>Imported checker tests</x:v>
      </x:c>
      <x:c r="R4" s="29" t="str">
        <x:v>12/12 PASS</x:v>
      </x:c>
    </x:row>
    <x:row r="5" ht="52.79999923706055" hidden="0" customHeight="1">
      <x:c r="A5" s="29" t="str">
        <x:v>IMPORT-001</x:v>
      </x:c>
      <x:c r="B5" s="29" t="str">
        <x:v>C1</x:v>
      </x:c>
      <x:c r="C5" s="29" t="str">
        <x:v>N4</x:v>
      </x:c>
      <x:c r="D5" s="29" t="str">
        <x:v>P4</x:v>
      </x:c>
      <x:c r="E5" s="29" t="n">
        <x:v>-700</x:v>
      </x:c>
      <x:c r="F5" s="29" t="str">
        <x:v>compression-negative</x:v>
      </x:c>
      <x:c r="G5" s="29" t="n">
        <x:v>700</x:v>
      </x:c>
      <x:c r="H5" s="29" t="str">
        <x:v>COMPRESSION</x:v>
      </x:c>
      <x:c r="I5" s="29" t="n">
        <x:v>800</x:v>
      </x:c>
      <x:c r="J5" s="29" t="n">
        <x:v>200</x:v>
      </x:c>
      <x:c r="K5" s="29" t="n">
        <x:v>0.875</x:v>
      </x:c>
      <x:c r="L5" s="29" t="str">
        <x:v>PASS</x:v>
      </x:c>
      <x:c r="M5" s="29" t="str">
        <x:v>ALL</x:v>
      </x:c>
      <x:c r="N5" s="29" t="str">
        <x:v>Governing row</x:v>
      </x:c>
      <x:c r="O5" s="29" t="str">
        <x:v>NOT CELL-BENCHMARKED</x:v>
      </x:c>
      <x:c r="P5" s="29"/>
      <x:c r="Q5" s="29" t="str">
        <x:v>Analytical/boundary tests</x:v>
      </x:c>
      <x:c r="R5" s="29" t="str">
        <x:v>24/24 PASS</x:v>
      </x:c>
    </x:row>
    <x:row r="6" ht="52.79999923706055" hidden="0" customHeight="1">
      <x:c r="A6" s="29" t="str">
        <x:v>IMPORT-001</x:v>
      </x:c>
      <x:c r="B6" s="29" t="str">
        <x:v>C2</x:v>
      </x:c>
      <x:c r="C6" s="29" t="str">
        <x:v>N1</x:v>
      </x:c>
      <x:c r="D6" s="29" t="str">
        <x:v>P1</x:v>
      </x:c>
      <x:c r="E6" s="29" t="n">
        <x:v>-300</x:v>
      </x:c>
      <x:c r="F6" s="29" t="str">
        <x:v>compression-negative</x:v>
      </x:c>
      <x:c r="G6" s="29" t="n">
        <x:v>300</x:v>
      </x:c>
      <x:c r="H6" s="29" t="str">
        <x:v>COMPRESSION</x:v>
      </x:c>
      <x:c r="I6" s="29" t="n">
        <x:v>800</x:v>
      </x:c>
      <x:c r="J6" s="29" t="n">
        <x:v>200</x:v>
      </x:c>
      <x:c r="K6" s="29" t="n">
        <x:v>0.375</x:v>
      </x:c>
      <x:c r="L6" s="29" t="str">
        <x:v>PASS</x:v>
      </x:c>
      <x:c r="M6" s="29" t="str">
        <x:v>ALL</x:v>
      </x:c>
      <x:c r="N6" s="29" t="str">
        <x:v>Second combination</x:v>
      </x:c>
      <x:c r="O6" s="29" t="str">
        <x:v>NOT CELL-BENCHMARKED</x:v>
      </x:c>
      <x:c r="P6" s="29"/>
      <x:c r="Q6" s="29" t="str">
        <x:v>Expected governing</x:v>
      </x:c>
      <x:c r="R6" s="29" t="str">
        <x:v>C1 / P4 / util=0.875</x:v>
      </x:c>
    </x:row>
    <x:row r="7" ht="66" hidden="0" customHeight="1">
      <x:c r="A7" s="29" t="str">
        <x:v>IMPORT-001</x:v>
      </x:c>
      <x:c r="B7" s="29" t="str">
        <x:v>C2</x:v>
      </x:c>
      <x:c r="C7" s="29" t="str">
        <x:v>N2</x:v>
      </x:c>
      <x:c r="D7" s="29" t="str">
        <x:v>P2</x:v>
      </x:c>
      <x:c r="E7" s="29" t="n">
        <x:v>-350</x:v>
      </x:c>
      <x:c r="F7" s="29" t="str">
        <x:v>compression-negative</x:v>
      </x:c>
      <x:c r="G7" s="29" t="n">
        <x:v>350</x:v>
      </x:c>
      <x:c r="H7" s="29" t="str">
        <x:v>COMPRESSION</x:v>
      </x:c>
      <x:c r="I7" s="29" t="n">
        <x:v>800</x:v>
      </x:c>
      <x:c r="J7" s="29" t="n">
        <x:v>200</x:v>
      </x:c>
      <x:c r="K7" s="29" t="n">
        <x:v>0.4375</x:v>
      </x:c>
      <x:c r="L7" s="29" t="str">
        <x:v>PASS</x:v>
      </x:c>
      <x:c r="M7" s="29" t="str">
        <x:v>ALL</x:v>
      </x:c>
      <x:c r="N7" s="29" t="str">
        <x:v>Second combination</x:v>
      </x:c>
      <x:c r="O7" s="29" t="str">
        <x:v>NOT CELL-BENCHMARKED</x:v>
      </x:c>
      <x:c r="P7" s="29"/>
      <x:c r="Q7" s="29" t="str">
        <x:v>Promotion</x:v>
      </x:c>
      <x:c r="R7" s="29" t="str">
        <x:v>REVIEW until XLSM cell-level benchmark</x:v>
      </x:c>
    </x:row>
    <x:row r="8" ht="52.79999923706055" hidden="0" customHeight="1">
      <x:c r="A8" s="29" t="str">
        <x:v>IMPORT-001</x:v>
      </x:c>
      <x:c r="B8" s="29" t="str">
        <x:v>C2</x:v>
      </x:c>
      <x:c r="C8" s="29" t="str">
        <x:v>N3</x:v>
      </x:c>
      <x:c r="D8" s="29" t="str">
        <x:v>P3</x:v>
      </x:c>
      <x:c r="E8" s="29" t="n">
        <x:v>-650</x:v>
      </x:c>
      <x:c r="F8" s="29" t="str">
        <x:v>compression-negative</x:v>
      </x:c>
      <x:c r="G8" s="29" t="n">
        <x:v>650</x:v>
      </x:c>
      <x:c r="H8" s="29" t="str">
        <x:v>COMPRESSION</x:v>
      </x:c>
      <x:c r="I8" s="29" t="n">
        <x:v>800</x:v>
      </x:c>
      <x:c r="J8" s="29" t="n">
        <x:v>200</x:v>
      </x:c>
      <x:c r="K8" s="29" t="n">
        <x:v>0.8125</x:v>
      </x:c>
      <x:c r="L8" s="29" t="str">
        <x:v>PASS</x:v>
      </x:c>
      <x:c r="M8" s="29" t="str">
        <x:v>ALL</x:v>
      </x:c>
      <x:c r="N8" s="29" t="str">
        <x:v>Second combination</x:v>
      </x:c>
      <x:c r="O8" s="29" t="str">
        <x:v>NOT CELL-BENCHMARKED</x:v>
      </x:c>
      <x:c r="P8" s="29"/>
      <x:c r="Q8" s="29"/>
      <x:c r="R8" s="29"/>
    </x:row>
    <x:row r="9" ht="52.79999923706055" hidden="0" customHeight="1">
      <x:c r="A9" s="29" t="str">
        <x:v>IMPORT-001</x:v>
      </x:c>
      <x:c r="B9" s="29" t="str">
        <x:v>C2</x:v>
      </x:c>
      <x:c r="C9" s="29" t="str">
        <x:v>N4</x:v>
      </x:c>
      <x:c r="D9" s="29" t="str">
        <x:v>P4</x:v>
      </x:c>
      <x:c r="E9" s="29" t="n">
        <x:v>-400</x:v>
      </x:c>
      <x:c r="F9" s="29" t="str">
        <x:v>compression-negative</x:v>
      </x:c>
      <x:c r="G9" s="29" t="n">
        <x:v>400</x:v>
      </x:c>
      <x:c r="H9" s="29" t="str">
        <x:v>COMPRESSION</x:v>
      </x:c>
      <x:c r="I9" s="29" t="n">
        <x:v>800</x:v>
      </x:c>
      <x:c r="J9" s="29" t="n">
        <x:v>200</x:v>
      </x:c>
      <x:c r="K9" s="29" t="n">
        <x:v>0.5</x:v>
      </x:c>
      <x:c r="L9" s="29" t="str">
        <x:v>PASS</x:v>
      </x:c>
      <x:c r="M9" s="29" t="str">
        <x:v>ALL</x:v>
      </x:c>
      <x:c r="N9" s="29" t="str">
        <x:v>Second combination</x:v>
      </x:c>
      <x:c r="O9" s="29" t="str">
        <x:v>NOT CELL-BENCHMARKED</x:v>
      </x:c>
      <x:c r="P9" s="29"/>
      <x:c r="Q9" s="29"/>
      <x:c r="R9" s="29"/>
    </x:row>
    <x:row r="10" ht="52.79999923706055" hidden="0" customHeight="1">
      <x:c r="A10" s="29" t="str">
        <x:v>BOUNDARY-001</x:v>
      </x:c>
      <x:c r="B10" s="29" t="str">
        <x:v>B1</x:v>
      </x:c>
      <x:c r="C10" s="29" t="str">
        <x:v>N1</x:v>
      </x:c>
      <x:c r="D10" s="29" t="str">
        <x:v>P1</x:v>
      </x:c>
      <x:c r="E10" s="29" t="n">
        <x:v>-800</x:v>
      </x:c>
      <x:c r="F10" s="29" t="str">
        <x:v>compression-negative</x:v>
      </x:c>
      <x:c r="G10" s="29" t="n">
        <x:v>800</x:v>
      </x:c>
      <x:c r="H10" s="29" t="str">
        <x:v>COMPRESSION</x:v>
      </x:c>
      <x:c r="I10" s="29" t="n">
        <x:v>800</x:v>
      </x:c>
      <x:c r="J10" s="29" t="n">
        <x:v>200</x:v>
      </x:c>
      <x:c r="K10" s="29" t="n">
        <x:v>1</x:v>
      </x:c>
      <x:c r="L10" s="29" t="str">
        <x:v>PASS</x:v>
      </x:c>
      <x:c r="M10" s="29" t="str">
        <x:v>STATUS</x:v>
      </x:c>
      <x:c r="N10" s="29" t="str">
        <x:v>Exact capacity</x:v>
      </x:c>
      <x:c r="O10" s="29" t="str">
        <x:v>NOT CELL-BENCHMARKED</x:v>
      </x:c>
      <x:c r="P10" s="29"/>
      <x:c r="Q10" s="29"/>
      <x:c r="R10" s="29"/>
    </x:row>
    <x:row r="11" ht="52.79999923706055" hidden="0" customHeight="1">
      <x:c r="A11" s="29" t="str">
        <x:v>BOUNDARY-002</x:v>
      </x:c>
      <x:c r="B11" s="29" t="str">
        <x:v>B2</x:v>
      </x:c>
      <x:c r="C11" s="29" t="str">
        <x:v>N1</x:v>
      </x:c>
      <x:c r="D11" s="29" t="str">
        <x:v>P1</x:v>
      </x:c>
      <x:c r="E11" s="29" t="n">
        <x:v>-800.001</x:v>
      </x:c>
      <x:c r="F11" s="29" t="str">
        <x:v>compression-negative</x:v>
      </x:c>
      <x:c r="G11" s="29" t="n">
        <x:v>800.001</x:v>
      </x:c>
      <x:c r="H11" s="29" t="str">
        <x:v>COMPRESSION</x:v>
      </x:c>
      <x:c r="I11" s="29" t="n">
        <x:v>800</x:v>
      </x:c>
      <x:c r="J11" s="29" t="n">
        <x:v>200</x:v>
      </x:c>
      <x:c r="K11" s="29" t="n">
        <x:v>1.00000125</x:v>
      </x:c>
      <x:c r="L11" s="29" t="str">
        <x:v>FAIL</x:v>
      </x:c>
      <x:c r="M11" s="29" t="str">
        <x:v>STATUS</x:v>
      </x:c>
      <x:c r="N11" s="29" t="str">
        <x:v>Above capacity</x:v>
      </x:c>
      <x:c r="O11" s="29" t="str">
        <x:v>NOT CELL-BENCHMARKED</x:v>
      </x:c>
      <x:c r="P11" s="29"/>
      <x:c r="Q11" s="29"/>
      <x:c r="R11" s="29"/>
    </x:row>
    <x:row r="12" ht="52.79999923706055" hidden="0" customHeight="1">
      <x:c r="A12" s="29" t="str">
        <x:v>TENSION-001</x:v>
      </x:c>
      <x:c r="B12" s="29" t="str">
        <x:v>UP</x:v>
      </x:c>
      <x:c r="C12" s="29" t="str">
        <x:v>N1</x:v>
      </x:c>
      <x:c r="D12" s="29" t="str">
        <x:v>P1</x:v>
      </x:c>
      <x:c r="E12" s="29" t="n">
        <x:v>150</x:v>
      </x:c>
      <x:c r="F12" s="29" t="str">
        <x:v>compression-negative</x:v>
      </x:c>
      <x:c r="G12" s="29" t="n">
        <x:v>-150</x:v>
      </x:c>
      <x:c r="H12" s="29" t="str">
        <x:v>TENSION</x:v>
      </x:c>
      <x:c r="I12" s="29" t="n">
        <x:v>800</x:v>
      </x:c>
      <x:c r="J12" s="29" t="n">
        <x:v>200</x:v>
      </x:c>
      <x:c r="K12" s="29" t="n">
        <x:v>0.75</x:v>
      </x:c>
      <x:c r="L12" s="29" t="str">
        <x:v>PASS</x:v>
      </x:c>
      <x:c r="M12" s="29" t="str">
        <x:v>CAPACITY/UTILIZATION</x:v>
      </x:c>
      <x:c r="N12" s="29" t="str">
        <x:v>Verified tension</x:v>
      </x:c>
      <x:c r="O12" s="29" t="str">
        <x:v>NOT CELL-BENCHMARKED</x:v>
      </x:c>
      <x:c r="P12" s="29"/>
      <x:c r="Q12" s="29"/>
      <x:c r="R12" s="29"/>
    </x:row>
    <x:row r="13" ht="52.79999923706055" hidden="0" customHeight="1">
      <x:c r="A13" s="29" t="str">
        <x:v>TENSION-002</x:v>
      </x:c>
      <x:c r="B13" s="29" t="str">
        <x:v>UP0</x:v>
      </x:c>
      <x:c r="C13" s="29" t="str">
        <x:v>N1</x:v>
      </x:c>
      <x:c r="D13" s="29" t="str">
        <x:v>P1</x:v>
      </x:c>
      <x:c r="E13" s="29" t="n">
        <x:v>150</x:v>
      </x:c>
      <x:c r="F13" s="29" t="str">
        <x:v>compression-negative</x:v>
      </x:c>
      <x:c r="G13" s="29" t="n">
        <x:v>-150</x:v>
      </x:c>
      <x:c r="H13" s="29" t="str">
        <x:v>TENSION</x:v>
      </x:c>
      <x:c r="I13" s="29" t="n">
        <x:v>800</x:v>
      </x:c>
      <x:c r="J13" s="29" t="n">
        <x:v>0</x:v>
      </x:c>
      <x:c r="K13" s="29"/>
      <x:c r="L13" s="29" t="str">
        <x:v>BLOCK</x:v>
      </x:c>
      <x:c r="M13" s="29" t="str">
        <x:v>CAPACITY</x:v>
      </x:c>
      <x:c r="N13" s="29" t="str">
        <x:v>No verified tension capacity</x:v>
      </x:c>
      <x:c r="O13" s="29" t="str">
        <x:v>NOT CELL-BENCHMARKED</x:v>
      </x:c>
      <x:c r="P13" s="29"/>
      <x:c r="Q13" s="29"/>
      <x:c r="R13" s="29"/>
    </x:row>
    <x:row r="14" ht="52.79999923706055" hidden="0" customHeight="1">
      <x:c r="A14" s="29" t="str">
        <x:v>JOIN-001</x:v>
      </x:c>
      <x:c r="B14" s="29" t="str">
        <x:v>C1</x:v>
      </x:c>
      <x:c r="C14" s="29" t="str">
        <x:v>MISSING</x:v>
      </x:c>
      <x:c r="D14" s="29" t="str">
        <x:v>—</x:v>
      </x:c>
      <x:c r="E14" s="29"/>
      <x:c r="F14" s="29" t="str">
        <x:v>compression-negative</x:v>
      </x:c>
      <x:c r="G14" s="29"/>
      <x:c r="H14" s="29" t="str">
        <x:v>—</x:v>
      </x:c>
      <x:c r="I14" s="29"/>
      <x:c r="J14" s="29"/>
      <x:c r="K14" s="29"/>
      <x:c r="L14" s="29" t="str">
        <x:v>BLOCK</x:v>
      </x:c>
      <x:c r="M14" s="29" t="str">
        <x:v>JOIN</x:v>
      </x:c>
      <x:c r="N14" s="29" t="str">
        <x:v>Missing coordinate/spring/reaction</x:v>
      </x:c>
      <x:c r="O14" s="29" t="str">
        <x:v>NOT CELL-BENCHMARKED</x:v>
      </x:c>
      <x:c r="P14" s="29"/>
      <x:c r="Q14" s="29"/>
      <x:c r="R14" s="29"/>
    </x:row>
    <x:row r="15" ht="15" hidden="0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29"/>
      <x:c r="M15" s="29"/>
      <x:c r="N15" s="29"/>
      <x:c r="O15" s="29"/>
      <x:c r="P15" s="29"/>
      <x:c r="Q15" s="29"/>
      <x:c r="R15" s="29"/>
    </x:row>
    <x:row r="16" ht="15" hidden="0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29"/>
      <x:c r="M16" s="29"/>
      <x:c r="N16" s="29"/>
      <x:c r="O16" s="29"/>
      <x:c r="P16" s="29"/>
      <x:c r="Q16" s="29"/>
      <x:c r="R16" s="29"/>
    </x:row>
    <x:row r="17" ht="15" hidden="0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29"/>
      <x:c r="M17" s="29"/>
      <x:c r="N17" s="29"/>
      <x:c r="O17" s="29"/>
      <x:c r="P17" s="29"/>
      <x:c r="Q17" s="29"/>
      <x:c r="R17" s="29"/>
    </x:row>
    <x:row r="18" ht="15" hidden="0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29"/>
      <x:c r="M18" s="29"/>
      <x:c r="N18" s="29"/>
      <x:c r="O18" s="29"/>
      <x:c r="P18" s="29"/>
      <x:c r="Q18" s="29"/>
      <x:c r="R18" s="29"/>
    </x:row>
    <x:row r="19" ht="15" hidden="0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29"/>
      <x:c r="M19" s="29"/>
      <x:c r="N19" s="29"/>
      <x:c r="O19" s="29"/>
      <x:c r="P19" s="29"/>
      <x:c r="Q19" s="29"/>
      <x:c r="R19" s="29"/>
    </x:row>
    <x:row r="20" ht="15" hidden="0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29"/>
      <x:c r="M20" s="29"/>
      <x:c r="N20" s="29"/>
      <x:c r="O20" s="29"/>
      <x:c r="P20" s="29"/>
      <x:c r="Q20" s="29"/>
      <x:c r="R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conditionalFormatting sqref="L2:L14">
    <x:cfRule type="expression" dxfId="2" priority="1">
      <x:formula>L2="PASS"</x:formula>
    </x:cfRule>
    <x:cfRule type="expression" dxfId="3" priority="2">
      <x:formula>OR(L2="FAIL",L2="BLOCK")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0" hidden="0" customWidth="1"/>
    <x:col min="4" max="4" width="18" hidden="0" customWidth="1"/>
    <x:col min="5" max="5" width="12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55" hidden="0" customWidth="1"/>
    <x:col min="12" max="12" width="22" hidden="0" customWidth="1"/>
    <x:col min="13" max="13" width="20" hidden="0" customWidth="1"/>
  </x:cols>
  <x:sheetData>
    <x:row r="1" ht="26.399999618530273" hidden="0" customHeight="1">
      <x:c r="A1" s="71" t="str">
        <x:v>#</x:v>
      </x:c>
      <x:c r="B1" s="71" t="str">
        <x:v>Fingerprint</x:v>
      </x:c>
      <x:c r="C1" s="71" t="str">
        <x:v>Count</x:v>
      </x:c>
      <x:c r="D1" s="71" t="str">
        <x:v>Columns</x:v>
      </x:c>
      <x:c r="E1" s="71" t="str">
        <x:v>Rows</x:v>
      </x:c>
      <x:c r="F1" s="71" t="str">
        <x:v>Block</x:v>
      </x:c>
      <x:c r="G1" s="71" t="str">
        <x:v>Cached Present</x:v>
      </x:c>
      <x:c r="H1" s="71" t="str">
        <x:v>Cached Missing</x:v>
      </x:c>
      <x:c r="I1" s="71" t="str">
        <x:v>Functions</x:v>
      </x:c>
      <x:c r="J1" s="71" t="str">
        <x:v>Normalized Formula</x:v>
      </x:c>
      <x:c r="K1" s="29"/>
      <x:c r="L1" s="71" t="str">
        <x:v>Exact Inventory</x:v>
      </x:c>
      <x:c r="M1" s="71" t="str">
        <x:v>Value</x:v>
      </x:c>
      <x:c r="N1" s="29"/>
      <x:c r="O1" s="29"/>
      <x:c r="P1" s="29"/>
      <x:c r="Q1" s="29"/>
      <x:c r="R1" s="29"/>
      <x:c r="S1" s="29"/>
      <x:c r="T1" s="29"/>
      <x:c r="U1" s="29"/>
      <x:c r="V1" s="29"/>
      <x:c r="W1" s="29"/>
      <x:c r="X1" s="29"/>
      <x:c r="Y1" s="29"/>
    </x:row>
    <x:row r="2" ht="105.5999984741211" hidden="0" customHeight="1">
      <x:c r="A2" s="29" t="n">
        <x:v>1</x:v>
      </x:c>
      <x:c r="B2" s="29" t="str">
        <x:v>102bfd8013f27758e7c0</x:v>
      </x:c>
      <x:c r="C2" s="29" t="n">
        <x:v>981</x:v>
      </x:c>
      <x:c r="D2" s="29" t="str">
        <x:v>X:981</x:v>
      </x:c>
      <x:c r="E2" s="29" t="str">
        <x:v>20:1000</x:v>
      </x:c>
      <x:c r="F2" s="29" t="str">
        <x:v>STATUS</x:v>
      </x:c>
      <x:c r="G2" s="29" t="n">
        <x:v>19</x:v>
      </x:c>
      <x:c r="H2" s="29" t="n">
        <x:v>962</x:v>
      </x:c>
      <x:c r="I2" s="29" t="str">
        <x:v>AND, IF, IFERROR</x:v>
      </x:c>
      <x:c r="J2" s="29" t="str">
        <x:v>IFERROR(IF(AND(1/RC[-12]&gt;R19C24,1/RC[-12]&lt;=R19C25),1/RC[-12],0),"")</x:v>
      </x:c>
      <x:c r="K2" s="29"/>
      <x:c r="L2" s="29" t="str">
        <x:v>Formula cells</x:v>
      </x:c>
      <x:c r="M2" s="29" t="n">
        <x:v>6082</x:v>
      </x:c>
      <x:c r="N2" s="29"/>
      <x:c r="O2" s="29"/>
      <x:c r="P2" s="29"/>
      <x:c r="Q2" s="29"/>
      <x:c r="R2" s="29"/>
      <x:c r="S2" s="29"/>
      <x:c r="T2" s="29"/>
      <x:c r="U2" s="29"/>
      <x:c r="V2" s="29"/>
      <x:c r="W2" s="29"/>
      <x:c r="X2" s="29"/>
      <x:c r="Y2" s="29"/>
    </x:row>
    <x:row r="3" ht="66" hidden="0" customHeight="1">
      <x:c r="A3" s="29" t="n">
        <x:v>2</x:v>
      </x:c>
      <x:c r="B3" s="29" t="str">
        <x:v>1aafe524f4bc30e7637c</x:v>
      </x:c>
      <x:c r="C3" s="29" t="n">
        <x:v>981</x:v>
      </x:c>
      <x:c r="D3" s="29" t="str">
        <x:v>AA:981</x:v>
      </x:c>
      <x:c r="E3" s="29" t="str">
        <x:v>20:1000</x:v>
      </x:c>
      <x:c r="F3" s="29" t="str">
        <x:v>JOIN</x:v>
      </x:c>
      <x:c r="G3" s="29" t="n">
        <x:v>981</x:v>
      </x:c>
      <x:c r="H3" s="29" t="n">
        <x:v>0</x:v>
      </x:c>
      <x:c r="I3" s="29" t="str">
        <x:v>IF</x:v>
      </x:c>
      <x:c r="J3" s="29" t="str">
        <x:v>IF(RC[-12]&lt;&gt;"",(RC[-12]-R17C15)/1000,1/0)</x:v>
      </x:c>
      <x:c r="K3" s="29"/>
      <x:c r="L3" s="29" t="str">
        <x:v>Unique fingerprints</x:v>
      </x:c>
      <x:c r="M3" s="29" t="n">
        <x:v>22</x:v>
      </x:c>
      <x:c r="N3" s="29"/>
      <x:c r="O3" s="29"/>
      <x:c r="P3" s="29"/>
      <x:c r="Q3" s="29"/>
      <x:c r="R3" s="29"/>
      <x:c r="S3" s="29"/>
      <x:c r="T3" s="29"/>
      <x:c r="U3" s="29"/>
      <x:c r="V3" s="29"/>
      <x:c r="W3" s="29"/>
      <x:c r="X3" s="29"/>
      <x:c r="Y3" s="29"/>
    </x:row>
    <x:row r="4" ht="66" hidden="0" customHeight="1">
      <x:c r="A4" s="29" t="n">
        <x:v>3</x:v>
      </x:c>
      <x:c r="B4" s="29" t="str">
        <x:v>28ac2bdd4846fc6e2a7f</x:v>
      </x:c>
      <x:c r="C4" s="29" t="n">
        <x:v>981</x:v>
      </x:c>
      <x:c r="D4" s="29" t="str">
        <x:v>Z:981</x:v>
      </x:c>
      <x:c r="E4" s="29" t="str">
        <x:v>20:1000</x:v>
      </x:c>
      <x:c r="F4" s="29" t="str">
        <x:v>JOIN</x:v>
      </x:c>
      <x:c r="G4" s="29" t="n">
        <x:v>981</x:v>
      </x:c>
      <x:c r="H4" s="29" t="n">
        <x:v>0</x:v>
      </x:c>
      <x:c r="I4" s="29" t="str">
        <x:v>IF</x:v>
      </x:c>
      <x:c r="J4" s="29" t="str">
        <x:v>IF(RC[-12]&lt;&gt;"",(RC[-12]-R17C14)/1000,1/0)</x:v>
      </x:c>
      <x:c r="K4" s="29"/>
      <x:c r="L4" s="29" t="str">
        <x:v>Shared groups</x:v>
      </x:c>
      <x:c r="M4" s="29" t="n">
        <x:v>104</x:v>
      </x:c>
      <x:c r="N4" s="29"/>
      <x:c r="O4" s="29"/>
      <x:c r="P4" s="29"/>
      <x:c r="Q4" s="29"/>
      <x:c r="R4" s="29"/>
      <x:c r="S4" s="29"/>
      <x:c r="T4" s="29"/>
      <x:c r="U4" s="29"/>
      <x:c r="V4" s="29"/>
      <x:c r="W4" s="29"/>
      <x:c r="X4" s="29"/>
      <x:c r="Y4" s="29"/>
    </x:row>
    <x:row r="5" ht="66" hidden="0" customHeight="1">
      <x:c r="A5" s="29" t="n">
        <x:v>4</x:v>
      </x:c>
      <x:c r="B5" s="29" t="str">
        <x:v>2d4c8f3ea18940579bdf</x:v>
      </x:c>
      <x:c r="C5" s="29" t="n">
        <x:v>981</x:v>
      </x:c>
      <x:c r="D5" s="29" t="str">
        <x:v>Y:981</x:v>
      </x:c>
      <x:c r="E5" s="29" t="str">
        <x:v>20:1000</x:v>
      </x:c>
      <x:c r="F5" s="29" t="str">
        <x:v>STATUS</x:v>
      </x:c>
      <x:c r="G5" s="29" t="n">
        <x:v>19</x:v>
      </x:c>
      <x:c r="H5" s="29" t="n">
        <x:v>962</x:v>
      </x:c>
      <x:c r="I5" s="29" t="str">
        <x:v>IF, IFERROR</x:v>
      </x:c>
      <x:c r="J5" s="29" t="str">
        <x:v>IFERROR(IF(1/RC[-13]&gt;R19C25,1/RC[-13],0),"")</x:v>
      </x:c>
      <x:c r="K5" s="29"/>
      <x:c r="L5" s="29" t="str">
        <x:v>Shared followers</x:v>
      </x:c>
      <x:c r="M5" s="29" t="n">
        <x:v>5918</x:v>
      </x:c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  <x:c r="Y5" s="29"/>
    </x:row>
    <x:row r="6" ht="105.5999984741211" hidden="0" customHeight="1">
      <x:c r="A6" s="29" t="n">
        <x:v>5</x:v>
      </x:c>
      <x:c r="B6" s="29" t="str">
        <x:v>b070dbb90878a1f60ba9</x:v>
      </x:c>
      <x:c r="C6" s="29" t="n">
        <x:v>981</x:v>
      </x:c>
      <x:c r="D6" s="29" t="str">
        <x:v>V:981</x:v>
      </x:c>
      <x:c r="E6" s="29" t="str">
        <x:v>20:1000</x:v>
      </x:c>
      <x:c r="F6" s="29" t="str">
        <x:v>STATUS</x:v>
      </x:c>
      <x:c r="G6" s="29" t="n">
        <x:v>19</x:v>
      </x:c>
      <x:c r="H6" s="29" t="n">
        <x:v>962</x:v>
      </x:c>
      <x:c r="I6" s="29" t="str">
        <x:v>AND, IF, IFERROR</x:v>
      </x:c>
      <x:c r="J6" s="29" t="str">
        <x:v>IFERROR(IF(AND(1/RC[-10]&gt;R19C22,1/RC[-10]&lt;=R19C23),1/RC[-10],0),"")</x:v>
      </x:c>
      <x:c r="K6" s="29"/>
      <x:c r="L6" s="29" t="str">
        <x:v>NhomCoc calls</x:v>
      </x:c>
      <x:c r="M6" s="29" t="n">
        <x:v>19</x:v>
      </x:c>
      <x:c r="N6" s="29"/>
      <x:c r="O6" s="29"/>
      <x:c r="P6" s="29"/>
      <x:c r="Q6" s="29"/>
      <x:c r="R6" s="29"/>
      <x:c r="S6" s="29"/>
      <x:c r="T6" s="29"/>
      <x:c r="U6" s="29"/>
      <x:c r="V6" s="29"/>
      <x:c r="W6" s="29"/>
      <x:c r="X6" s="29"/>
      <x:c r="Y6" s="29"/>
    </x:row>
    <x:row r="7" ht="105.5999984741211" hidden="0" customHeight="1">
      <x:c r="A7" s="29" t="n">
        <x:v>6</x:v>
      </x:c>
      <x:c r="B7" s="29" t="str">
        <x:v>de0a5dbfc5cc172602ba</x:v>
      </x:c>
      <x:c r="C7" s="29" t="n">
        <x:v>981</x:v>
      </x:c>
      <x:c r="D7" s="29" t="str">
        <x:v>W:981</x:v>
      </x:c>
      <x:c r="E7" s="29" t="str">
        <x:v>20:1000</x:v>
      </x:c>
      <x:c r="F7" s="29" t="str">
        <x:v>STATUS</x:v>
      </x:c>
      <x:c r="G7" s="29" t="n">
        <x:v>19</x:v>
      </x:c>
      <x:c r="H7" s="29" t="n">
        <x:v>962</x:v>
      </x:c>
      <x:c r="I7" s="29" t="str">
        <x:v>AND, IF, IFERROR</x:v>
      </x:c>
      <x:c r="J7" s="29" t="str">
        <x:v>IFERROR(IF(AND(1/RC[-11]&gt;R19C23,1/RC[-11]&lt;=R19C24),1/RC[-11],0),"")</x:v>
      </x:c>
      <x:c r="K7" s="29"/>
      <x:c r="L7" s="29" t="str">
        <x:v>Cached benchmark</x:v>
      </x:c>
      <x:c r="M7" s="29" t="str">
        <x:v>304/304 PASS</x:v>
      </x:c>
      <x:c r="N7" s="29"/>
      <x:c r="O7" s="29"/>
      <x:c r="P7" s="29"/>
      <x:c r="Q7" s="29"/>
      <x:c r="R7" s="29"/>
      <x:c r="S7" s="29"/>
      <x:c r="T7" s="29"/>
      <x:c r="U7" s="29"/>
      <x:c r="V7" s="29"/>
      <x:c r="W7" s="29"/>
      <x:c r="X7" s="29"/>
      <x:c r="Y7" s="29"/>
    </x:row>
    <x:row r="8" ht="39.599998474121094" hidden="0" customHeight="1">
      <x:c r="A8" s="29" t="n">
        <x:v>7</x:v>
      </x:c>
      <x:c r="B8" s="29" t="str">
        <x:v>316a886ee18efca0c3ce</x:v>
      </x:c>
      <x:c r="C8" s="29" t="n">
        <x:v>19</x:v>
      </x:c>
      <x:c r="D8" s="29" t="str">
        <x:v>I:19</x:v>
      </x:c>
      <x:c r="E8" s="29" t="str">
        <x:v>20:38</x:v>
      </x:c>
      <x:c r="F8" s="29" t="str">
        <x:v>CAPACITY</x:v>
      </x:c>
      <x:c r="G8" s="29" t="n">
        <x:v>19</x:v>
      </x:c>
      <x:c r="H8" s="29" t="n">
        <x:v>0</x:v>
      </x:c>
      <x:c r="I8" s="29" t="str">
        <x:v>VLOOKUP</x:v>
      </x:c>
      <x:c r="J8" s="29" t="str">
        <x:v>VLOOKUP(RC[-7],Q:U,4,0)</x:v>
      </x:c>
      <x:c r="K8" s="29"/>
      <x:c r="L8" s="29" t="str">
        <x:v>Engine exact-row tests</x:v>
      </x:c>
      <x:c r="M8" s="29" t="str">
        <x:v>19/19 PASS</x:v>
      </x:c>
      <x:c r="N8" s="29"/>
      <x:c r="O8" s="29"/>
      <x:c r="P8" s="29"/>
      <x:c r="Q8" s="29"/>
      <x:c r="R8" s="29"/>
      <x:c r="S8" s="29"/>
      <x:c r="T8" s="29"/>
      <x:c r="U8" s="29"/>
      <x:c r="V8" s="29"/>
      <x:c r="W8" s="29"/>
      <x:c r="X8" s="29"/>
      <x:c r="Y8" s="29"/>
    </x:row>
    <x:row r="9" ht="39.599998474121094" hidden="0" customHeight="1">
      <x:c r="A9" s="29" t="n">
        <x:v>8</x:v>
      </x:c>
      <x:c r="B9" s="29" t="str">
        <x:v>34eab90c394d3c1042b9</x:v>
      </x:c>
      <x:c r="C9" s="29" t="n">
        <x:v>19</x:v>
      </x:c>
      <x:c r="D9" s="29" t="str">
        <x:v>H:19</x:v>
      </x:c>
      <x:c r="E9" s="29" t="str">
        <x:v>20:38</x:v>
      </x:c>
      <x:c r="F9" s="29" t="str">
        <x:v>JOIN</x:v>
      </x:c>
      <x:c r="G9" s="29" t="n">
        <x:v>19</x:v>
      </x:c>
      <x:c r="H9" s="29" t="n">
        <x:v>0</x:v>
      </x:c>
      <x:c r="I9" s="29" t="str">
        <x:v>VLOOKUP</x:v>
      </x:c>
      <x:c r="J9" s="29" t="str">
        <x:v>VLOOKUP(RC[-6],Q:U,3,0)</x:v>
      </x:c>
      <x:c r="K9" s="29"/>
      <x:c r="L9" s="29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  <x:c r="X9" s="29"/>
      <x:c r="Y9" s="29"/>
    </x:row>
    <x:row r="10" ht="79.19999694824219" hidden="0" customHeight="1">
      <x:c r="A10" s="29" t="n">
        <x:v>9</x:v>
      </x:c>
      <x:c r="B10" s="29" t="str">
        <x:v>49309262070579ea9998</x:v>
      </x:c>
      <x:c r="C10" s="29" t="n">
        <x:v>19</x:v>
      </x:c>
      <x:c r="D10" s="29" t="str">
        <x:v>O:19</x:v>
      </x:c>
      <x:c r="E10" s="29" t="str">
        <x:v>20:38</x:v>
      </x:c>
      <x:c r="F10" s="29" t="str">
        <x:v>JOIN</x:v>
      </x:c>
      <x:c r="G10" s="29" t="n">
        <x:v>19</x:v>
      </x:c>
      <x:c r="H10" s="29" t="n">
        <x:v>0</x:v>
      </x:c>
      <x:c r="I10" s="29" t="str">
        <x:v>VLOOKUP</x:v>
      </x:c>
      <x:c r="J10" s="29" t="str">
        <x:v>VLOOKUP(RC[-12],'POINTCOORDINATES'!$A:$D,3,0)*1000</x:v>
      </x:c>
      <x:c r="K10" s="29"/>
      <x:c r="L10" s="71" t="str">
        <x:v>Block</x:v>
      </x:c>
      <x:c r="M10" s="71" t="str">
        <x:v>Formula cells</x:v>
      </x:c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  <x:c r="X10" s="29"/>
      <x:c r="Y10" s="29"/>
    </x:row>
    <x:row r="11" ht="39.599998474121094" hidden="0" customHeight="1">
      <x:c r="A11" s="29" t="n">
        <x:v>10</x:v>
      </x:c>
      <x:c r="B11" s="29" t="str">
        <x:v>5ea8e873f07aa89e502e</x:v>
      </x:c>
      <x:c r="C11" s="29" t="n">
        <x:v>19</x:v>
      </x:c>
      <x:c r="D11" s="29" t="str">
        <x:v>A:19</x:v>
      </x:c>
      <x:c r="E11" s="29" t="str">
        <x:v>20:38</x:v>
      </x:c>
      <x:c r="F11" s="29" t="str">
        <x:v>JOIN</x:v>
      </x:c>
      <x:c r="G11" s="29" t="n">
        <x:v>19</x:v>
      </x:c>
      <x:c r="H11" s="29" t="n">
        <x:v>0</x:v>
      </x:c>
      <x:c r="I11" s="29" t="str">
        <x:v>VLOOKUP</x:v>
      </x:c>
      <x:c r="J11" s="29" t="str">
        <x:v>VLOOKUP(RC[+1],Q:U,5,0)</x:v>
      </x:c>
      <x:c r="K11" s="29"/>
      <x:c r="L11" s="29" t="str">
        <x:v>JOIN</x:v>
      </x:c>
      <x:c r="M11" s="29" t="n">
        <x:v>2078</x:v>
      </x:c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  <x:c r="X11" s="29"/>
      <x:c r="Y11" s="29"/>
    </x:row>
    <x:row r="12" ht="39.599998474121094" hidden="0" customHeight="1">
      <x:c r="A12" s="29" t="n">
        <x:v>11</x:v>
      </x:c>
      <x:c r="B12" s="29" t="str">
        <x:v>668b1c1dbfcf6df7c7f2</x:v>
      </x:c>
      <x:c r="C12" s="29" t="n">
        <x:v>19</x:v>
      </x:c>
      <x:c r="D12" s="29" t="str">
        <x:v>L:19</x:v>
      </x:c>
      <x:c r="E12" s="29" t="str">
        <x:v>20:38</x:v>
      </x:c>
      <x:c r="F12" s="29" t="str">
        <x:v>UTILIZATION</x:v>
      </x:c>
      <x:c r="G12" s="29" t="n">
        <x:v>19</x:v>
      </x:c>
      <x:c r="H12" s="29" t="n">
        <x:v>0</x:v>
      </x:c>
      <x:c r="I12" s="29" t="str">
        <x:v>IFERROR</x:v>
      </x:c>
      <x:c r="J12" s="29" t="str">
        <x:v>IFERROR(RC[-1]/RC[-6],"")</x:v>
      </x:c>
      <x:c r="K12" s="29"/>
      <x:c r="L12" s="29" t="str">
        <x:v>ACTION</x:v>
      </x:c>
      <x:c r="M12" s="29" t="n">
        <x:v>1</x:v>
      </x:c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  <x:c r="X12" s="29"/>
      <x:c r="Y12" s="29"/>
    </x:row>
    <x:row r="13" ht="39.599998474121094" hidden="0" customHeight="1">
      <x:c r="A13" s="29" t="n">
        <x:v>12</x:v>
      </x:c>
      <x:c r="B13" s="29" t="str">
        <x:v>8c7575893a40f2d6662a</x:v>
      </x:c>
      <x:c r="C13" s="29" t="n">
        <x:v>19</x:v>
      </x:c>
      <x:c r="D13" s="29" t="str">
        <x:v>K:19</x:v>
      </x:c>
      <x:c r="E13" s="29" t="str">
        <x:v>20:38</x:v>
      </x:c>
      <x:c r="F13" s="29" t="str">
        <x:v>CAPACITY</x:v>
      </x:c>
      <x:c r="G13" s="29" t="n">
        <x:v>19</x:v>
      </x:c>
      <x:c r="H13" s="29" t="n">
        <x:v>0</x:v>
      </x:c>
      <x:c r="I13" s="29" t="str"/>
      <x:c r="J13" s="29" t="str">
        <x:v>RC[-2]/R10C8</x:v>
      </x:c>
      <x:c r="K13" s="29"/>
      <x:c r="L13" s="29" t="str">
        <x:v>CAPACITY</x:v>
      </x:c>
      <x:c r="M13" s="29" t="n">
        <x:v>39</x:v>
      </x:c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  <x:c r="X13" s="29"/>
      <x:c r="Y13" s="29"/>
    </x:row>
    <x:row r="14" ht="39.599998474121094" hidden="0" customHeight="1">
      <x:c r="A14" s="29" t="n">
        <x:v>13</x:v>
      </x:c>
      <x:c r="B14" s="29" t="str">
        <x:v>cc605bcd1178ce4c0905</x:v>
      </x:c>
      <x:c r="C14" s="29" t="n">
        <x:v>19</x:v>
      </x:c>
      <x:c r="D14" s="29" t="str">
        <x:v>M:19</x:v>
      </x:c>
      <x:c r="E14" s="29" t="str">
        <x:v>20:38</x:v>
      </x:c>
      <x:c r="F14" s="29" t="str">
        <x:v>STATUS</x:v>
      </x:c>
      <x:c r="G14" s="29" t="n">
        <x:v>19</x:v>
      </x:c>
      <x:c r="H14" s="29" t="n">
        <x:v>0</x:v>
      </x:c>
      <x:c r="I14" s="29" t="str">
        <x:v>IF</x:v>
      </x:c>
      <x:c r="J14" s="29" t="str">
        <x:v>IF(RC[-1]&lt;1,"NOTOK","OK")</x:v>
      </x:c>
      <x:c r="K14" s="29"/>
      <x:c r="L14" s="29" t="str">
        <x:v>UTILIZATION</x:v>
      </x:c>
      <x:c r="M14" s="29" t="n">
        <x:v>19</x:v>
      </x:c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  <x:c r="X14" s="29"/>
      <x:c r="Y14" s="29"/>
    </x:row>
    <x:row r="15" ht="79.19999694824219" hidden="0" customHeight="1">
      <x:c r="A15" s="29" t="n">
        <x:v>14</x:v>
      </x:c>
      <x:c r="B15" s="29" t="str">
        <x:v>df342480cfd1e9f94067</x:v>
      </x:c>
      <x:c r="C15" s="29" t="n">
        <x:v>19</x:v>
      </x:c>
      <x:c r="D15" s="29" t="str">
        <x:v>N:19</x:v>
      </x:c>
      <x:c r="E15" s="29" t="str">
        <x:v>20:38</x:v>
      </x:c>
      <x:c r="F15" s="29" t="str">
        <x:v>JOIN</x:v>
      </x:c>
      <x:c r="G15" s="29" t="n">
        <x:v>19</x:v>
      </x:c>
      <x:c r="H15" s="29" t="n">
        <x:v>0</x:v>
      </x:c>
      <x:c r="I15" s="29" t="str">
        <x:v>VLOOKUP</x:v>
      </x:c>
      <x:c r="J15" s="29" t="str">
        <x:v>VLOOKUP(RC[-11],'POINTCOORDINATES'!$A:$D,2,0)*1000</x:v>
      </x:c>
      <x:c r="K15" s="29"/>
      <x:c r="L15" s="29" t="str">
        <x:v>STATUS</x:v>
      </x:c>
      <x:c r="M15" s="29" t="n">
        <x:v>3945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</x:row>
    <x:row r="16" ht="39.599998474121094" hidden="0" customHeight="1">
      <x:c r="A16" s="29" t="n">
        <x:v>15</x:v>
      </x:c>
      <x:c r="B16" s="29" t="str">
        <x:v>f5205744725a2f66161f</x:v>
      </x:c>
      <x:c r="C16" s="29" t="n">
        <x:v>19</x:v>
      </x:c>
      <x:c r="D16" s="29" t="str">
        <x:v>D:19</x:v>
      </x:c>
      <x:c r="E16" s="29" t="str">
        <x:v>20:38</x:v>
      </x:c>
      <x:c r="F16" s="29" t="str">
        <x:v>JOIN</x:v>
      </x:c>
      <x:c r="G16" s="29" t="n">
        <x:v>19</x:v>
      </x:c>
      <x:c r="H16" s="29" t="n">
        <x:v>0</x:v>
      </x:c>
      <x:c r="I16" s="29" t="str">
        <x:v>VLOOKUP</x:v>
      </x:c>
      <x:c r="J16" s="29" t="str">
        <x:v>VLOOKUP(RC[-2],Q:U,2,0)</x:v>
      </x:c>
      <x:c r="K16" s="29"/>
      <x:c r="L16" s="29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  <x:c r="X16" s="29"/>
      <x:c r="Y16" s="29"/>
    </x:row>
    <x:row r="17" ht="39.599998474121094" hidden="0" customHeight="1">
      <x:c r="A17" s="29" t="n">
        <x:v>16</x:v>
      </x:c>
      <x:c r="B17" s="29" t="str">
        <x:v>f7cb8b3574809d50071f</x:v>
      </x:c>
      <x:c r="C17" s="29" t="n">
        <x:v>19</x:v>
      </x:c>
      <x:c r="D17" s="29" t="str">
        <x:v>J:19</x:v>
      </x:c>
      <x:c r="E17" s="29" t="str">
        <x:v>20:38</x:v>
      </x:c>
      <x:c r="F17" s="29" t="str">
        <x:v>JOIN</x:v>
      </x:c>
      <x:c r="G17" s="29" t="n">
        <x:v>19</x:v>
      </x:c>
      <x:c r="H17" s="29" t="n">
        <x:v>0</x:v>
      </x:c>
      <x:c r="I17" s="29" t="str">
        <x:v>NHOMCOC</x:v>
      </x:c>
      <x:c r="J17" s="29" t="str">
        <x:v>NHOMCOC(RC[-9],R1C1,R2C1)</x:v>
      </x:c>
      <x:c r="K17" s="29"/>
      <x:c r="L17" s="29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  <x:c r="X17" s="29"/>
      <x:c r="Y17" s="29"/>
    </x:row>
    <x:row r="18" ht="52.79999923706055" hidden="0" customHeight="1">
      <x:c r="A18" s="29" t="n">
        <x:v>17</x:v>
      </x:c>
      <x:c r="B18" s="29" t="str">
        <x:v>1e4d06da3c596bca9296</x:v>
      </x:c>
      <x:c r="C18" s="29" t="n">
        <x:v>1</x:v>
      </x:c>
      <x:c r="D18" s="29" t="str">
        <x:v>B:1</x:v>
      </x:c>
      <x:c r="E18" s="29" t="str">
        <x:v>1:1</x:v>
      </x:c>
      <x:c r="F18" s="29" t="str">
        <x:v>ACTION</x:v>
      </x:c>
      <x:c r="G18" s="29" t="n">
        <x:v>1</x:v>
      </x:c>
      <x:c r="H18" s="29" t="n">
        <x:v>0</x:v>
      </x:c>
      <x:c r="I18" s="29" t="str">
        <x:v>IF</x:v>
      </x:c>
      <x:c r="J18" s="29" t="str">
        <x:v>IF(R[+9]C[+11]="THỬTĨNH",1,0)</x:v>
      </x:c>
      <x:c r="K18" s="29"/>
      <x:c r="L18" s="29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  <x:c r="X18" s="29"/>
      <x:c r="Y18" s="29"/>
    </x:row>
    <x:row r="19" ht="39.599998474121094" hidden="0" customHeight="1">
      <x:c r="A19" s="29" t="n">
        <x:v>18</x:v>
      </x:c>
      <x:c r="B19" s="29" t="str">
        <x:v>301b19d4646b2bdc23a9</x:v>
      </x:c>
      <x:c r="C19" s="29" t="n">
        <x:v>1</x:v>
      </x:c>
      <x:c r="D19" s="29" t="str">
        <x:v>O:1</x:v>
      </x:c>
      <x:c r="E19" s="29" t="str">
        <x:v>17:17</x:v>
      </x:c>
      <x:c r="F19" s="29" t="str">
        <x:v>JOIN</x:v>
      </x:c>
      <x:c r="G19" s="29" t="n">
        <x:v>1</x:v>
      </x:c>
      <x:c r="H19" s="29" t="n">
        <x:v>0</x:v>
      </x:c>
      <x:c r="I19" s="29" t="str"/>
      <x:c r="J19" s="29" t="str">
        <x:v>RC[-1]</x:v>
      </x:c>
      <x:c r="K19" s="29"/>
      <x:c r="L19" s="29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  <x:c r="X19" s="29"/>
      <x:c r="Y19" s="29"/>
    </x:row>
    <x:row r="20" ht="52.79999923706055" hidden="0" customHeight="1">
      <x:c r="A20" s="29" t="n">
        <x:v>19</x:v>
      </x:c>
      <x:c r="B20" s="29" t="str">
        <x:v>32e35811abc1235c0ac2</x:v>
      </x:c>
      <x:c r="C20" s="29" t="n">
        <x:v>1</x:v>
      </x:c>
      <x:c r="D20" s="29" t="str">
        <x:v>C:1</x:v>
      </x:c>
      <x:c r="E20" s="29" t="str">
        <x:v>9:9</x:v>
      </x:c>
      <x:c r="F20" s="29" t="str">
        <x:v>STATUS</x:v>
      </x:c>
      <x:c r="G20" s="29" t="n">
        <x:v>1</x:v>
      </x:c>
      <x:c r="H20" s="29" t="n">
        <x:v>0</x:v>
      </x:c>
      <x:c r="I20" s="29" t="str"/>
      <x:c r="J20" s="29" t="str">
        <x:v>"CẤPHẬUQUẢCỦACÔNGTRÌNH:"</x:v>
      </x:c>
      <x:c r="K20" s="29"/>
      <x:c r="L20" s="29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  <x:c r="X20" s="29"/>
      <x:c r="Y20" s="29"/>
    </x:row>
    <x:row r="21" ht="79.19999694824219" hidden="0" customHeight="1">
      <x:c r="A21" s="29" t="n">
        <x:v>20</x:v>
      </x:c>
      <x:c r="B21" s="29" t="str">
        <x:v>60f21ab69bd9cd6b1f8c</x:v>
      </x:c>
      <x:c r="C21" s="29" t="n">
        <x:v>1</x:v>
      </x:c>
      <x:c r="D21" s="29" t="str">
        <x:v>H:1</x:v>
      </x:c>
      <x:c r="E21" s="29" t="str">
        <x:v>10:10</x:v>
      </x:c>
      <x:c r="F21" s="29" t="str">
        <x:v>JOIN</x:v>
      </x:c>
      <x:c r="G21" s="29" t="n">
        <x:v>1</x:v>
      </x:c>
      <x:c r="H21" s="29" t="n">
        <x:v>0</x:v>
      </x:c>
      <x:c r="I21" s="29" t="str">
        <x:v>IF</x:v>
      </x:c>
      <x:c r="J21" s="29" t="str">
        <x:v>IF(R[-1]C="R[-9]C[-5]",1,IF(R[-1]C="R[-8]C[-5]",1.15,1.2))</x:v>
      </x:c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</x:row>
    <x:row r="22" ht="39.599998474121094" hidden="0" customHeight="1">
      <x:c r="A22" s="29" t="n">
        <x:v>21</x:v>
      </x:c>
      <x:c r="B22" s="29" t="str">
        <x:v>7fabb2fc4423b971bca3</x:v>
      </x:c>
      <x:c r="C22" s="29" t="n">
        <x:v>1</x:v>
      </x:c>
      <x:c r="D22" s="29" t="str">
        <x:v>L:1</x:v>
      </x:c>
      <x:c r="E22" s="29" t="str">
        <x:v>3:3</x:v>
      </x:c>
      <x:c r="F22" s="29" t="str">
        <x:v>STATUS</x:v>
      </x:c>
      <x:c r="G22" s="29" t="n">
        <x:v>1</x:v>
      </x:c>
      <x:c r="H22" s="29" t="n">
        <x:v>0</x:v>
      </x:c>
      <x:c r="I22" s="29" t="str">
        <x:v>TODAY</x:v>
      </x:c>
      <x:c r="J22" s="29" t="str">
        <x:v>TODAY()</x:v>
      </x:c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</x:row>
    <x:row r="23" ht="79.19999694824219" hidden="0" customHeight="1">
      <x:c r="A23" s="29" t="n">
        <x:v>22</x:v>
      </x:c>
      <x:c r="B23" s="29" t="str">
        <x:v>dcd034cac898a63d885c</x:v>
      </x:c>
      <x:c r="C23" s="29" t="n">
        <x:v>1</x:v>
      </x:c>
      <x:c r="D23" s="29" t="str">
        <x:v>N:1</x:v>
      </x:c>
      <x:c r="E23" s="29" t="str">
        <x:v>17:17</x:v>
      </x:c>
      <x:c r="F23" s="29" t="str">
        <x:v>JOIN</x:v>
      </x:c>
      <x:c r="G23" s="29" t="n">
        <x:v>1</x:v>
      </x:c>
      <x:c r="H23" s="29" t="n">
        <x:v>0</x:v>
      </x:c>
      <x:c r="I23" s="29" t="str">
        <x:v>MAX, MIN</x:v>
      </x:c>
      <x:c r="J23" s="29" t="str">
        <x:v>MAX(MIN(R[+3]C[+1]:R[+983]C[+1]),MIN(R[+3]C:R[+983]C))</x:v>
      </x:c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14" hidden="0" customWidth="1"/>
    <x:col min="5" max="5" width="14" hidden="0" customWidth="1"/>
    <x:col min="6" max="6" width="10" hidden="0" customWidth="1"/>
    <x:col min="7" max="7" width="16" hidden="0" customWidth="1"/>
    <x:col min="8" max="8" width="16" hidden="0" customWidth="1"/>
    <x:col min="9" max="9" width="12" hidden="0" customWidth="1"/>
    <x:col min="10" max="10" width="15" hidden="0" customWidth="1"/>
    <x:col min="11" max="11" width="15" hidden="0" customWidth="1"/>
    <x:col min="12" max="12" width="12" hidden="0" customWidth="1"/>
    <x:col min="13" max="13" width="15" hidden="0" customWidth="1"/>
    <x:col min="14" max="14" width="14" hidden="0" customWidth="1"/>
    <x:col min="15" max="15" width="14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4" max="24" width="14" hidden="0" customWidth="1"/>
    <x:col min="25" max="25" width="28" hidden="0" customWidth="1"/>
    <x:col min="23" max="23" width="14" hidden="0" customWidth="1"/>
    <x:col min="26" max="26" width="22" hidden="0" customWidth="1"/>
    <x:col min="27" max="27" width="30" hidden="0" customWidth="1"/>
  </x:cols>
  <x:sheetData>
    <x:row r="1" ht="39.599998474121094" hidden="0" customHeight="1">
      <x:c r="A1" s="71" t="str">
        <x:v>XLSM Row</x:v>
      </x:c>
      <x:c r="B1" s="71" t="str">
        <x:v>Spring</x:v>
      </x:c>
      <x:c r="C1" s="71" t="str">
        <x:v>Point</x:v>
      </x:c>
      <x:c r="D1" s="71" t="str">
        <x:v>NdMax F kN</x:v>
      </x:c>
      <x:c r="E1" s="71" t="str">
        <x:v>Rd I kN</x:v>
      </x:c>
      <x:c r="F1" s="71" t="str">
        <x:v>gammaN</x:v>
      </x:c>
      <x:c r="G1" s="71" t="str">
        <x:v>Excel K=Rd/gamma</x:v>
      </x:c>
      <x:c r="H1" s="71" t="str">
        <x:v>Cached K</x:v>
      </x:c>
      <x:c r="I1" s="71" t="str">
        <x:v>Diff K</x:v>
      </x:c>
      <x:c r="J1" s="71" t="str">
        <x:v>Excel FS=K/F</x:v>
      </x:c>
      <x:c r="K1" s="71" t="str">
        <x:v>Cached L</x:v>
      </x:c>
      <x:c r="L1" s="71" t="str">
        <x:v>Diff L</x:v>
      </x:c>
      <x:c r="M1" s="71" t="str">
        <x:v>Excel Util=F/K</x:v>
      </x:c>
      <x:c r="N1" s="71" t="str">
        <x:v>Excel Status</x:v>
      </x:c>
      <x:c r="O1" s="71" t="str">
        <x:v>Cached M</x:v>
      </x:c>
      <x:c r="P1" s="71" t="str">
        <x:v>Status Match</x:v>
      </x:c>
      <x:c r="Q1" s="71" t="str">
        <x:v>X mm</x:v>
      </x:c>
      <x:c r="R1" s="71" t="str">
        <x:v>Y mm</x:v>
      </x:c>
      <x:c r="S1" s="71" t="str">
        <x:v>Cached Z m</x:v>
      </x:c>
      <x:c r="T1" s="71" t="str">
        <x:v>Excel Z m</x:v>
      </x:c>
      <x:c r="U1" s="71" t="str">
        <x:v>Cached AA m</x:v>
      </x:c>
      <x:c r="V1" s="71" t="str">
        <x:v>Excel AA m</x:v>
      </x:c>
      <x:c r="W1" s="84" t="str">
        <x:v>Coord Diff X</x:v>
      </x:c>
      <x:c r="X1" s="82" t="str">
        <x:v>Coord Diff Y</x:v>
      </x:c>
      <x:c r="Y1" s="71"/>
      <x:c r="Z1" s="80" t="str">
        <x:v>Golden Gate</x:v>
      </x:c>
      <x:c r="AA1" s="80" t="str">
        <x:v>Value</x:v>
      </x:c>
    </x:row>
    <x:row r="2" ht="26.399999618530273" hidden="0" customHeight="1">
      <x:c r="A2" s="29" t="n">
        <x:v>20</x:v>
      </x:c>
      <x:c r="B2" s="29" t="str">
        <x:v>C250</x:v>
      </x:c>
      <x:c r="C2" s="29" t="str">
        <x:v>136</x:v>
      </x:c>
      <x:c r="D2" s="29" t="n">
        <x:v>286.919917748628</x:v>
      </x:c>
      <x:c r="E2" s="29" t="n">
        <x:v>350</x:v>
      </x:c>
      <x:c r="F2" s="29" t="n">
        <x:v>1.15</x:v>
      </x:c>
      <x:c r="G2" s="29" t="n">
        <x:f>E2/F2</x:f>
        <x:v>304.34782608695656</x:v>
      </x:c>
      <x:c r="H2" s="29" t="n">
        <x:v>304.34782608695656</x:v>
      </x:c>
      <x:c r="I2" s="29" t="n">
        <x:f>G2-H2</x:f>
        <x:v>0</x:v>
      </x:c>
      <x:c r="J2" s="29" t="n">
        <x:f>G2/D2</x:f>
        <x:v>1.0607413680969937</x:v>
      </x:c>
      <x:c r="K2" s="29" t="n">
        <x:v>1.0607413680969937</x:v>
      </x:c>
      <x:c r="L2" s="29" t="n">
        <x:f>J2-K2</x:f>
        <x:v>0</x:v>
      </x:c>
      <x:c r="M2" s="29" t="n">
        <x:f>D2/G2</x:f>
        <x:v>0.9427368726026347</x:v>
      </x:c>
      <x:c r="N2" s="29" t="str">
        <x:f>IF(J2&lt;1,"NOT OK","OK")</x:f>
        <x:v>OK</x:v>
      </x:c>
      <x:c r="O2" s="29" t="str">
        <x:v>OK</x:v>
      </x:c>
      <x:c r="P2" s="29" t="str">
        <x:f>IF(N2=O2,"PASS","FAIL")</x:f>
        <x:v>PASS</x:v>
      </x:c>
      <x:c r="Q2" s="29" t="n">
        <x:v>1849.9999999999998</x:v>
      </x:c>
      <x:c r="R2" s="29" t="n">
        <x:v>4960</x:v>
      </x:c>
      <x:c r="S2" s="29" t="n">
        <x:v>1.3699999999999997</x:v>
      </x:c>
      <x:c r="T2" s="29" t="n">
        <x:f>(Q2-480)/1000</x:f>
        <x:v>1.3699999999999997</x:v>
      </x:c>
      <x:c r="U2" s="29" t="n">
        <x:v>4.48</x:v>
      </x:c>
      <x:c r="V2" s="29" t="n">
        <x:f>(R2-480)/1000</x:f>
        <x:v>4.48</x:v>
      </x:c>
      <x:c r="W2" s="29" t="n">
        <x:f>T2-S2</x:f>
        <x:v>0</x:v>
      </x:c>
      <x:c r="X2" s="29" t="n">
        <x:f>V2-U2</x:f>
        <x:v>0</x:v>
      </x:c>
      <x:c r="Y2" s="29"/>
      <x:c r="Z2" t="str">
        <x:v>Rows</x:v>
      </x:c>
      <x:c r="AA2" t="n">
        <x:f>ROWS(A2:A20)</x:f>
        <x:v>19</x:v>
      </x:c>
    </x:row>
    <x:row r="3" ht="26.399999618530273" hidden="0" customHeight="1">
      <x:c r="A3" s="29" t="n">
        <x:v>21</x:v>
      </x:c>
      <x:c r="B3" s="29" t="str">
        <x:v>C250</x:v>
      </x:c>
      <x:c r="C3" s="29" t="str">
        <x:v>137</x:v>
      </x:c>
      <x:c r="D3" s="29" t="n">
        <x:v>260.927826806112</x:v>
      </x:c>
      <x:c r="E3" s="29" t="n">
        <x:v>350</x:v>
      </x:c>
      <x:c r="F3" s="29" t="n">
        <x:v>1.15</x:v>
      </x:c>
      <x:c r="G3" s="29" t="n">
        <x:f>E3/F3</x:f>
        <x:v>304.34782608695656</x:v>
      </x:c>
      <x:c r="H3" s="29" t="n">
        <x:v>304.34782608695656</x:v>
      </x:c>
      <x:c r="I3" s="29" t="n">
        <x:f>G3-H3</x:f>
        <x:v>0</x:v>
      </x:c>
      <x:c r="J3" s="29" t="n">
        <x:f>G3/D3</x:f>
        <x:v>1.1664061660740719</x:v>
      </x:c>
      <x:c r="K3" s="29" t="n">
        <x:v>1.1664061660740719</x:v>
      </x:c>
      <x:c r="L3" s="29" t="n">
        <x:f>J3-K3</x:f>
        <x:v>0</x:v>
      </x:c>
      <x:c r="M3" s="29" t="n">
        <x:f>D3/G3</x:f>
        <x:v>0.8573342880772251</x:v>
      </x:c>
      <x:c r="N3" s="29" t="str">
        <x:f>IF(J3&lt;1,"NOT OK","OK")</x:f>
        <x:v>OK</x:v>
      </x:c>
      <x:c r="O3" s="29" t="str">
        <x:v>OK</x:v>
      </x:c>
      <x:c r="P3" s="29" t="str">
        <x:f>IF(N3=O3,"PASS","FAIL")</x:f>
        <x:v>PASS</x:v>
      </x:c>
      <x:c r="Q3" s="29" t="n">
        <x:v>1680</x:v>
      </x:c>
      <x:c r="R3" s="29" t="n">
        <x:v>4030.0000000000005</x:v>
      </x:c>
      <x:c r="S3" s="29" t="n">
        <x:v>1.2</x:v>
      </x:c>
      <x:c r="T3" s="29" t="n">
        <x:f>(Q3-480)/1000</x:f>
        <x:v>1.2</x:v>
      </x:c>
      <x:c r="U3" s="29" t="n">
        <x:v>3.5500000000000003</x:v>
      </x:c>
      <x:c r="V3" s="29" t="n">
        <x:f>(R3-480)/1000</x:f>
        <x:v>3.5500000000000003</x:v>
      </x:c>
      <x:c r="W3" s="29" t="n">
        <x:f>T3-S3</x:f>
        <x:v>0</x:v>
      </x:c>
      <x:c r="X3" s="29" t="n">
        <x:f>V3-U3</x:f>
        <x:v>0</x:v>
      </x:c>
      <x:c r="Y3" s="29"/>
      <x:c r="Z3" t="str">
        <x:v>K exact</x:v>
      </x:c>
      <x:c r="AA3" t="str">
        <x:f>IF(AND(MAX(I2:I20)&lt;1E-9,MIN(I2:I20)&gt;-1E-9),"PASS","FAIL")</x:f>
        <x:v>PASS</x:v>
      </x:c>
    </x:row>
    <x:row r="4" ht="26.399999618530273" hidden="0" customHeight="1">
      <x:c r="A4" s="29" t="n">
        <x:v>22</x:v>
      </x:c>
      <x:c r="B4" s="29" t="str">
        <x:v>C250</x:v>
      </x:c>
      <x:c r="C4" s="29" t="str">
        <x:v>144</x:v>
      </x:c>
      <x:c r="D4" s="29" t="n">
        <x:v>270.89349858249</x:v>
      </x:c>
      <x:c r="E4" s="29" t="n">
        <x:v>350</x:v>
      </x:c>
      <x:c r="F4" s="29" t="n">
        <x:v>1.15</x:v>
      </x:c>
      <x:c r="G4" s="29" t="n">
        <x:f>E4/F4</x:f>
        <x:v>304.34782608695656</x:v>
      </x:c>
      <x:c r="H4" s="29" t="n">
        <x:v>304.34782608695656</x:v>
      </x:c>
      <x:c r="I4" s="29" t="n">
        <x:f>G4-H4</x:f>
        <x:v>0</x:v>
      </x:c>
      <x:c r="J4" s="29" t="n">
        <x:f>G4/D4</x:f>
        <x:v>1.123496236268215</x:v>
      </x:c>
      <x:c r="K4" s="29" t="n">
        <x:v>1.123496236268215</x:v>
      </x:c>
      <x:c r="L4" s="29" t="n">
        <x:f>J4-K4</x:f>
        <x:v>0</x:v>
      </x:c>
      <x:c r="M4" s="29" t="n">
        <x:f>D4/G4</x:f>
        <x:v>0.8900786381996099</x:v>
      </x:c>
      <x:c r="N4" s="29" t="str">
        <x:f>IF(J4&lt;1,"NOT OK","OK")</x:f>
        <x:v>OK</x:v>
      </x:c>
      <x:c r="O4" s="29" t="str">
        <x:v>OK</x:v>
      </x:c>
      <x:c r="P4" s="29" t="str">
        <x:f>IF(N4=O4,"PASS","FAIL")</x:f>
        <x:v>PASS</x:v>
      </x:c>
      <x:c r="Q4" s="29" t="n">
        <x:v>750</x:v>
      </x:c>
      <x:c r="R4" s="29" t="n">
        <x:v>4030.0000000000005</x:v>
      </x:c>
      <x:c r="S4" s="29" t="n">
        <x:v>0.27</x:v>
      </x:c>
      <x:c r="T4" s="29" t="n">
        <x:f>(Q4-480)/1000</x:f>
        <x:v>0.27</x:v>
      </x:c>
      <x:c r="U4" s="29" t="n">
        <x:v>3.5500000000000003</x:v>
      </x:c>
      <x:c r="V4" s="29" t="n">
        <x:f>(R4-480)/1000</x:f>
        <x:v>3.5500000000000003</x:v>
      </x:c>
      <x:c r="W4" s="29" t="n">
        <x:f>T4-S4</x:f>
        <x:v>0</x:v>
      </x:c>
      <x:c r="X4" s="29" t="n">
        <x:f>V4-U4</x:f>
        <x:v>0</x:v>
      </x:c>
      <x:c r="Y4" s="29"/>
      <x:c r="Z4" t="str">
        <x:v>FS exact</x:v>
      </x:c>
      <x:c r="AA4" t="str">
        <x:f>IF(AND(MAX(L2:L20)&lt;1E-9,MIN(L2:L20)&gt;-1E-9),"PASS","FAIL")</x:f>
        <x:v>PASS</x:v>
      </x:c>
    </x:row>
    <x:row r="5" ht="26.399999618530273" hidden="0" customHeight="1">
      <x:c r="A5" s="29" t="n">
        <x:v>23</x:v>
      </x:c>
      <x:c r="B5" s="29" t="str">
        <x:v>C250</x:v>
      </x:c>
      <x:c r="C5" s="29" t="str">
        <x:v>145</x:v>
      </x:c>
      <x:c r="D5" s="29" t="n">
        <x:v>285.1184277096</x:v>
      </x:c>
      <x:c r="E5" s="29" t="n">
        <x:v>350</x:v>
      </x:c>
      <x:c r="F5" s="29" t="n">
        <x:v>1.15</x:v>
      </x:c>
      <x:c r="G5" s="29" t="n">
        <x:f>E5/F5</x:f>
        <x:v>304.34782608695656</x:v>
      </x:c>
      <x:c r="H5" s="29" t="n">
        <x:v>304.34782608695656</x:v>
      </x:c>
      <x:c r="I5" s="29" t="n">
        <x:f>G5-H5</x:f>
        <x:v>0</x:v>
      </x:c>
      <x:c r="J5" s="29" t="n">
        <x:f>G5/D5</x:f>
        <x:v>1.0674435480436297</x:v>
      </x:c>
      <x:c r="K5" s="29" t="n">
        <x:v>1.0674435480436297</x:v>
      </x:c>
      <x:c r="L5" s="29" t="n">
        <x:f>J5-K5</x:f>
        <x:v>0</x:v>
      </x:c>
      <x:c r="M5" s="29" t="n">
        <x:f>D5/G5</x:f>
        <x:v>0.9368176910458285</x:v>
      </x:c>
      <x:c r="N5" s="29" t="str">
        <x:f>IF(J5&lt;1,"NOT OK","OK")</x:f>
        <x:v>OK</x:v>
      </x:c>
      <x:c r="O5" s="29" t="str">
        <x:v>OK</x:v>
      </x:c>
      <x:c r="P5" s="29" t="str">
        <x:f>IF(N5=O5,"PASS","FAIL")</x:f>
        <x:v>PASS</x:v>
      </x:c>
      <x:c r="Q5" s="29" t="n">
        <x:v>750</x:v>
      </x:c>
      <x:c r="R5" s="29" t="n">
        <x:v>4960</x:v>
      </x:c>
      <x:c r="S5" s="29" t="n">
        <x:v>0.27</x:v>
      </x:c>
      <x:c r="T5" s="29" t="n">
        <x:f>(Q5-480)/1000</x:f>
        <x:v>0.27</x:v>
      </x:c>
      <x:c r="U5" s="29" t="n">
        <x:v>4.48</x:v>
      </x:c>
      <x:c r="V5" s="29" t="n">
        <x:f>(R5-480)/1000</x:f>
        <x:v>4.48</x:v>
      </x:c>
      <x:c r="W5" s="29" t="n">
        <x:f>T5-S5</x:f>
        <x:v>0</x:v>
      </x:c>
      <x:c r="X5" s="29" t="n">
        <x:f>V5-U5</x:f>
        <x:v>0</x:v>
      </x:c>
      <x:c r="Y5" s="29"/>
      <x:c r="Z5" t="str">
        <x:v>Status exact</x:v>
      </x:c>
      <x:c r="AA5" t="str">
        <x:f>IF(COUNTIF(P2:P20,"FAIL")=0,"PASS","FAIL")</x:f>
        <x:v>PASS</x:v>
      </x:c>
    </x:row>
    <x:row r="6" ht="26.399999618530273" hidden="0" customHeight="1">
      <x:c r="A6" s="29" t="n">
        <x:v>24</x:v>
      </x:c>
      <x:c r="B6" s="29" t="str">
        <x:v>C250</x:v>
      </x:c>
      <x:c r="C6" s="29" t="str">
        <x:v>146</x:v>
      </x:c>
      <x:c r="D6" s="29" t="n">
        <x:v>297.485906351698</x:v>
      </x:c>
      <x:c r="E6" s="29" t="n">
        <x:v>350</x:v>
      </x:c>
      <x:c r="F6" s="29" t="n">
        <x:v>1.15</x:v>
      </x:c>
      <x:c r="G6" s="29" t="n">
        <x:f>E6/F6</x:f>
        <x:v>304.34782608695656</x:v>
      </x:c>
      <x:c r="H6" s="29" t="n">
        <x:v>304.34782608695656</x:v>
      </x:c>
      <x:c r="I6" s="29" t="n">
        <x:f>G6-H6</x:f>
        <x:v>0</x:v>
      </x:c>
      <x:c r="J6" s="29" t="n">
        <x:f>G6/D6</x:f>
        <x:v>1.0230663691581616</x:v>
      </x:c>
      <x:c r="K6" s="29" t="n">
        <x:v>1.0230663691581616</x:v>
      </x:c>
      <x:c r="L6" s="29" t="n">
        <x:f>J6-K6</x:f>
        <x:v>0</x:v>
      </x:c>
      <x:c r="M6" s="29" t="n">
        <x:f>D6/G6</x:f>
        <x:v>0.9774536922984363</x:v>
      </x:c>
      <x:c r="N6" s="29" t="str">
        <x:f>IF(J6&lt;1,"NOT OK","OK")</x:f>
        <x:v>OK</x:v>
      </x:c>
      <x:c r="O6" s="29" t="str">
        <x:v>OK</x:v>
      </x:c>
      <x:c r="P6" s="29" t="str">
        <x:f>IF(N6=O6,"PASS","FAIL")</x:f>
        <x:v>PASS</x:v>
      </x:c>
      <x:c r="Q6" s="29" t="n">
        <x:v>3330</x:v>
      </x:c>
      <x:c r="R6" s="29" t="n">
        <x:v>5390</x:v>
      </x:c>
      <x:c r="S6" s="29" t="n">
        <x:v>2.85</x:v>
      </x:c>
      <x:c r="T6" s="29" t="n">
        <x:f>(Q6-480)/1000</x:f>
        <x:v>2.85</x:v>
      </x:c>
      <x:c r="U6" s="29" t="n">
        <x:v>4.91</x:v>
      </x:c>
      <x:c r="V6" s="29" t="n">
        <x:f>(R6-480)/1000</x:f>
        <x:v>4.91</x:v>
      </x:c>
      <x:c r="W6" s="29" t="n">
        <x:f>T6-S6</x:f>
        <x:v>0</x:v>
      </x:c>
      <x:c r="X6" s="29" t="n">
        <x:f>V6-U6</x:f>
        <x:v>0</x:v>
      </x:c>
      <x:c r="Y6" s="29"/>
      <x:c r="Z6" t="str">
        <x:v>Coordinate exact</x:v>
      </x:c>
      <x:c r="AA6" t="str">
        <x:f>IF(AND(MAX(W2:W20)&lt;1E-9,MIN(W2:W20)&gt;-1E-9,MAX(X2:X20)&lt;1E-9,MIN(X2:X20)&gt;-1E-9),"PASS","FAIL")</x:f>
        <x:v>PASS</x:v>
      </x:c>
    </x:row>
    <x:row r="7" ht="26.399999618530273" hidden="0" customHeight="1">
      <x:c r="A7" s="29" t="n">
        <x:v>25</x:v>
      </x:c>
      <x:c r="B7" s="29" t="str">
        <x:v>C250</x:v>
      </x:c>
      <x:c r="C7" s="29" t="str">
        <x:v>147</x:v>
      </x:c>
      <x:c r="D7" s="29" t="n">
        <x:v>300.337650867034</x:v>
      </x:c>
      <x:c r="E7" s="29" t="n">
        <x:v>350</x:v>
      </x:c>
      <x:c r="F7" s="29" t="n">
        <x:v>1.15</x:v>
      </x:c>
      <x:c r="G7" s="29" t="n">
        <x:f>E7/F7</x:f>
        <x:v>304.34782608695656</x:v>
      </x:c>
      <x:c r="H7" s="29" t="n">
        <x:v>304.34782608695656</x:v>
      </x:c>
      <x:c r="I7" s="29" t="n">
        <x:f>G7-H7</x:f>
        <x:v>0</x:v>
      </x:c>
      <x:c r="J7" s="29" t="n">
        <x:f>G7/D7</x:f>
        <x:v>1.0133522227677607</x:v>
      </x:c>
      <x:c r="K7" s="29" t="n">
        <x:v>1.0133522227677607</x:v>
      </x:c>
      <x:c r="L7" s="29" t="n">
        <x:f>J7-K7</x:f>
        <x:v>0</x:v>
      </x:c>
      <x:c r="M7" s="29" t="n">
        <x:f>D7/G7</x:f>
        <x:v>0.9868237099916829</x:v>
      </x:c>
      <x:c r="N7" s="29" t="str">
        <x:f>IF(J7&lt;1,"NOT OK","OK")</x:f>
        <x:v>OK</x:v>
      </x:c>
      <x:c r="O7" s="29" t="str">
        <x:v>OK</x:v>
      </x:c>
      <x:c r="P7" s="29" t="str">
        <x:f>IF(N7=O7,"PASS","FAIL")</x:f>
        <x:v>PASS</x:v>
      </x:c>
      <x:c r="Q7" s="29" t="n">
        <x:v>4070.0000000000005</x:v>
      </x:c>
      <x:c r="R7" s="29" t="n">
        <x:v>5480</x:v>
      </x:c>
      <x:c r="S7" s="29" t="n">
        <x:v>3.5900000000000003</x:v>
      </x:c>
      <x:c r="T7" s="29" t="n">
        <x:f>(Q7-480)/1000</x:f>
        <x:v>3.5900000000000003</x:v>
      </x:c>
      <x:c r="U7" s="29" t="n">
        <x:v>5</x:v>
      </x:c>
      <x:c r="V7" s="29" t="n">
        <x:f>(R7-480)/1000</x:f>
        <x:v>5</x:v>
      </x:c>
      <x:c r="W7" s="29" t="n">
        <x:f>T7-S7</x:f>
        <x:v>0</x:v>
      </x:c>
      <x:c r="X7" s="29" t="n">
        <x:f>V7-U7</x:f>
        <x:v>0</x:v>
      </x:c>
      <x:c r="Y7" s="29"/>
      <x:c r="Z7" t="str">
        <x:v>Engine row tests</x:v>
      </x:c>
      <x:c r="AA7" t="str">
        <x:v>19/19 PASS</x:v>
      </x:c>
    </x:row>
    <x:row r="8" ht="39.599998474121094" hidden="0" customHeight="1">
      <x:c r="A8" s="29" t="n">
        <x:v>26</x:v>
      </x:c>
      <x:c r="B8" s="29" t="str">
        <x:v>C250</x:v>
      </x:c>
      <x:c r="C8" s="29" t="str">
        <x:v>148</x:v>
      </x:c>
      <x:c r="D8" s="29" t="n">
        <x:v>300.045558219307</x:v>
      </x:c>
      <x:c r="E8" s="29" t="n">
        <x:v>350</x:v>
      </x:c>
      <x:c r="F8" s="29" t="n">
        <x:v>1.15</x:v>
      </x:c>
      <x:c r="G8" s="29" t="n">
        <x:f>E8/F8</x:f>
        <x:v>304.34782608695656</x:v>
      </x:c>
      <x:c r="H8" s="29" t="n">
        <x:v>304.34782608695656</x:v>
      </x:c>
      <x:c r="I8" s="29" t="n">
        <x:f>G8-H8</x:f>
        <x:v>0</x:v>
      </x:c>
      <x:c r="J8" s="29" t="n">
        <x:f>G8/D8</x:f>
        <x:v>1.014338715404362</x:v>
      </x:c>
      <x:c r="K8" s="29" t="n">
        <x:v>1.014338715404362</x:v>
      </x:c>
      <x:c r="L8" s="29" t="n">
        <x:f>J8-K8</x:f>
        <x:v>0</x:v>
      </x:c>
      <x:c r="M8" s="29" t="n">
        <x:f>D8/G8</x:f>
        <x:v>0.9858639770062942</x:v>
      </x:c>
      <x:c r="N8" s="29" t="str">
        <x:f>IF(J8&lt;1,"NOT OK","OK")</x:f>
        <x:v>OK</x:v>
      </x:c>
      <x:c r="O8" s="29" t="str">
        <x:v>OK</x:v>
      </x:c>
      <x:c r="P8" s="29" t="str">
        <x:f>IF(N8=O8,"PASS","FAIL")</x:f>
        <x:v>PASS</x:v>
      </x:c>
      <x:c r="Q8" s="29" t="n">
        <x:v>4810</x:v>
      </x:c>
      <x:c r="R8" s="29" t="n">
        <x:v>5570</x:v>
      </x:c>
      <x:c r="S8" s="29" t="n">
        <x:v>4.33</x:v>
      </x:c>
      <x:c r="T8" s="29" t="n">
        <x:f>(Q8-480)/1000</x:f>
        <x:v>4.33</x:v>
      </x:c>
      <x:c r="U8" s="29" t="n">
        <x:v>5.09</x:v>
      </x:c>
      <x:c r="V8" s="29" t="n">
        <x:f>(R8-480)/1000</x:f>
        <x:v>5.09</x:v>
      </x:c>
      <x:c r="W8" s="29" t="n">
        <x:f>T8-S8</x:f>
        <x:v>0</x:v>
      </x:c>
      <x:c r="X8" s="29" t="n">
        <x:f>V8-U8</x:f>
        <x:v>0</x:v>
      </x:c>
      <x:c r="Y8" s="29"/>
      <x:c r="Z8" t="str">
        <x:v>Cached independent checks</x:v>
      </x:c>
      <x:c r="AA8" t="str">
        <x:v>304/304 PASS</x:v>
      </x:c>
    </x:row>
    <x:row r="9" ht="39.599998474121094" hidden="0" customHeight="1">
      <x:c r="A9" s="29" t="n">
        <x:v>27</x:v>
      </x:c>
      <x:c r="B9" s="29" t="str">
        <x:v>C250</x:v>
      </x:c>
      <x:c r="C9" s="29" t="str">
        <x:v>159</x:v>
      </x:c>
      <x:c r="D9" s="29" t="n">
        <x:v>303.413682144375</x:v>
      </x:c>
      <x:c r="E9" s="29" t="n">
        <x:v>350</x:v>
      </x:c>
      <x:c r="F9" s="29" t="n">
        <x:v>1.15</x:v>
      </x:c>
      <x:c r="G9" s="29" t="n">
        <x:f>E9/F9</x:f>
        <x:v>304.34782608695656</x:v>
      </x:c>
      <x:c r="H9" s="29" t="n">
        <x:v>304.34782608695656</x:v>
      </x:c>
      <x:c r="I9" s="29" t="n">
        <x:f>G9-H9</x:f>
        <x:v>0</x:v>
      </x:c>
      <x:c r="J9" s="29" t="n">
        <x:f>G9/D9</x:f>
        <x:v>1.0030787798888288</x:v>
      </x:c>
      <x:c r="K9" s="29" t="n">
        <x:v>1.0030787798888288</x:v>
      </x:c>
      <x:c r="L9" s="29" t="n">
        <x:f>J9-K9</x:f>
        <x:v>0</x:v>
      </x:c>
      <x:c r="M9" s="29" t="n">
        <x:f>D9/G9</x:f>
        <x:v>0.9969306699029463</x:v>
      </x:c>
      <x:c r="N9" s="29" t="str">
        <x:f>IF(J9&lt;1,"NOT OK","OK")</x:f>
        <x:v>OK</x:v>
      </x:c>
      <x:c r="O9" s="29" t="str">
        <x:v>OK</x:v>
      </x:c>
      <x:c r="P9" s="29" t="str">
        <x:f>IF(N9=O9,"PASS","FAIL")</x:f>
        <x:v>PASS</x:v>
      </x:c>
      <x:c r="Q9" s="29" t="n">
        <x:v>7190</x:v>
      </x:c>
      <x:c r="R9" s="29" t="n">
        <x:v>5720</x:v>
      </x:c>
      <x:c r="S9" s="29" t="n">
        <x:v>6.71</x:v>
      </x:c>
      <x:c r="T9" s="29" t="n">
        <x:f>(Q9-480)/1000</x:f>
        <x:v>6.71</x:v>
      </x:c>
      <x:c r="U9" s="29" t="n">
        <x:v>5.24</x:v>
      </x:c>
      <x:c r="V9" s="29" t="n">
        <x:f>(R9-480)/1000</x:f>
        <x:v>5.24</x:v>
      </x:c>
      <x:c r="W9" s="29" t="n">
        <x:f>T9-S9</x:f>
        <x:v>0</x:v>
      </x:c>
      <x:c r="X9" s="29" t="n">
        <x:f>V9-U9</x:f>
        <x:v>0</x:v>
      </x:c>
      <x:c r="Y9" s="29"/>
      <x:c r="Z9" t="str">
        <x:v>Formula fingerprints</x:v>
      </x:c>
      <x:c r="AA9" t="str">
        <x:v>22</x:v>
      </x:c>
    </x:row>
    <x:row r="10" ht="79.19999694824219" hidden="0" customHeight="1">
      <x:c r="A10" s="29" t="n">
        <x:v>28</x:v>
      </x:c>
      <x:c r="B10" s="29" t="str">
        <x:v>C250</x:v>
      </x:c>
      <x:c r="C10" s="29" t="str">
        <x:v>160</x:v>
      </x:c>
      <x:c r="D10" s="29" t="n">
        <x:v>343.639189746848</x:v>
      </x:c>
      <x:c r="E10" s="29" t="n">
        <x:v>350</x:v>
      </x:c>
      <x:c r="F10" s="29" t="n">
        <x:v>1.15</x:v>
      </x:c>
      <x:c r="G10" s="29" t="n">
        <x:f>E10/F10</x:f>
        <x:v>304.34782608695656</x:v>
      </x:c>
      <x:c r="H10" s="29" t="n">
        <x:v>304.34782608695656</x:v>
      </x:c>
      <x:c r="I10" s="29" t="n">
        <x:f>G10-H10</x:f>
        <x:v>0</x:v>
      </x:c>
      <x:c r="J10" s="29" t="n">
        <x:f>G10/D10</x:f>
        <x:v>0.8856609931805608</x:v>
      </x:c>
      <x:c r="K10" s="29" t="n">
        <x:v>0.8856609931805608</x:v>
      </x:c>
      <x:c r="L10" s="29" t="n">
        <x:f>J10-K10</x:f>
        <x:v>0</x:v>
      </x:c>
      <x:c r="M10" s="29" t="n">
        <x:f>D10/G10</x:f>
        <x:v>1.1291001948825004</x:v>
      </x:c>
      <x:c r="N10" s="29" t="str">
        <x:f>IF(J10&lt;1,"NOT OK","OK")</x:f>
        <x:v>NOT OK</x:v>
      </x:c>
      <x:c r="O10" s="29" t="str">
        <x:v>NOT OK</x:v>
      </x:c>
      <x:c r="P10" s="29" t="str">
        <x:f>IF(N10=O10,"PASS","FAIL")</x:f>
        <x:v>PASS</x:v>
      </x:c>
      <x:c r="Q10" s="29" t="n">
        <x:v>7930</x:v>
      </x:c>
      <x:c r="R10" s="29" t="n">
        <x:v>5810</x:v>
      </x:c>
      <x:c r="S10" s="29" t="n">
        <x:v>7.45</x:v>
      </x:c>
      <x:c r="T10" s="29" t="n">
        <x:f>(Q10-480)/1000</x:f>
        <x:v>7.45</x:v>
      </x:c>
      <x:c r="U10" s="29" t="n">
        <x:v>5.33</x:v>
      </x:c>
      <x:c r="V10" s="29" t="n">
        <x:f>(R10-480)/1000</x:f>
        <x:v>5.33</x:v>
      </x:c>
      <x:c r="W10" s="29" t="n">
        <x:f>T10-S10</x:f>
        <x:v>0</x:v>
      </x:c>
      <x:c r="X10" s="29" t="n">
        <x:f>V10-U10</x:f>
        <x:v>0</x:v>
      </x:c>
      <x:c r="Y10" s="29"/>
      <x:c r="Z10" t="str">
        <x:v>Decision</x:v>
      </x:c>
      <x:c r="AA10" t="str">
        <x:v>REVIEW: NhomCoc unseen groups unresolved</x:v>
      </x:c>
    </x:row>
    <x:row r="11" ht="26.399999618530273" hidden="0" customHeight="1">
      <x:c r="A11" s="29" t="n">
        <x:v>29</x:v>
      </x:c>
      <x:c r="B11" s="29" t="str">
        <x:v>C250</x:v>
      </x:c>
      <x:c r="C11" s="29" t="str">
        <x:v>161</x:v>
      </x:c>
      <x:c r="D11" s="29" t="n">
        <x:v>280.227715742439</x:v>
      </x:c>
      <x:c r="E11" s="29" t="n">
        <x:v>350</x:v>
      </x:c>
      <x:c r="F11" s="29" t="n">
        <x:v>1.15</x:v>
      </x:c>
      <x:c r="G11" s="29" t="n">
        <x:f>E11/F11</x:f>
        <x:v>304.34782608695656</x:v>
      </x:c>
      <x:c r="H11" s="29" t="n">
        <x:v>304.34782608695656</x:v>
      </x:c>
      <x:c r="I11" s="29" t="n">
        <x:f>G11-H11</x:f>
        <x:v>0</x:v>
      </x:c>
      <x:c r="J11" s="29" t="n">
        <x:f>G11/D11</x:f>
        <x:v>1.0860732503942854</x:v>
      </x:c>
      <x:c r="K11" s="29" t="n">
        <x:v>1.0860732503942854</x:v>
      </x:c>
      <x:c r="L11" s="29" t="n">
        <x:f>J11-K11</x:f>
        <x:v>0</x:v>
      </x:c>
      <x:c r="M11" s="29" t="n">
        <x:f>D11/G11</x:f>
        <x:v>0.9207482088680137</x:v>
      </x:c>
      <x:c r="N11" s="29" t="str">
        <x:f>IF(J11&lt;1,"NOT OK","OK")</x:f>
        <x:v>OK</x:v>
      </x:c>
      <x:c r="O11" s="29" t="str">
        <x:v>OK</x:v>
      </x:c>
      <x:c r="P11" s="29" t="str">
        <x:f>IF(N11=O11,"PASS","FAIL")</x:f>
        <x:v>PASS</x:v>
      </x:c>
      <x:c r="Q11" s="29" t="n">
        <x:v>8200</x:v>
      </x:c>
      <x:c r="R11" s="29" t="n">
        <x:v>5110</x:v>
      </x:c>
      <x:c r="S11" s="29" t="n">
        <x:v>7.72</x:v>
      </x:c>
      <x:c r="T11" s="29" t="n">
        <x:f>(Q11-480)/1000</x:f>
        <x:v>7.72</x:v>
      </x:c>
      <x:c r="U11" s="29" t="n">
        <x:v>4.63</x:v>
      </x:c>
      <x:c r="V11" s="29" t="n">
        <x:f>(R11-480)/1000</x:f>
        <x:v>4.63</x:v>
      </x:c>
      <x:c r="W11" s="29" t="n">
        <x:f>T11-S11</x:f>
        <x:v>0</x:v>
      </x:c>
      <x:c r="X11" s="29" t="n">
        <x:f>V11-U11</x:f>
        <x:v>0</x:v>
      </x:c>
      <x:c r="Y11" s="29"/>
    </x:row>
    <x:row r="12" ht="26.399999618530273" hidden="0" customHeight="1">
      <x:c r="A12" s="29" t="n">
        <x:v>30</x:v>
      </x:c>
      <x:c r="B12" s="29" t="str">
        <x:v>C250</x:v>
      </x:c>
      <x:c r="C12" s="29" t="str">
        <x:v>167</x:v>
      </x:c>
      <x:c r="D12" s="29" t="n">
        <x:v>310.901779033709</x:v>
      </x:c>
      <x:c r="E12" s="29" t="n">
        <x:v>350</x:v>
      </x:c>
      <x:c r="F12" s="29" t="n">
        <x:v>1.15</x:v>
      </x:c>
      <x:c r="G12" s="29" t="n">
        <x:f>E12/F12</x:f>
        <x:v>304.34782608695656</x:v>
      </x:c>
      <x:c r="H12" s="29" t="n">
        <x:v>304.34782608695656</x:v>
      </x:c>
      <x:c r="I12" s="29" t="n">
        <x:f>G12-H12</x:f>
        <x:v>0</x:v>
      </x:c>
      <x:c r="J12" s="29" t="n">
        <x:f>G12/D12</x:f>
        <x:v>0.978919538617237</x:v>
      </x:c>
      <x:c r="K12" s="29" t="n">
        <x:v>0.978919538617237</x:v>
      </x:c>
      <x:c r="L12" s="29" t="n">
        <x:f>J12-K12</x:f>
        <x:v>0</x:v>
      </x:c>
      <x:c r="M12" s="29" t="n">
        <x:f>D12/G12</x:f>
        <x:v>1.0215344168250438</x:v>
      </x:c>
      <x:c r="N12" s="29" t="str">
        <x:f>IF(J12&lt;1,"NOT OK","OK")</x:f>
        <x:v>NOT OK</x:v>
      </x:c>
      <x:c r="O12" s="29" t="str">
        <x:v>NOT OK</x:v>
      </x:c>
      <x:c r="P12" s="29" t="str">
        <x:f>IF(N12=O12,"PASS","FAIL")</x:f>
        <x:v>PASS</x:v>
      </x:c>
      <x:c r="Q12" s="29" t="n">
        <x:v>6900</x:v>
      </x:c>
      <x:c r="R12" s="29" t="n">
        <x:v>460</x:v>
      </x:c>
      <x:c r="S12" s="29" t="n">
        <x:v>6.42</x:v>
      </x:c>
      <x:c r="T12" s="29" t="n">
        <x:f>(Q12-480)/1000</x:f>
        <x:v>6.42</x:v>
      </x:c>
      <x:c r="U12" s="29" t="n">
        <x:v>-0.02</x:v>
      </x:c>
      <x:c r="V12" s="29" t="n">
        <x:f>(R12-480)/1000</x:f>
        <x:v>-0.02</x:v>
      </x:c>
      <x:c r="W12" s="29" t="n">
        <x:f>T12-S12</x:f>
        <x:v>0</x:v>
      </x:c>
      <x:c r="X12" s="29" t="n">
        <x:f>V12-U12</x:f>
        <x:v>0</x:v>
      </x:c>
      <x:c r="Y12" s="29"/>
    </x:row>
    <x:row r="13" ht="26.399999618530273" hidden="0" customHeight="1">
      <x:c r="A13" s="29" t="n">
        <x:v>31</x:v>
      </x:c>
      <x:c r="B13" s="29" t="str">
        <x:v>C250</x:v>
      </x:c>
      <x:c r="C13" s="29" t="str">
        <x:v>168</x:v>
      </x:c>
      <x:c r="D13" s="29" t="n">
        <x:v>365.292050700582</x:v>
      </x:c>
      <x:c r="E13" s="29" t="n">
        <x:v>350</x:v>
      </x:c>
      <x:c r="F13" s="29" t="n">
        <x:v>1.15</x:v>
      </x:c>
      <x:c r="G13" s="29" t="n">
        <x:f>E13/F13</x:f>
        <x:v>304.34782608695656</x:v>
      </x:c>
      <x:c r="H13" s="29" t="n">
        <x:v>304.34782608695656</x:v>
      </x:c>
      <x:c r="I13" s="29" t="n">
        <x:f>G13-H13</x:f>
        <x:v>0</x:v>
      </x:c>
      <x:c r="J13" s="29" t="n">
        <x:f>G13/D13</x:f>
        <x:v>0.8331630143696188</x:v>
      </x:c>
      <x:c r="K13" s="29" t="n">
        <x:v>0.8331630143696188</x:v>
      </x:c>
      <x:c r="L13" s="29" t="n">
        <x:f>J13-K13</x:f>
        <x:v>0</x:v>
      </x:c>
      <x:c r="M13" s="29" t="n">
        <x:f>D13/G13</x:f>
        <x:v>1.2002453094447694</x:v>
      </x:c>
      <x:c r="N13" s="29" t="str">
        <x:f>IF(J13&lt;1,"NOT OK","OK")</x:f>
        <x:v>NOT OK</x:v>
      </x:c>
      <x:c r="O13" s="29" t="str">
        <x:v>NOT OK</x:v>
      </x:c>
      <x:c r="P13" s="29" t="str">
        <x:f>IF(N13=O13,"PASS","FAIL")</x:f>
        <x:v>PASS</x:v>
      </x:c>
      <x:c r="Q13" s="29" t="n">
        <x:v>7650</x:v>
      </x:c>
      <x:c r="R13" s="29" t="n">
        <x:v>460</x:v>
      </x:c>
      <x:c r="S13" s="29" t="n">
        <x:v>7.17</x:v>
      </x:c>
      <x:c r="T13" s="29" t="n">
        <x:f>(Q13-480)/1000</x:f>
        <x:v>7.17</x:v>
      </x:c>
      <x:c r="U13" s="29" t="n">
        <x:v>-0.02</x:v>
      </x:c>
      <x:c r="V13" s="29" t="n">
        <x:f>(R13-480)/1000</x:f>
        <x:v>-0.02</x:v>
      </x:c>
      <x:c r="W13" s="29" t="n">
        <x:f>T13-S13</x:f>
        <x:v>0</x:v>
      </x:c>
      <x:c r="X13" s="29" t="n">
        <x:f>V13-U13</x:f>
        <x:v>0</x:v>
      </x:c>
      <x:c r="Y13" s="29"/>
    </x:row>
    <x:row r="14" ht="26.399999618530273" hidden="0" customHeight="1">
      <x:c r="A14" s="29" t="n">
        <x:v>32</x:v>
      </x:c>
      <x:c r="B14" s="29" t="str">
        <x:v>C250</x:v>
      </x:c>
      <x:c r="C14" s="29" t="str">
        <x:v>169</x:v>
      </x:c>
      <x:c r="D14" s="29" t="n">
        <x:v>290.521381936257</x:v>
      </x:c>
      <x:c r="E14" s="29" t="n">
        <x:v>350</x:v>
      </x:c>
      <x:c r="F14" s="29" t="n">
        <x:v>1.15</x:v>
      </x:c>
      <x:c r="G14" s="29" t="n">
        <x:f>E14/F14</x:f>
        <x:v>304.34782608695656</x:v>
      </x:c>
      <x:c r="H14" s="29" t="n">
        <x:v>304.34782608695656</x:v>
      </x:c>
      <x:c r="I14" s="29" t="n">
        <x:f>G14-H14</x:f>
        <x:v>0</x:v>
      </x:c>
      <x:c r="J14" s="29" t="n">
        <x:f>G14/D14</x:f>
        <x:v>1.0475918297598255</x:v>
      </x:c>
      <x:c r="K14" s="29" t="n">
        <x:v>1.0475918297598255</x:v>
      </x:c>
      <x:c r="L14" s="29" t="n">
        <x:f>J14-K14</x:f>
        <x:v>0</x:v>
      </x:c>
      <x:c r="M14" s="29" t="n">
        <x:f>D14/G14</x:f>
        <x:v>0.9545702549334157</x:v>
      </x:c>
      <x:c r="N14" s="29" t="str">
        <x:f>IF(J14&lt;1,"NOT OK","OK")</x:f>
        <x:v>OK</x:v>
      </x:c>
      <x:c r="O14" s="29" t="str">
        <x:v>OK</x:v>
      </x:c>
      <x:c r="P14" s="29" t="str">
        <x:f>IF(N14=O14,"PASS","FAIL")</x:f>
        <x:v>PASS</x:v>
      </x:c>
      <x:c r="Q14" s="29" t="n">
        <x:v>7650</x:v>
      </x:c>
      <x:c r="R14" s="29" t="n">
        <x:v>1100</x:v>
      </x:c>
      <x:c r="S14" s="29" t="n">
        <x:v>7.17</x:v>
      </x:c>
      <x:c r="T14" s="29" t="n">
        <x:f>(Q14-480)/1000</x:f>
        <x:v>7.17</x:v>
      </x:c>
      <x:c r="U14" s="29" t="n">
        <x:v>0.62</x:v>
      </x:c>
      <x:c r="V14" s="29" t="n">
        <x:f>(R14-480)/1000</x:f>
        <x:v>0.62</x:v>
      </x:c>
      <x:c r="W14" s="29" t="n">
        <x:f>T14-S14</x:f>
        <x:v>0</x:v>
      </x:c>
      <x:c r="X14" s="29" t="n">
        <x:f>V14-U14</x:f>
        <x:v>0</x:v>
      </x:c>
      <x:c r="Y14" s="29"/>
    </x:row>
    <x:row r="15" ht="26.399999618530273" hidden="0" customHeight="1">
      <x:c r="A15" s="29" t="n">
        <x:v>33</x:v>
      </x:c>
      <x:c r="B15" s="29" t="str">
        <x:v>C250</x:v>
      </x:c>
      <x:c r="C15" s="29" t="str">
        <x:v>170</x:v>
      </x:c>
      <x:c r="D15" s="29" t="n">
        <x:v>285.949573636969</x:v>
      </x:c>
      <x:c r="E15" s="29" t="n">
        <x:v>350</x:v>
      </x:c>
      <x:c r="F15" s="29" t="n">
        <x:v>1.15</x:v>
      </x:c>
      <x:c r="G15" s="29" t="n">
        <x:f>E15/F15</x:f>
        <x:v>304.34782608695656</x:v>
      </x:c>
      <x:c r="H15" s="29" t="n">
        <x:v>304.34782608695656</x:v>
      </x:c>
      <x:c r="I15" s="29" t="n">
        <x:f>G15-H15</x:f>
        <x:v>0</x:v>
      </x:c>
      <x:c r="J15" s="29" t="n">
        <x:f>G15/D15</x:f>
        <x:v>1.064340898347851</x:v>
      </x:c>
      <x:c r="K15" s="29" t="n">
        <x:v>1.064340898347851</x:v>
      </x:c>
      <x:c r="L15" s="29" t="n">
        <x:f>J15-K15</x:f>
        <x:v>0</x:v>
      </x:c>
      <x:c r="M15" s="29" t="n">
        <x:f>D15/G15</x:f>
        <x:v>0.939548599092898</x:v>
      </x:c>
      <x:c r="N15" s="29" t="str">
        <x:f>IF(J15&lt;1,"NOT OK","OK")</x:f>
        <x:v>OK</x:v>
      </x:c>
      <x:c r="O15" s="29" t="str">
        <x:v>OK</x:v>
      </x:c>
      <x:c r="P15" s="29" t="str">
        <x:f>IF(N15=O15,"PASS","FAIL")</x:f>
        <x:v>PASS</x:v>
      </x:c>
      <x:c r="Q15" s="29" t="n">
        <x:v>4820</x:v>
      </x:c>
      <x:c r="R15" s="29" t="n">
        <x:v>490</x:v>
      </x:c>
      <x:c r="S15" s="29" t="n">
        <x:v>4.34</x:v>
      </x:c>
      <x:c r="T15" s="29" t="n">
        <x:f>(Q15-480)/1000</x:f>
        <x:v>4.34</x:v>
      </x:c>
      <x:c r="U15" s="29" t="n">
        <x:v>0.01</x:v>
      </x:c>
      <x:c r="V15" s="29" t="n">
        <x:f>(R15-480)/1000</x:f>
        <x:v>0.01</x:v>
      </x:c>
      <x:c r="W15" s="29" t="n">
        <x:f>T15-S15</x:f>
        <x:v>0</x:v>
      </x:c>
      <x:c r="X15" s="29" t="n">
        <x:f>V15-U15</x:f>
        <x:v>0</x:v>
      </x:c>
      <x:c r="Y15" s="29"/>
    </x:row>
    <x:row r="16" ht="26.399999618530273" hidden="0" customHeight="1">
      <x:c r="A16" s="29" t="n">
        <x:v>34</x:v>
      </x:c>
      <x:c r="B16" s="29" t="str">
        <x:v>C250</x:v>
      </x:c>
      <x:c r="C16" s="29" t="str">
        <x:v>171</x:v>
      </x:c>
      <x:c r="D16" s="29" t="n">
        <x:v>285.780825879486</x:v>
      </x:c>
      <x:c r="E16" s="29" t="n">
        <x:v>350</x:v>
      </x:c>
      <x:c r="F16" s="29" t="n">
        <x:v>1.15</x:v>
      </x:c>
      <x:c r="G16" s="29" t="n">
        <x:f>E16/F16</x:f>
        <x:v>304.34782608695656</x:v>
      </x:c>
      <x:c r="H16" s="29" t="n">
        <x:v>304.34782608695656</x:v>
      </x:c>
      <x:c r="I16" s="29" t="n">
        <x:f>G16-H16</x:f>
        <x:v>0</x:v>
      </x:c>
      <x:c r="J16" s="29" t="n">
        <x:f>G16/D16</x:f>
        <x:v>1.0649693699720089</x:v>
      </x:c>
      <x:c r="K16" s="29" t="n">
        <x:v>1.0649693699720089</x:v>
      </x:c>
      <x:c r="L16" s="29" t="n">
        <x:f>J16-K16</x:f>
        <x:v>0</x:v>
      </x:c>
      <x:c r="M16" s="29" t="n">
        <x:f>D16/G16</x:f>
        <x:v>0.9389941421754538</x:v>
      </x:c>
      <x:c r="N16" s="29" t="str">
        <x:f>IF(J16&lt;1,"NOT OK","OK")</x:f>
        <x:v>OK</x:v>
      </x:c>
      <x:c r="O16" s="29" t="str">
        <x:v>OK</x:v>
      </x:c>
      <x:c r="P16" s="29" t="str">
        <x:f>IF(N16=O16,"PASS","FAIL")</x:f>
        <x:v>PASS</x:v>
      </x:c>
      <x:c r="Q16" s="29" t="n">
        <x:v>4070.0000000000005</x:v>
      </x:c>
      <x:c r="R16" s="29" t="n">
        <x:v>490</x:v>
      </x:c>
      <x:c r="S16" s="29" t="n">
        <x:v>3.5900000000000003</x:v>
      </x:c>
      <x:c r="T16" s="29" t="n">
        <x:f>(Q16-480)/1000</x:f>
        <x:v>3.5900000000000003</x:v>
      </x:c>
      <x:c r="U16" s="29" t="n">
        <x:v>0.01</x:v>
      </x:c>
      <x:c r="V16" s="29" t="n">
        <x:f>(R16-480)/1000</x:f>
        <x:v>0.01</x:v>
      </x:c>
      <x:c r="W16" s="29" t="n">
        <x:f>T16-S16</x:f>
        <x:v>0</x:v>
      </x:c>
      <x:c r="X16" s="29" t="n">
        <x:f>V16-U16</x:f>
        <x:v>0</x:v>
      </x:c>
      <x:c r="Y16" s="29"/>
    </x:row>
    <x:row r="17" ht="26.399999618530273" hidden="0" customHeight="1">
      <x:c r="A17" s="29" t="n">
        <x:v>35</x:v>
      </x:c>
      <x:c r="B17" s="29" t="str">
        <x:v>C250</x:v>
      </x:c>
      <x:c r="C17" s="29" t="str">
        <x:v>172</x:v>
      </x:c>
      <x:c r="D17" s="29" t="n">
        <x:v>282.454353023628</x:v>
      </x:c>
      <x:c r="E17" s="29" t="n">
        <x:v>350</x:v>
      </x:c>
      <x:c r="F17" s="29" t="n">
        <x:v>1.15</x:v>
      </x:c>
      <x:c r="G17" s="29" t="n">
        <x:f>E17/F17</x:f>
        <x:v>304.34782608695656</x:v>
      </x:c>
      <x:c r="H17" s="29" t="n">
        <x:v>304.34782608695656</x:v>
      </x:c>
      <x:c r="I17" s="29" t="n">
        <x:f>G17-H17</x:f>
        <x:v>0</x:v>
      </x:c>
      <x:c r="J17" s="29" t="n">
        <x:f>G17/D17</x:f>
        <x:v>1.077511544180369</x:v>
      </x:c>
      <x:c r="K17" s="29" t="n">
        <x:v>1.077511544180369</x:v>
      </x:c>
      <x:c r="L17" s="29" t="n">
        <x:f>J17-K17</x:f>
        <x:v>0</x:v>
      </x:c>
      <x:c r="M17" s="29" t="n">
        <x:f>D17/G17</x:f>
        <x:v>0.9280643027919205</x:v>
      </x:c>
      <x:c r="N17" s="29" t="str">
        <x:f>IF(J17&lt;1,"NOT OK","OK")</x:f>
        <x:v>OK</x:v>
      </x:c>
      <x:c r="O17" s="29" t="str">
        <x:v>OK</x:v>
      </x:c>
      <x:c r="P17" s="29" t="str">
        <x:f>IF(N17=O17,"PASS","FAIL")</x:f>
        <x:v>PASS</x:v>
      </x:c>
      <x:c r="Q17" s="29" t="n">
        <x:v>3320</x:v>
      </x:c>
      <x:c r="R17" s="29" t="n">
        <x:v>490</x:v>
      </x:c>
      <x:c r="S17" s="29" t="n">
        <x:v>2.84</x:v>
      </x:c>
      <x:c r="T17" s="29" t="n">
        <x:f>(Q17-480)/1000</x:f>
        <x:v>2.84</x:v>
      </x:c>
      <x:c r="U17" s="29" t="n">
        <x:v>0.01</x:v>
      </x:c>
      <x:c r="V17" s="29" t="n">
        <x:f>(R17-480)/1000</x:f>
        <x:v>0.01</x:v>
      </x:c>
      <x:c r="W17" s="29" t="n">
        <x:f>T17-S17</x:f>
        <x:v>0</x:v>
      </x:c>
      <x:c r="X17" s="29" t="n">
        <x:f>V17-U17</x:f>
        <x:v>0</x:v>
      </x:c>
      <x:c r="Y17" s="29"/>
    </x:row>
    <x:row r="18" ht="26.399999618530273" hidden="0" customHeight="1">
      <x:c r="A18" s="29" t="n">
        <x:v>36</x:v>
      </x:c>
      <x:c r="B18" s="29" t="str">
        <x:v>C250</x:v>
      </x:c>
      <x:c r="C18" s="29" t="str">
        <x:v>177</x:v>
      </x:c>
      <x:c r="D18" s="29" t="n">
        <x:v>284.158695264875</x:v>
      </x:c>
      <x:c r="E18" s="29" t="n">
        <x:v>350</x:v>
      </x:c>
      <x:c r="F18" s="29" t="n">
        <x:v>1.15</x:v>
      </x:c>
      <x:c r="G18" s="29" t="n">
        <x:f>E18/F18</x:f>
        <x:v>304.34782608695656</x:v>
      </x:c>
      <x:c r="H18" s="29" t="n">
        <x:v>304.34782608695656</x:v>
      </x:c>
      <x:c r="I18" s="29" t="n">
        <x:f>G18-H18</x:f>
        <x:v>0</x:v>
      </x:c>
      <x:c r="J18" s="29" t="n">
        <x:f>G18/D18</x:f>
        <x:v>1.071048787732019</x:v>
      </x:c>
      <x:c r="K18" s="29" t="n">
        <x:v>1.071048787732019</x:v>
      </x:c>
      <x:c r="L18" s="29" t="n">
        <x:f>J18-K18</x:f>
        <x:v>0</x:v>
      </x:c>
      <x:c r="M18" s="29" t="n">
        <x:f>D18/G18</x:f>
        <x:v>0.9336642844417321</x:v>
      </x:c>
      <x:c r="N18" s="29" t="str">
        <x:f>IF(J18&lt;1,"NOT OK","OK")</x:f>
        <x:v>OK</x:v>
      </x:c>
      <x:c r="O18" s="29" t="str">
        <x:v>OK</x:v>
      </x:c>
      <x:c r="P18" s="29" t="str">
        <x:f>IF(N18=O18,"PASS","FAIL")</x:f>
        <x:v>PASS</x:v>
      </x:c>
      <x:c r="Q18" s="29" t="n">
        <x:v>1980</x:v>
      </x:c>
      <x:c r="R18" s="29" t="n">
        <x:v>460</x:v>
      </x:c>
      <x:c r="S18" s="29" t="n">
        <x:v>1.5</x:v>
      </x:c>
      <x:c r="T18" s="29" t="n">
        <x:f>(Q18-480)/1000</x:f>
        <x:v>1.5</x:v>
      </x:c>
      <x:c r="U18" s="29" t="n">
        <x:v>-0.02</x:v>
      </x:c>
      <x:c r="V18" s="29" t="n">
        <x:f>(R18-480)/1000</x:f>
        <x:v>-0.02</x:v>
      </x:c>
      <x:c r="W18" s="29" t="n">
        <x:f>T18-S18</x:f>
        <x:v>0</x:v>
      </x:c>
      <x:c r="X18" s="29" t="n">
        <x:f>V18-U18</x:f>
        <x:v>0</x:v>
      </x:c>
      <x:c r="Y18" s="29"/>
    </x:row>
    <x:row r="19" ht="26.399999618530273" hidden="0" customHeight="1">
      <x:c r="A19" s="29" t="n">
        <x:v>37</x:v>
      </x:c>
      <x:c r="B19" s="29" t="str">
        <x:v>C250</x:v>
      </x:c>
      <x:c r="C19" s="29" t="str">
        <x:v>178</x:v>
      </x:c>
      <x:c r="D19" s="29" t="n">
        <x:v>275.855954258927</x:v>
      </x:c>
      <x:c r="E19" s="29" t="n">
        <x:v>350</x:v>
      </x:c>
      <x:c r="F19" s="29" t="n">
        <x:v>1.15</x:v>
      </x:c>
      <x:c r="G19" s="29" t="n">
        <x:f>E19/F19</x:f>
        <x:v>304.34782608695656</x:v>
      </x:c>
      <x:c r="H19" s="29" t="n">
        <x:v>304.34782608695656</x:v>
      </x:c>
      <x:c r="I19" s="29" t="n">
        <x:f>G19-H19</x:f>
        <x:v>0</x:v>
      </x:c>
      <x:c r="J19" s="29" t="n">
        <x:f>G19/D19</x:f>
        <x:v>1.1032853247796355</x:v>
      </x:c>
      <x:c r="K19" s="29" t="n">
        <x:v>1.1032853247796355</x:v>
      </x:c>
      <x:c r="L19" s="29" t="n">
        <x:f>J19-K19</x:f>
        <x:v>0</x:v>
      </x:c>
      <x:c r="M19" s="29" t="n">
        <x:f>D19/G19</x:f>
        <x:v>0.9063838497079029</x:v>
      </x:c>
      <x:c r="N19" s="29" t="str">
        <x:f>IF(J19&lt;1,"NOT OK","OK")</x:f>
        <x:v>OK</x:v>
      </x:c>
      <x:c r="O19" s="29" t="str">
        <x:v>OK</x:v>
      </x:c>
      <x:c r="P19" s="29" t="str">
        <x:f>IF(N19=O19,"PASS","FAIL")</x:f>
        <x:v>PASS</x:v>
      </x:c>
      <x:c r="Q19" s="29" t="n">
        <x:v>1230</x:v>
      </x:c>
      <x:c r="R19" s="29" t="n">
        <x:v>460</x:v>
      </x:c>
      <x:c r="S19" s="29" t="n">
        <x:v>0.75</x:v>
      </x:c>
      <x:c r="T19" s="29" t="n">
        <x:f>(Q19-480)/1000</x:f>
        <x:v>0.75</x:v>
      </x:c>
      <x:c r="U19" s="29" t="n">
        <x:v>-0.02</x:v>
      </x:c>
      <x:c r="V19" s="29" t="n">
        <x:f>(R19-480)/1000</x:f>
        <x:v>-0.02</x:v>
      </x:c>
      <x:c r="W19" s="29" t="n">
        <x:f>T19-S19</x:f>
        <x:v>0</x:v>
      </x:c>
      <x:c r="X19" s="29" t="n">
        <x:f>V19-U19</x:f>
        <x:v>0</x:v>
      </x:c>
      <x:c r="Y19" s="29"/>
    </x:row>
    <x:row r="20" ht="26.399999618530273" hidden="0" customHeight="1">
      <x:c r="A20" s="29" t="n">
        <x:v>38</x:v>
      </x:c>
      <x:c r="B20" s="29" t="str">
        <x:v>C250</x:v>
      </x:c>
      <x:c r="C20" s="29" t="str">
        <x:v>179</x:v>
      </x:c>
      <x:c r="D20" s="29" t="n">
        <x:v>273.635492783287</x:v>
      </x:c>
      <x:c r="E20" s="29" t="n">
        <x:v>350</x:v>
      </x:c>
      <x:c r="F20" s="29" t="n">
        <x:v>1.15</x:v>
      </x:c>
      <x:c r="G20" s="29" t="n">
        <x:f>E20/F20</x:f>
        <x:v>304.34782608695656</x:v>
      </x:c>
      <x:c r="H20" s="29" t="n">
        <x:v>304.34782608695656</x:v>
      </x:c>
      <x:c r="I20" s="29" t="n">
        <x:f>G20-H20</x:f>
        <x:v>0</x:v>
      </x:c>
      <x:c r="J20" s="29" t="n">
        <x:f>G20/D20</x:f>
        <x:v>1.1122381201037872</x:v>
      </x:c>
      <x:c r="K20" s="29" t="n">
        <x:v>1.1122381201037872</x:v>
      </x:c>
      <x:c r="L20" s="29" t="n">
        <x:f>J20-K20</x:f>
        <x:v>0</x:v>
      </x:c>
      <x:c r="M20" s="29" t="n">
        <x:f>D20/G20</x:f>
        <x:v>0.8990880477165144</x:v>
      </x:c>
      <x:c r="N20" s="29" t="str">
        <x:f>IF(J20&lt;1,"NOT OK","OK")</x:f>
        <x:v>OK</x:v>
      </x:c>
      <x:c r="O20" s="29" t="str">
        <x:v>OK</x:v>
      </x:c>
      <x:c r="P20" s="29" t="str">
        <x:f>IF(N20=O20,"PASS","FAIL")</x:f>
        <x:v>PASS</x:v>
      </x:c>
      <x:c r="Q20" s="29" t="n">
        <x:v>480</x:v>
      </x:c>
      <x:c r="R20" s="29" t="n">
        <x:v>460</x:v>
      </x:c>
      <x:c r="S20" s="29" t="n">
        <x:v>0</x:v>
      </x:c>
      <x:c r="T20" s="29" t="n">
        <x:f>(Q20-480)/1000</x:f>
        <x:v>0</x:v>
      </x:c>
      <x:c r="U20" s="29" t="n">
        <x:v>-0.02</x:v>
      </x:c>
      <x:c r="V20" s="29" t="n">
        <x:f>(R20-480)/1000</x:f>
        <x:v>-0.02</x:v>
      </x:c>
      <x:c r="W20" s="29" t="n">
        <x:f>T20-S20</x:f>
        <x:v>0</x:v>
      </x:c>
      <x:c r="X20" s="29" t="n">
        <x:f>V20-U20</x:f>
        <x:v>0</x:v>
      </x:c>
      <x:c r="Y20" s="29"/>
    </x:row>
    <x:row r="21" ht="15" hidden="0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29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  <x:c r="X21" s="29"/>
      <x:c r="Y21" s="29"/>
    </x:row>
    <x:row r="22" ht="15" hidden="0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29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  <x:c r="X22" s="29"/>
      <x:c r="Y22" s="29"/>
    </x:row>
    <x:row r="23" ht="15" hidden="0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29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  <x:c r="X23" s="29"/>
      <x:c r="Y23" s="29"/>
    </x:row>
    <x:row r="24" ht="15" hidden="0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  <x:c r="X24" s="29"/>
      <x:c r="Y24" s="29"/>
    </x:row>
    <x:row r="25" ht="15" hidden="0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29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  <x:c r="X25" s="29"/>
      <x:c r="Y25" s="29"/>
    </x:row>
    <x:row r="26" ht="15" hidden="0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  <x:c r="X26" s="29"/>
      <x:c r="Y26" s="29"/>
    </x:row>
    <x:row r="27" ht="15" hidden="0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  <x:c r="X27" s="29"/>
      <x:c r="Y27" s="29"/>
    </x:row>
    <x:row r="28" ht="15" hidden="0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29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  <x:c r="X28" s="29"/>
      <x:c r="Y28" s="29"/>
    </x:row>
    <x:row r="29" ht="15" hidden="0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29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  <x:c r="X29" s="29"/>
      <x:c r="Y29" s="29"/>
    </x:row>
    <x:row r="30" ht="15" hidden="0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29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  <x:c r="X30" s="29"/>
      <x:c r="Y30" s="29"/>
    </x:row>
    <x:row r="31" ht="15" hidden="0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29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  <x:c r="X31" s="29"/>
      <x:c r="Y31" s="29"/>
    </x:row>
    <x:row r="32" ht="15" hidden="0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29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  <x:c r="X32" s="29"/>
      <x:c r="Y32" s="29"/>
    </x:row>
    <x:row r="33" ht="15" hidden="0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29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  <x:c r="X33" s="29"/>
      <x:c r="Y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  <x:c r="X34" s="29"/>
      <x:c r="Y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  <x:c r="X35" s="29"/>
      <x:c r="Y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  <x:c r="X36" s="29"/>
      <x:c r="Y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  <x:c r="X37" s="29"/>
      <x:c r="Y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  <x:c r="X38" s="29"/>
      <x:c r="Y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  <x:c r="X39" s="29"/>
      <x:c r="Y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  <x:c r="X40" s="29"/>
      <x:c r="Y40" s="29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12" hidden="0" customWidth="1"/>
    <x:col min="4" max="4" width="12" hidden="0" customWidth="1"/>
    <x:col min="5" max="5" width="10" hidden="0" customWidth="1"/>
    <x:col min="6" max="6" width="10" hidden="0" customWidth="1"/>
    <x:col min="7" max="7" width="20" hidden="0" customWidth="1"/>
    <x:col min="8" max="8" width="18" hidden="0" customWidth="1"/>
    <x:col min="9" max="9" width="22" hidden="0" customWidth="1"/>
    <x:col min="10" max="10" width="14" hidden="0" customWidth="1"/>
    <x:col min="11" max="11" width="14" hidden="0" customWidth="1"/>
    <x:col min="12" max="12" width="14" hidden="0" customWidth="1"/>
    <x:col min="13" max="13" width="20" hidden="0" customWidth="1"/>
    <x:col min="14" max="14" width="28" hidden="0" customWidth="1"/>
    <x:col min="15" max="15" width="18" hidden="0" customWidth="1"/>
    <x:col min="17" max="17" width="28" hidden="0" customWidth="1"/>
    <x:col min="18" max="18" width="24" hidden="0" customWidth="1"/>
  </x:cols>
  <x:sheetData>
    <x:row r="1" ht="16.799999237060547" hidden="0" customHeight="1">
      <x:c r="A1" s="96" t="str">
        <x:v>TM SCT Coc — VBA Grouping Reverse Engineering v12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29"/>
      <x:c r="Q1" s="29"/>
      <x:c r="R1" s="29"/>
    </x:row>
    <x:row r="2" ht="15" hidden="0" customHeight="1">
      <x:c r="A2" s="29"/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  <x:c r="N2" s="29"/>
      <x:c r="O2" s="29"/>
      <x:c r="P2" s="29"/>
      <x:c r="Q2" s="29"/>
      <x:c r="R2" s="29"/>
    </x:row>
    <x:row r="3" ht="105.5999984741211" hidden="0" customHeight="1">
      <x:c r="A3" s="29" t="str">
        <x:v>Workbook SHA-256</x:v>
      </x:c>
      <x:c r="B3" s="29" t="str">
        <x:v>ec38b68f753b08e50d9d1f9df988be5084cab1aedf391ba1aaecf112e9d88bd1</x:v>
      </x:c>
      <x:c r="C3" s="29"/>
      <x:c r="D3" s="95" t="str">
        <x:v>SLCoc</x:v>
      </x:c>
      <x:c r="E3" s="95" t="str">
        <x:v>NhomCoc output</x:v>
      </x:c>
      <x:c r="F3" s="95" t="str">
        <x:v>Behavior</x:v>
      </x:c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95" t="str">
        <x:v>Gate</x:v>
      </x:c>
      <x:c r="R3" s="95" t="str">
        <x:v>Result</x:v>
      </x:c>
    </x:row>
    <x:row r="4" ht="39.599998474121094" hidden="0" customHeight="1">
      <x:c r="A4" s="29" t="str">
        <x:v>VBA module</x:v>
      </x:c>
      <x:c r="B4" s="29" t="str">
        <x:v>A_Function</x:v>
      </x:c>
      <x:c r="C4" s="29"/>
      <x:c r="D4" s="29" t="n">
        <x:v>1</x:v>
      </x:c>
      <x:c r="E4" s="29" t="str">
        <x:v>Đài 1 cọc</x:v>
      </x:c>
      <x:c r="F4" s="29" t="str">
        <x:v>Exact</x:v>
      </x:c>
      <x:c r="G4" s="29"/>
      <x:c r="H4" s="29"/>
      <x:c r="I4" s="29"/>
      <x:c r="J4" s="29"/>
      <x:c r="K4" s="29"/>
      <x:c r="L4" s="29"/>
      <x:c r="M4" s="29"/>
      <x:c r="N4" s="29"/>
      <x:c r="O4" s="29"/>
      <x:c r="P4" s="29"/>
      <x:c r="Q4" s="29" t="str">
        <x:v>Current workbook rows</x:v>
      </x:c>
      <x:c r="R4" s="29" t="str">
        <x:v>19</x:v>
      </x:c>
    </x:row>
    <x:row r="5" ht="52.79999923706055" hidden="0" customHeight="1">
      <x:c r="A5" s="29" t="str">
        <x:v>NhomCoc</x:v>
      </x:c>
      <x:c r="B5" s="29" t="str">
        <x:v>EXACT source reverse-engineered</x:v>
      </x:c>
      <x:c r="C5" s="29"/>
      <x:c r="D5" s="29" t="n">
        <x:v>2</x:v>
      </x:c>
      <x:c r="E5" s="29" t="str">
        <x:v>Đài 2 - 5 cọc</x:v>
      </x:c>
      <x:c r="F5" s="29" t="str">
        <x:v>Exact</x:v>
      </x:c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 t="str">
        <x:v>Macro expected singles</x:v>
      </x:c>
      <x:c r="R5" s="29" t="str">
        <x:v>4</x:v>
      </x:c>
    </x:row>
    <x:row r="6" ht="52.79999923706055" hidden="0" customHeight="1">
      <x:c r="A6" s="29" t="str">
        <x:v>DoTimSoLuongCocGanNhau</x:v>
      </x:c>
      <x:c r="B6" s="29" t="str">
        <x:v>EXACT logic reverse-engineered</x:v>
      </x:c>
      <x:c r="C6" s="29"/>
      <x:c r="D6" s="29" t="n">
        <x:v>6</x:v>
      </x:c>
      <x:c r="E6" s="29" t="str">
        <x:v>Đài 6 - 10 cọc</x:v>
      </x:c>
      <x:c r="F6" s="29" t="str">
        <x:v>Exact</x:v>
      </x:c>
      <x:c r="G6" s="29"/>
      <x:c r="H6" s="29"/>
      <x:c r="I6" s="29"/>
      <x:c r="J6" s="29"/>
      <x:c r="K6" s="29"/>
      <x:c r="L6" s="29"/>
      <x:c r="M6" s="29"/>
      <x:c r="N6" s="29"/>
      <x:c r="O6" s="29"/>
      <x:c r="P6" s="29"/>
      <x:c r="Q6" s="29" t="str">
        <x:v>Macro expected group-3 rows</x:v>
      </x:c>
      <x:c r="R6" s="29" t="str">
        <x:v>15</x:v>
      </x:c>
    </x:row>
    <x:row r="7" ht="52.79999923706055" hidden="0" customHeight="1">
      <x:c r="A7" s="29" t="str">
        <x:v>CountPointsWithinDistance</x:v>
      </x:c>
      <x:c r="B7" s="29" t="str">
        <x:v>EXACT logic reverse-engineered</x:v>
      </x:c>
      <x:c r="C7" s="29"/>
      <x:c r="D7" s="29" t="n">
        <x:v>11</x:v>
      </x:c>
      <x:c r="E7" s="29" t="str">
        <x:v>Đài 11 - 20 cọc</x:v>
      </x:c>
      <x:c r="F7" s="29" t="str">
        <x:v>Exact</x:v>
      </x:c>
      <x:c r="G7" s="29"/>
      <x:c r="H7" s="29"/>
      <x:c r="I7" s="29"/>
      <x:c r="J7" s="29"/>
      <x:c r="K7" s="29"/>
      <x:c r="L7" s="29"/>
      <x:c r="M7" s="29"/>
      <x:c r="N7" s="29"/>
      <x:c r="O7" s="29"/>
      <x:c r="P7" s="29"/>
      <x:c r="Q7" s="29" t="str">
        <x:v>VBA grouping tests</x:v>
      </x:c>
      <x:c r="R7" s="29" t="str">
        <x:v>11/11 PASS</x:v>
      </x:c>
    </x:row>
    <x:row r="8" ht="26.399999618530273" hidden="0" customHeight="1">
      <x:c r="A8" s="29" t="str">
        <x:v>P1 kccoc</x:v>
      </x:c>
      <x:c r="B8" s="29" t="n">
        <x:v>3.5</x:v>
      </x:c>
      <x:c r="C8" s="29"/>
      <x:c r="D8" s="29" t="n">
        <x:v>21</x:v>
      </x:c>
      <x:c r="E8" s="29" t="str">
        <x:v>Đài &gt;20 cọc</x:v>
      </x:c>
      <x:c r="F8" s="29" t="str">
        <x:v>Exact</x:v>
      </x:c>
      <x:c r="G8" s="29"/>
      <x:c r="H8" s="29"/>
      <x:c r="I8" s="29"/>
      <x:c r="J8" s="29"/>
      <x:c r="K8" s="29"/>
      <x:c r="L8" s="29"/>
      <x:c r="M8" s="29"/>
      <x:c r="N8" s="29"/>
      <x:c r="O8" s="29"/>
      <x:c r="P8" s="29"/>
      <x:c r="Q8" s="29" t="str">
        <x:v>Pass 4 total tests</x:v>
      </x:c>
      <x:c r="R8" s="29" t="str">
        <x:v>81/81 PASS</x:v>
      </x:c>
    </x:row>
    <x:row r="9" ht="52.79999923706055" hidden="0" customHeight="1">
      <x:c r="A9" s="29" t="str">
        <x:v>Pile diameter</x:v>
      </x:c>
      <x:c r="B9" s="29" t="n">
        <x:v>250</x:v>
      </x:c>
      <x:c r="C9" s="29"/>
      <x:c r="D9" s="29" t="n">
        <x:v>0</x:v>
      </x:c>
      <x:c r="E9" s="29" t="str"/>
      <x:c r="F9" s="29" t="str">
        <x:v>VBA returns empty</x:v>
      </x:c>
      <x:c r="G9" s="29"/>
      <x:c r="H9" s="29"/>
      <x:c r="I9" s="29"/>
      <x:c r="J9" s="29"/>
      <x:c r="K9" s="29"/>
      <x:c r="L9" s="29"/>
      <x:c r="M9" s="29"/>
      <x:c r="N9" s="29"/>
      <x:c r="O9" s="29"/>
      <x:c r="P9" s="29"/>
      <x:c r="Q9" s="29" t="str">
        <x:v>Numeric imported compression</x:v>
      </x:c>
      <x:c r="R9" s="29" t="str">
        <x:v>LOCKED</x:v>
      </x:c>
    </x:row>
    <x:row r="10" ht="26.399999618530273" hidden="0" customHeight="1">
      <x:c r="A10" s="29" t="str">
        <x:v>Threshold</x:v>
      </x:c>
      <x:c r="B10" s="29" t="n">
        <x:v>875</x:v>
      </x:c>
      <x:c r="C10" s="29"/>
      <x:c r="D10" s="29"/>
      <x:c r="E10" s="29"/>
      <x:c r="F10" s="29"/>
      <x:c r="G10" s="29"/>
      <x:c r="H10" s="29"/>
      <x:c r="I10" s="29"/>
      <x:c r="J10" s="29"/>
      <x:c r="K10" s="29"/>
      <x:c r="L10" s="29"/>
      <x:c r="M10" s="29"/>
      <x:c r="N10" s="29"/>
      <x:c r="O10" s="29"/>
      <x:c r="P10" s="29"/>
      <x:c r="Q10" s="29" t="str">
        <x:v>Analytical rigid-cap</x:v>
      </x:c>
      <x:c r="R10" s="29" t="str">
        <x:v>REVIEW</x:v>
      </x:c>
    </x:row>
    <x:row r="11" ht="52.79999923706055" hidden="0" customHeight="1">
      <x:c r="A11" s="29" t="str">
        <x:v>Numeric K/L/M dependency</x:v>
      </x:c>
      <x:c r="B11" s="29" t="str">
        <x:v>NO</x:v>
      </x:c>
      <x:c r="C11" s="29"/>
      <x:c r="D11" s="29"/>
      <x:c r="E11" s="29"/>
      <x:c r="F11" s="29"/>
      <x:c r="G11" s="29"/>
      <x:c r="H11" s="29"/>
      <x:c r="I11" s="29"/>
      <x:c r="J11" s="29"/>
      <x:c r="K11" s="29"/>
      <x:c r="L11" s="29"/>
      <x:c r="M11" s="29"/>
      <x:c r="N11" s="29"/>
      <x:c r="O11" s="29"/>
      <x:c r="P11" s="29"/>
      <x:c r="Q11" s="29"/>
      <x:c r="R11" s="29"/>
    </x:row>
    <x:row r="12" ht="15" hidden="0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29"/>
      <x:c r="M12" s="29"/>
      <x:c r="N12" s="29"/>
      <x:c r="O12" s="29"/>
      <x:c r="P12" s="29"/>
      <x:c r="Q12" s="29"/>
      <x:c r="R12" s="29"/>
    </x:row>
    <x:row r="13" ht="15" hidden="0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29"/>
      <x:c r="M13" s="29"/>
      <x:c r="N13" s="29"/>
      <x:c r="O13" s="29"/>
      <x:c r="P13" s="29"/>
      <x:c r="Q13" s="29"/>
      <x:c r="R13" s="29"/>
    </x:row>
    <x:row r="14" ht="39.599998474121094" hidden="0" customHeight="1">
      <x:c r="A14" s="95" t="str">
        <x:v>Row</x:v>
      </x:c>
      <x:c r="B14" s="95" t="str">
        <x:v>Point</x:v>
      </x:c>
      <x:c r="C14" s="95" t="str">
        <x:v>X mm</x:v>
      </x:c>
      <x:c r="D14" s="95" t="str">
        <x:v>Y mm</x:v>
      </x:c>
      <x:c r="E14" s="95" t="str">
        <x:v>D mm</x:v>
      </x:c>
      <x:c r="F14" s="95" t="str">
        <x:v>Cached A</x:v>
      </x:c>
      <x:c r="G14" s="95" t="str">
        <x:v>Cached J</x:v>
      </x:c>
      <x:c r="H14" s="95" t="str">
        <x:v>Macro Group Count</x:v>
      </x:c>
      <x:c r="I14" s="95" t="str">
        <x:v>Label by exact VBA</x:v>
      </x:c>
      <x:c r="J14" s="95" t="str">
        <x:v>Mode Diff</x:v>
      </x:c>
      <x:c r="K14" s="95" t="str">
        <x:v>Threshold mm</x:v>
      </x:c>
      <x:c r="L14" s="95" t="str">
        <x:v>Status</x:v>
      </x:c>
      <x:c r="M14" s="95" t="str">
        <x:v>Block</x:v>
      </x:c>
      <x:c r="N14" s="95" t="str">
        <x:v>Authority</x:v>
      </x:c>
      <x:c r="O14" s="95" t="str">
        <x:v>Production Numeric</x:v>
      </x:c>
      <x:c r="P14" s="29"/>
      <x:c r="Q14" s="29"/>
      <x:c r="R14" s="29"/>
    </x:row>
    <x:row r="15" ht="39.599998474121094" hidden="0" customHeight="1">
      <x:c r="A15" s="29" t="n">
        <x:v>20</x:v>
      </x:c>
      <x:c r="B15" s="29" t="str">
        <x:v>136</x:v>
      </x:c>
      <x:c r="C15" s="29" t="n">
        <x:v>1850</x:v>
      </x:c>
      <x:c r="D15" s="29" t="n">
        <x:v>4960</x:v>
      </x:c>
      <x:c r="E15" s="29" t="n">
        <x:v>250</x:v>
      </x:c>
      <x:c r="F15" s="29" t="n">
        <x:v>1</x:v>
      </x:c>
      <x:c r="G15" s="29" t="str">
        <x:v>Đài 1 cọc</x:v>
      </x:c>
      <x:c r="H15" s="29" t="n">
        <x:v>1</x:v>
      </x:c>
      <x:c r="I15" s="29" t="str">
        <x:f>IF(H15=1,"Đài "&amp;H15&amp;" cọc",IF(AND(H15&gt;=2,H15&lt;=5),"Đài 2 - 5 cọc",IF(AND(H15&gt;=6,H15&lt;=10),"Đài 6 - 10 cọc",IF(AND(H15&gt;=11,H15&lt;=20),"Đài 11 - 20 cọc",IF(H15&gt;20,"Đài &gt;20 cọc","")))))</x:f>
        <x:v>Đài 1 cọc</x:v>
      </x:c>
      <x:c r="J15" s="29" t="str">
        <x:f>IF(AND(F15=H15,G15=I15),"SAME","DIFFERENT")</x:f>
        <x:v>SAME</x:v>
      </x:c>
      <x:c r="K15" s="29" t="n">
        <x:v>875</x:v>
      </x:c>
      <x:c r="L15" s="29" t="str">
        <x:f>IF(H15=1,"SINGLE","GROUPED")</x:f>
        <x:v>SINGLE</x:v>
      </x:c>
      <x:c r="M15" s="29" t="str">
        <x:v>GROUP/PRESENTATION</x:v>
      </x:c>
      <x:c r="N15" s="29" t="str">
        <x:v>DCE_VBA_REFERENCE_ONLY</x:v>
      </x:c>
      <x:c r="O15" s="32" t="b">
        <x:v>0</x:v>
      </x:c>
      <x:c r="P15" s="29"/>
      <x:c r="Q15" s="29"/>
      <x:c r="R15" s="29"/>
    </x:row>
    <x:row r="16" ht="39.599998474121094" hidden="0" customHeight="1">
      <x:c r="A16" s="29" t="n">
        <x:v>21</x:v>
      </x:c>
      <x:c r="B16" s="29" t="str">
        <x:v>137</x:v>
      </x:c>
      <x:c r="C16" s="29" t="n">
        <x:v>1680</x:v>
      </x:c>
      <x:c r="D16" s="29" t="n">
        <x:v>4030</x:v>
      </x:c>
      <x:c r="E16" s="29" t="n">
        <x:v>250</x:v>
      </x:c>
      <x:c r="F16" s="29" t="n">
        <x:v>1</x:v>
      </x:c>
      <x:c r="G16" s="29" t="str">
        <x:v>Đài 1 cọc</x:v>
      </x:c>
      <x:c r="H16" s="29" t="n">
        <x:v>1</x:v>
      </x:c>
      <x:c r="I16" s="29" t="str">
        <x:f>IF(H16=1,"Đài "&amp;H16&amp;" cọc",IF(AND(H16&gt;=2,H16&lt;=5),"Đài 2 - 5 cọc",IF(AND(H16&gt;=6,H16&lt;=10),"Đài 6 - 10 cọc",IF(AND(H16&gt;=11,H16&lt;=20),"Đài 11 - 20 cọc",IF(H16&gt;20,"Đài &gt;20 cọc","")))))</x:f>
        <x:v>Đài 1 cọc</x:v>
      </x:c>
      <x:c r="J16" s="29" t="str">
        <x:f>IF(AND(F16=H16,G16=I16),"SAME","DIFFERENT")</x:f>
        <x:v>SAME</x:v>
      </x:c>
      <x:c r="K16" s="29" t="n">
        <x:v>875</x:v>
      </x:c>
      <x:c r="L16" s="29" t="str">
        <x:f>IF(H16=1,"SINGLE","GROUPED")</x:f>
        <x:v>SINGLE</x:v>
      </x:c>
      <x:c r="M16" s="29" t="str">
        <x:v>GROUP/PRESENTATION</x:v>
      </x:c>
      <x:c r="N16" s="29" t="str">
        <x:v>DCE_VBA_REFERENCE_ONLY</x:v>
      </x:c>
      <x:c r="O16" s="32" t="b">
        <x:v>0</x:v>
      </x:c>
      <x:c r="P16" s="29"/>
      <x:c r="Q16" s="29"/>
      <x:c r="R16" s="29"/>
    </x:row>
    <x:row r="17" ht="39.599998474121094" hidden="0" customHeight="1">
      <x:c r="A17" s="29" t="n">
        <x:v>22</x:v>
      </x:c>
      <x:c r="B17" s="29" t="str">
        <x:v>144</x:v>
      </x:c>
      <x:c r="C17" s="29" t="n">
        <x:v>750</x:v>
      </x:c>
      <x:c r="D17" s="29" t="n">
        <x:v>4030</x:v>
      </x:c>
      <x:c r="E17" s="29" t="n">
        <x:v>250</x:v>
      </x:c>
      <x:c r="F17" s="29" t="n">
        <x:v>1</x:v>
      </x:c>
      <x:c r="G17" s="29" t="str">
        <x:v>Đài 1 cọc</x:v>
      </x:c>
      <x:c r="H17" s="29" t="n">
        <x:v>1</x:v>
      </x:c>
      <x:c r="I17" s="29" t="str">
        <x:f>IF(H17=1,"Đài "&amp;H17&amp;" cọc",IF(AND(H17&gt;=2,H17&lt;=5),"Đài 2 - 5 cọc",IF(AND(H17&gt;=6,H17&lt;=10),"Đài 6 - 10 cọc",IF(AND(H17&gt;=11,H17&lt;=20),"Đài 11 - 20 cọc",IF(H17&gt;20,"Đài &gt;20 cọc","")))))</x:f>
        <x:v>Đài 1 cọc</x:v>
      </x:c>
      <x:c r="J17" s="29" t="str">
        <x:f>IF(AND(F17=H17,G17=I17),"SAME","DIFFERENT")</x:f>
        <x:v>SAME</x:v>
      </x:c>
      <x:c r="K17" s="29" t="n">
        <x:v>875</x:v>
      </x:c>
      <x:c r="L17" s="29" t="str">
        <x:f>IF(H17=1,"SINGLE","GROUPED")</x:f>
        <x:v>SINGLE</x:v>
      </x:c>
      <x:c r="M17" s="29" t="str">
        <x:v>GROUP/PRESENTATION</x:v>
      </x:c>
      <x:c r="N17" s="29" t="str">
        <x:v>DCE_VBA_REFERENCE_ONLY</x:v>
      </x:c>
      <x:c r="O17" s="32" t="b">
        <x:v>0</x:v>
      </x:c>
      <x:c r="P17" s="29"/>
      <x:c r="Q17" s="29"/>
      <x:c r="R17" s="29"/>
    </x:row>
    <x:row r="18" ht="39.599998474121094" hidden="0" customHeight="1">
      <x:c r="A18" s="29" t="n">
        <x:v>23</x:v>
      </x:c>
      <x:c r="B18" s="29" t="str">
        <x:v>145</x:v>
      </x:c>
      <x:c r="C18" s="29" t="n">
        <x:v>750</x:v>
      </x:c>
      <x:c r="D18" s="29" t="n">
        <x:v>4960</x:v>
      </x:c>
      <x:c r="E18" s="29" t="n">
        <x:v>250</x:v>
      </x:c>
      <x:c r="F18" s="29" t="n">
        <x:v>1</x:v>
      </x:c>
      <x:c r="G18" s="29" t="str">
        <x:v>Đài 1 cọc</x:v>
      </x:c>
      <x:c r="H18" s="29" t="n">
        <x:v>1</x:v>
      </x:c>
      <x:c r="I18" s="29" t="str">
        <x:f>IF(H18=1,"Đài "&amp;H18&amp;" cọc",IF(AND(H18&gt;=2,H18&lt;=5),"Đài 2 - 5 cọc",IF(AND(H18&gt;=6,H18&lt;=10),"Đài 6 - 10 cọc",IF(AND(H18&gt;=11,H18&lt;=20),"Đài 11 - 20 cọc",IF(H18&gt;20,"Đài &gt;20 cọc","")))))</x:f>
        <x:v>Đài 1 cọc</x:v>
      </x:c>
      <x:c r="J18" s="29" t="str">
        <x:f>IF(AND(F18=H18,G18=I18),"SAME","DIFFERENT")</x:f>
        <x:v>SAME</x:v>
      </x:c>
      <x:c r="K18" s="29" t="n">
        <x:v>875</x:v>
      </x:c>
      <x:c r="L18" s="29" t="str">
        <x:f>IF(H18=1,"SINGLE","GROUPED")</x:f>
        <x:v>SINGLE</x:v>
      </x:c>
      <x:c r="M18" s="29" t="str">
        <x:v>GROUP/PRESENTATION</x:v>
      </x:c>
      <x:c r="N18" s="29" t="str">
        <x:v>DCE_VBA_REFERENCE_ONLY</x:v>
      </x:c>
      <x:c r="O18" s="32" t="b">
        <x:v>0</x:v>
      </x:c>
      <x:c r="P18" s="29"/>
      <x:c r="Q18" s="29"/>
      <x:c r="R18" s="29"/>
    </x:row>
    <x:row r="19" ht="39.599998474121094" hidden="0" customHeight="1">
      <x:c r="A19" s="29" t="n">
        <x:v>24</x:v>
      </x:c>
      <x:c r="B19" s="29" t="str">
        <x:v>146</x:v>
      </x:c>
      <x:c r="C19" s="29" t="n">
        <x:v>3330</x:v>
      </x:c>
      <x:c r="D19" s="29" t="n">
        <x:v>5390</x:v>
      </x:c>
      <x:c r="E19" s="29" t="n">
        <x:v>250</x:v>
      </x:c>
      <x:c r="F19" s="29" t="n">
        <x:v>1</x:v>
      </x:c>
      <x:c r="G19" s="29" t="str">
        <x:v>Đài 1 cọc</x:v>
      </x:c>
      <x:c r="H19" s="29" t="n">
        <x:v>3</x:v>
      </x:c>
      <x:c r="I19" s="29" t="str">
        <x:f>IF(H19=1,"Đài "&amp;H19&amp;" cọc",IF(AND(H19&gt;=2,H19&lt;=5),"Đài 2 - 5 cọc",IF(AND(H19&gt;=6,H19&lt;=10),"Đài 6 - 10 cọc",IF(AND(H19&gt;=11,H19&lt;=20),"Đài 11 - 20 cọc",IF(H19&gt;20,"Đài &gt;20 cọc","")))))</x:f>
        <x:v>Đài 2 - 5 cọc</x:v>
      </x:c>
      <x:c r="J19" s="29" t="str">
        <x:f>IF(AND(F19=H19,G19=I19),"SAME","DIFFERENT")</x:f>
        <x:v>DIFFERENT</x:v>
      </x:c>
      <x:c r="K19" s="29" t="n">
        <x:v>875</x:v>
      </x:c>
      <x:c r="L19" s="29" t="str">
        <x:f>IF(H19=1,"SINGLE","GROUPED")</x:f>
        <x:v>GROUPED</x:v>
      </x:c>
      <x:c r="M19" s="29" t="str">
        <x:v>GROUP/PRESENTATION</x:v>
      </x:c>
      <x:c r="N19" s="29" t="str">
        <x:v>DCE_VBA_REFERENCE_ONLY</x:v>
      </x:c>
      <x:c r="O19" s="32" t="b">
        <x:v>0</x:v>
      </x:c>
      <x:c r="P19" s="29"/>
      <x:c r="Q19" s="29"/>
      <x:c r="R19" s="29"/>
    </x:row>
    <x:row r="20" ht="39.599998474121094" hidden="0" customHeight="1">
      <x:c r="A20" s="29" t="n">
        <x:v>25</x:v>
      </x:c>
      <x:c r="B20" s="29" t="str">
        <x:v>147</x:v>
      </x:c>
      <x:c r="C20" s="29" t="n">
        <x:v>4070</x:v>
      </x:c>
      <x:c r="D20" s="29" t="n">
        <x:v>5480</x:v>
      </x:c>
      <x:c r="E20" s="29" t="n">
        <x:v>250</x:v>
      </x:c>
      <x:c r="F20" s="29" t="n">
        <x:v>1</x:v>
      </x:c>
      <x:c r="G20" s="29" t="str">
        <x:v>Đài 1 cọc</x:v>
      </x:c>
      <x:c r="H20" s="29" t="n">
        <x:v>3</x:v>
      </x:c>
      <x:c r="I20" s="29" t="str">
        <x:f>IF(H20=1,"Đài "&amp;H20&amp;" cọc",IF(AND(H20&gt;=2,H20&lt;=5),"Đài 2 - 5 cọc",IF(AND(H20&gt;=6,H20&lt;=10),"Đài 6 - 10 cọc",IF(AND(H20&gt;=11,H20&lt;=20),"Đài 11 - 20 cọc",IF(H20&gt;20,"Đài &gt;20 cọc","")))))</x:f>
        <x:v>Đài 2 - 5 cọc</x:v>
      </x:c>
      <x:c r="J20" s="29" t="str">
        <x:f>IF(AND(F20=H20,G20=I20),"SAME","DIFFERENT")</x:f>
        <x:v>DIFFERENT</x:v>
      </x:c>
      <x:c r="K20" s="29" t="n">
        <x:v>875</x:v>
      </x:c>
      <x:c r="L20" s="29" t="str">
        <x:f>IF(H20=1,"SINGLE","GROUPED")</x:f>
        <x:v>GROUPED</x:v>
      </x:c>
      <x:c r="M20" s="29" t="str">
        <x:v>GROUP/PRESENTATION</x:v>
      </x:c>
      <x:c r="N20" s="29" t="str">
        <x:v>DCE_VBA_REFERENCE_ONLY</x:v>
      </x:c>
      <x:c r="O20" s="32" t="b">
        <x:v>0</x:v>
      </x:c>
      <x:c r="P20" s="29"/>
      <x:c r="Q20" s="29"/>
      <x:c r="R20" s="29"/>
    </x:row>
    <x:row r="21" ht="39.599998474121094" hidden="0" customHeight="1">
      <x:c r="A21" s="29" t="n">
        <x:v>26</x:v>
      </x:c>
      <x:c r="B21" s="29" t="str">
        <x:v>148</x:v>
      </x:c>
      <x:c r="C21" s="29" t="n">
        <x:v>4810</x:v>
      </x:c>
      <x:c r="D21" s="29" t="n">
        <x:v>5570</x:v>
      </x:c>
      <x:c r="E21" s="29" t="n">
        <x:v>250</x:v>
      </x:c>
      <x:c r="F21" s="29" t="n">
        <x:v>1</x:v>
      </x:c>
      <x:c r="G21" s="29" t="str">
        <x:v>Đài 1 cọc</x:v>
      </x:c>
      <x:c r="H21" s="29" t="n">
        <x:v>3</x:v>
      </x:c>
      <x:c r="I21" s="29" t="str">
        <x:f>IF(H21=1,"Đài "&amp;H21&amp;" cọc",IF(AND(H21&gt;=2,H21&lt;=5),"Đài 2 - 5 cọc",IF(AND(H21&gt;=6,H21&lt;=10),"Đài 6 - 10 cọc",IF(AND(H21&gt;=11,H21&lt;=20),"Đài 11 - 20 cọc",IF(H21&gt;20,"Đài &gt;20 cọc","")))))</x:f>
        <x:v>Đài 2 - 5 cọc</x:v>
      </x:c>
      <x:c r="J21" s="29" t="str">
        <x:f>IF(AND(F21=H21,G21=I21),"SAME","DIFFERENT")</x:f>
        <x:v>DIFFERENT</x:v>
      </x:c>
      <x:c r="K21" s="29" t="n">
        <x:v>875</x:v>
      </x:c>
      <x:c r="L21" s="29" t="str">
        <x:f>IF(H21=1,"SINGLE","GROUPED")</x:f>
        <x:v>GROUPED</x:v>
      </x:c>
      <x:c r="M21" s="29" t="str">
        <x:v>GROUP/PRESENTATION</x:v>
      </x:c>
      <x:c r="N21" s="29" t="str">
        <x:v>DCE_VBA_REFERENCE_ONLY</x:v>
      </x:c>
      <x:c r="O21" s="32" t="b">
        <x:v>0</x:v>
      </x:c>
      <x:c r="P21" s="29"/>
      <x:c r="Q21" s="29"/>
      <x:c r="R21" s="29"/>
    </x:row>
    <x:row r="22" ht="39.599998474121094" hidden="0" customHeight="1">
      <x:c r="A22" s="29" t="n">
        <x:v>27</x:v>
      </x:c>
      <x:c r="B22" s="29" t="str">
        <x:v>159</x:v>
      </x:c>
      <x:c r="C22" s="29" t="n">
        <x:v>7190</x:v>
      </x:c>
      <x:c r="D22" s="29" t="n">
        <x:v>5720</x:v>
      </x:c>
      <x:c r="E22" s="29" t="n">
        <x:v>250</x:v>
      </x:c>
      <x:c r="F22" s="29" t="n">
        <x:v>1</x:v>
      </x:c>
      <x:c r="G22" s="29" t="str">
        <x:v>Đài 1 cọc</x:v>
      </x:c>
      <x:c r="H22" s="29" t="n">
        <x:v>3</x:v>
      </x:c>
      <x:c r="I22" s="29" t="str">
        <x:f>IF(H22=1,"Đài "&amp;H22&amp;" cọc",IF(AND(H22&gt;=2,H22&lt;=5),"Đài 2 - 5 cọc",IF(AND(H22&gt;=6,H22&lt;=10),"Đài 6 - 10 cọc",IF(AND(H22&gt;=11,H22&lt;=20),"Đài 11 - 20 cọc",IF(H22&gt;20,"Đài &gt;20 cọc","")))))</x:f>
        <x:v>Đài 2 - 5 cọc</x:v>
      </x:c>
      <x:c r="J22" s="29" t="str">
        <x:f>IF(AND(F22=H22,G22=I22),"SAME","DIFFERENT")</x:f>
        <x:v>DIFFERENT</x:v>
      </x:c>
      <x:c r="K22" s="29" t="n">
        <x:v>875</x:v>
      </x:c>
      <x:c r="L22" s="29" t="str">
        <x:f>IF(H22=1,"SINGLE","GROUPED")</x:f>
        <x:v>GROUPED</x:v>
      </x:c>
      <x:c r="M22" s="29" t="str">
        <x:v>GROUP/PRESENTATION</x:v>
      </x:c>
      <x:c r="N22" s="29" t="str">
        <x:v>DCE_VBA_REFERENCE_ONLY</x:v>
      </x:c>
      <x:c r="O22" s="32" t="b">
        <x:v>0</x:v>
      </x:c>
      <x:c r="P22" s="29"/>
      <x:c r="Q22" s="29"/>
      <x:c r="R22" s="29"/>
    </x:row>
    <x:row r="23" ht="39.599998474121094" hidden="0" customHeight="1">
      <x:c r="A23" s="29" t="n">
        <x:v>28</x:v>
      </x:c>
      <x:c r="B23" s="29" t="str">
        <x:v>160</x:v>
      </x:c>
      <x:c r="C23" s="29" t="n">
        <x:v>7930</x:v>
      </x:c>
      <x:c r="D23" s="29" t="n">
        <x:v>5810</x:v>
      </x:c>
      <x:c r="E23" s="29" t="n">
        <x:v>250</x:v>
      </x:c>
      <x:c r="F23" s="29" t="n">
        <x:v>1</x:v>
      </x:c>
      <x:c r="G23" s="29" t="str">
        <x:v>Đài 1 cọc</x:v>
      </x:c>
      <x:c r="H23" s="29" t="n">
        <x:v>3</x:v>
      </x:c>
      <x:c r="I23" s="29" t="str">
        <x:f>IF(H23=1,"Đài "&amp;H23&amp;" cọc",IF(AND(H23&gt;=2,H23&lt;=5),"Đài 2 - 5 cọc",IF(AND(H23&gt;=6,H23&lt;=10),"Đài 6 - 10 cọc",IF(AND(H23&gt;=11,H23&lt;=20),"Đài 11 - 20 cọc",IF(H23&gt;20,"Đài &gt;20 cọc","")))))</x:f>
        <x:v>Đài 2 - 5 cọc</x:v>
      </x:c>
      <x:c r="J23" s="29" t="str">
        <x:f>IF(AND(F23=H23,G23=I23),"SAME","DIFFERENT")</x:f>
        <x:v>DIFFERENT</x:v>
      </x:c>
      <x:c r="K23" s="29" t="n">
        <x:v>875</x:v>
      </x:c>
      <x:c r="L23" s="29" t="str">
        <x:f>IF(H23=1,"SINGLE","GROUPED")</x:f>
        <x:v>GROUPED</x:v>
      </x:c>
      <x:c r="M23" s="29" t="str">
        <x:v>GROUP/PRESENTATION</x:v>
      </x:c>
      <x:c r="N23" s="29" t="str">
        <x:v>DCE_VBA_REFERENCE_ONLY</x:v>
      </x:c>
      <x:c r="O23" s="32" t="b">
        <x:v>0</x:v>
      </x:c>
      <x:c r="P23" s="29"/>
      <x:c r="Q23" s="29"/>
      <x:c r="R23" s="29"/>
    </x:row>
    <x:row r="24" ht="39.599998474121094" hidden="0" customHeight="1">
      <x:c r="A24" s="29" t="n">
        <x:v>29</x:v>
      </x:c>
      <x:c r="B24" s="29" t="str">
        <x:v>161</x:v>
      </x:c>
      <x:c r="C24" s="29" t="n">
        <x:v>8200</x:v>
      </x:c>
      <x:c r="D24" s="29" t="n">
        <x:v>5110</x:v>
      </x:c>
      <x:c r="E24" s="29" t="n">
        <x:v>250</x:v>
      </x:c>
      <x:c r="F24" s="29" t="n">
        <x:v>1</x:v>
      </x:c>
      <x:c r="G24" s="29" t="str">
        <x:v>Đài 1 cọc</x:v>
      </x:c>
      <x:c r="H24" s="29" t="n">
        <x:v>3</x:v>
      </x:c>
      <x:c r="I24" s="29" t="str">
        <x:f>IF(H24=1,"Đài "&amp;H24&amp;" cọc",IF(AND(H24&gt;=2,H24&lt;=5),"Đài 2 - 5 cọc",IF(AND(H24&gt;=6,H24&lt;=10),"Đài 6 - 10 cọc",IF(AND(H24&gt;=11,H24&lt;=20),"Đài 11 - 20 cọc",IF(H24&gt;20,"Đài &gt;20 cọc","")))))</x:f>
        <x:v>Đài 2 - 5 cọc</x:v>
      </x:c>
      <x:c r="J24" s="29" t="str">
        <x:f>IF(AND(F24=H24,G24=I24),"SAME","DIFFERENT")</x:f>
        <x:v>DIFFERENT</x:v>
      </x:c>
      <x:c r="K24" s="29" t="n">
        <x:v>875</x:v>
      </x:c>
      <x:c r="L24" s="29" t="str">
        <x:f>IF(H24=1,"SINGLE","GROUPED")</x:f>
        <x:v>GROUPED</x:v>
      </x:c>
      <x:c r="M24" s="29" t="str">
        <x:v>GROUP/PRESENTATION</x:v>
      </x:c>
      <x:c r="N24" s="29" t="str">
        <x:v>DCE_VBA_REFERENCE_ONLY</x:v>
      </x:c>
      <x:c r="O24" s="32" t="b">
        <x:v>0</x:v>
      </x:c>
      <x:c r="P24" s="29"/>
      <x:c r="Q24" s="29"/>
      <x:c r="R24" s="29"/>
    </x:row>
    <x:row r="25" ht="39.599998474121094" hidden="0" customHeight="1">
      <x:c r="A25" s="29" t="n">
        <x:v>30</x:v>
      </x:c>
      <x:c r="B25" s="29" t="str">
        <x:v>167</x:v>
      </x:c>
      <x:c r="C25" s="29" t="n">
        <x:v>6900</x:v>
      </x:c>
      <x:c r="D25" s="29" t="n">
        <x:v>460</x:v>
      </x:c>
      <x:c r="E25" s="29" t="n">
        <x:v>250</x:v>
      </x:c>
      <x:c r="F25" s="29" t="n">
        <x:v>1</x:v>
      </x:c>
      <x:c r="G25" s="29" t="str">
        <x:v>Đài 1 cọc</x:v>
      </x:c>
      <x:c r="H25" s="29" t="n">
        <x:v>3</x:v>
      </x:c>
      <x:c r="I25" s="29" t="str">
        <x:f>IF(H25=1,"Đài "&amp;H25&amp;" cọc",IF(AND(H25&gt;=2,H25&lt;=5),"Đài 2 - 5 cọc",IF(AND(H25&gt;=6,H25&lt;=10),"Đài 6 - 10 cọc",IF(AND(H25&gt;=11,H25&lt;=20),"Đài 11 - 20 cọc",IF(H25&gt;20,"Đài &gt;20 cọc","")))))</x:f>
        <x:v>Đài 2 - 5 cọc</x:v>
      </x:c>
      <x:c r="J25" s="29" t="str">
        <x:f>IF(AND(F25=H25,G25=I25),"SAME","DIFFERENT")</x:f>
        <x:v>DIFFERENT</x:v>
      </x:c>
      <x:c r="K25" s="29" t="n">
        <x:v>875</x:v>
      </x:c>
      <x:c r="L25" s="29" t="str">
        <x:f>IF(H25=1,"SINGLE","GROUPED")</x:f>
        <x:v>GROUPED</x:v>
      </x:c>
      <x:c r="M25" s="29" t="str">
        <x:v>GROUP/PRESENTATION</x:v>
      </x:c>
      <x:c r="N25" s="29" t="str">
        <x:v>DCE_VBA_REFERENCE_ONLY</x:v>
      </x:c>
      <x:c r="O25" s="32" t="b">
        <x:v>0</x:v>
      </x:c>
      <x:c r="P25" s="29"/>
      <x:c r="Q25" s="29"/>
      <x:c r="R25" s="29"/>
    </x:row>
    <x:row r="26" ht="39.599998474121094" hidden="0" customHeight="1">
      <x:c r="A26" s="29" t="n">
        <x:v>31</x:v>
      </x:c>
      <x:c r="B26" s="29" t="str">
        <x:v>168</x:v>
      </x:c>
      <x:c r="C26" s="29" t="n">
        <x:v>7650</x:v>
      </x:c>
      <x:c r="D26" s="29" t="n">
        <x:v>460</x:v>
      </x:c>
      <x:c r="E26" s="29" t="n">
        <x:v>250</x:v>
      </x:c>
      <x:c r="F26" s="29" t="n">
        <x:v>1</x:v>
      </x:c>
      <x:c r="G26" s="29" t="str">
        <x:v>Đài 1 cọc</x:v>
      </x:c>
      <x:c r="H26" s="29" t="n">
        <x:v>3</x:v>
      </x:c>
      <x:c r="I26" s="29" t="str">
        <x:f>IF(H26=1,"Đài "&amp;H26&amp;" cọc",IF(AND(H26&gt;=2,H26&lt;=5),"Đài 2 - 5 cọc",IF(AND(H26&gt;=6,H26&lt;=10),"Đài 6 - 10 cọc",IF(AND(H26&gt;=11,H26&lt;=20),"Đài 11 - 20 cọc",IF(H26&gt;20,"Đài &gt;20 cọc","")))))</x:f>
        <x:v>Đài 2 - 5 cọc</x:v>
      </x:c>
      <x:c r="J26" s="29" t="str">
        <x:f>IF(AND(F26=H26,G26=I26),"SAME","DIFFERENT")</x:f>
        <x:v>DIFFERENT</x:v>
      </x:c>
      <x:c r="K26" s="29" t="n">
        <x:v>875</x:v>
      </x:c>
      <x:c r="L26" s="29" t="str">
        <x:f>IF(H26=1,"SINGLE","GROUPED")</x:f>
        <x:v>GROUPED</x:v>
      </x:c>
      <x:c r="M26" s="29" t="str">
        <x:v>GROUP/PRESENTATION</x:v>
      </x:c>
      <x:c r="N26" s="29" t="str">
        <x:v>DCE_VBA_REFERENCE_ONLY</x:v>
      </x:c>
      <x:c r="O26" s="32" t="b">
        <x:v>0</x:v>
      </x:c>
      <x:c r="P26" s="29"/>
      <x:c r="Q26" s="29"/>
      <x:c r="R26" s="29"/>
    </x:row>
    <x:row r="27" ht="39.599998474121094" hidden="0" customHeight="1">
      <x:c r="A27" s="29" t="n">
        <x:v>32</x:v>
      </x:c>
      <x:c r="B27" s="29" t="str">
        <x:v>169</x:v>
      </x:c>
      <x:c r="C27" s="29" t="n">
        <x:v>7650</x:v>
      </x:c>
      <x:c r="D27" s="29" t="n">
        <x:v>1100</x:v>
      </x:c>
      <x:c r="E27" s="29" t="n">
        <x:v>250</x:v>
      </x:c>
      <x:c r="F27" s="29" t="n">
        <x:v>1</x:v>
      </x:c>
      <x:c r="G27" s="29" t="str">
        <x:v>Đài 1 cọc</x:v>
      </x:c>
      <x:c r="H27" s="29" t="n">
        <x:v>3</x:v>
      </x:c>
      <x:c r="I27" s="29" t="str">
        <x:f>IF(H27=1,"Đài "&amp;H27&amp;" cọc",IF(AND(H27&gt;=2,H27&lt;=5),"Đài 2 - 5 cọc",IF(AND(H27&gt;=6,H27&lt;=10),"Đài 6 - 10 cọc",IF(AND(H27&gt;=11,H27&lt;=20),"Đài 11 - 20 cọc",IF(H27&gt;20,"Đài &gt;20 cọc","")))))</x:f>
        <x:v>Đài 2 - 5 cọc</x:v>
      </x:c>
      <x:c r="J27" s="29" t="str">
        <x:f>IF(AND(F27=H27,G27=I27),"SAME","DIFFERENT")</x:f>
        <x:v>DIFFERENT</x:v>
      </x:c>
      <x:c r="K27" s="29" t="n">
        <x:v>875</x:v>
      </x:c>
      <x:c r="L27" s="29" t="str">
        <x:f>IF(H27=1,"SINGLE","GROUPED")</x:f>
        <x:v>GROUPED</x:v>
      </x:c>
      <x:c r="M27" s="29" t="str">
        <x:v>GROUP/PRESENTATION</x:v>
      </x:c>
      <x:c r="N27" s="29" t="str">
        <x:v>DCE_VBA_REFERENCE_ONLY</x:v>
      </x:c>
      <x:c r="O27" s="32" t="b">
        <x:v>0</x:v>
      </x:c>
      <x:c r="P27" s="29"/>
      <x:c r="Q27" s="29"/>
      <x:c r="R27" s="29"/>
    </x:row>
    <x:row r="28" ht="39.599998474121094" hidden="0" customHeight="1">
      <x:c r="A28" s="29" t="n">
        <x:v>33</x:v>
      </x:c>
      <x:c r="B28" s="29" t="str">
        <x:v>170</x:v>
      </x:c>
      <x:c r="C28" s="29" t="n">
        <x:v>4820</x:v>
      </x:c>
      <x:c r="D28" s="29" t="n">
        <x:v>490</x:v>
      </x:c>
      <x:c r="E28" s="29" t="n">
        <x:v>250</x:v>
      </x:c>
      <x:c r="F28" s="29" t="n">
        <x:v>1</x:v>
      </x:c>
      <x:c r="G28" s="29" t="str">
        <x:v>Đài 1 cọc</x:v>
      </x:c>
      <x:c r="H28" s="29" t="n">
        <x:v>3</x:v>
      </x:c>
      <x:c r="I28" s="29" t="str">
        <x:f>IF(H28=1,"Đài "&amp;H28&amp;" cọc",IF(AND(H28&gt;=2,H28&lt;=5),"Đài 2 - 5 cọc",IF(AND(H28&gt;=6,H28&lt;=10),"Đài 6 - 10 cọc",IF(AND(H28&gt;=11,H28&lt;=20),"Đài 11 - 20 cọc",IF(H28&gt;20,"Đài &gt;20 cọc","")))))</x:f>
        <x:v>Đài 2 - 5 cọc</x:v>
      </x:c>
      <x:c r="J28" s="29" t="str">
        <x:f>IF(AND(F28=H28,G28=I28),"SAME","DIFFERENT")</x:f>
        <x:v>DIFFERENT</x:v>
      </x:c>
      <x:c r="K28" s="29" t="n">
        <x:v>875</x:v>
      </x:c>
      <x:c r="L28" s="29" t="str">
        <x:f>IF(H28=1,"SINGLE","GROUPED")</x:f>
        <x:v>GROUPED</x:v>
      </x:c>
      <x:c r="M28" s="29" t="str">
        <x:v>GROUP/PRESENTATION</x:v>
      </x:c>
      <x:c r="N28" s="29" t="str">
        <x:v>DCE_VBA_REFERENCE_ONLY</x:v>
      </x:c>
      <x:c r="O28" s="32" t="b">
        <x:v>0</x:v>
      </x:c>
      <x:c r="P28" s="29"/>
      <x:c r="Q28" s="29"/>
      <x:c r="R28" s="29"/>
    </x:row>
    <x:row r="29" ht="39.599998474121094" hidden="0" customHeight="1">
      <x:c r="A29" s="29" t="n">
        <x:v>34</x:v>
      </x:c>
      <x:c r="B29" s="29" t="str">
        <x:v>171</x:v>
      </x:c>
      <x:c r="C29" s="29" t="n">
        <x:v>4070</x:v>
      </x:c>
      <x:c r="D29" s="29" t="n">
        <x:v>490</x:v>
      </x:c>
      <x:c r="E29" s="29" t="n">
        <x:v>250</x:v>
      </x:c>
      <x:c r="F29" s="29" t="n">
        <x:v>1</x:v>
      </x:c>
      <x:c r="G29" s="29" t="str">
        <x:v>Đài 1 cọc</x:v>
      </x:c>
      <x:c r="H29" s="29" t="n">
        <x:v>3</x:v>
      </x:c>
      <x:c r="I29" s="29" t="str">
        <x:f>IF(H29=1,"Đài "&amp;H29&amp;" cọc",IF(AND(H29&gt;=2,H29&lt;=5),"Đài 2 - 5 cọc",IF(AND(H29&gt;=6,H29&lt;=10),"Đài 6 - 10 cọc",IF(AND(H29&gt;=11,H29&lt;=20),"Đài 11 - 20 cọc",IF(H29&gt;20,"Đài &gt;20 cọc","")))))</x:f>
        <x:v>Đài 2 - 5 cọc</x:v>
      </x:c>
      <x:c r="J29" s="29" t="str">
        <x:f>IF(AND(F29=H29,G29=I29),"SAME","DIFFERENT")</x:f>
        <x:v>DIFFERENT</x:v>
      </x:c>
      <x:c r="K29" s="29" t="n">
        <x:v>875</x:v>
      </x:c>
      <x:c r="L29" s="29" t="str">
        <x:f>IF(H29=1,"SINGLE","GROUPED")</x:f>
        <x:v>GROUPED</x:v>
      </x:c>
      <x:c r="M29" s="29" t="str">
        <x:v>GROUP/PRESENTATION</x:v>
      </x:c>
      <x:c r="N29" s="29" t="str">
        <x:v>DCE_VBA_REFERENCE_ONLY</x:v>
      </x:c>
      <x:c r="O29" s="32" t="b">
        <x:v>0</x:v>
      </x:c>
      <x:c r="P29" s="29"/>
      <x:c r="Q29" s="29"/>
      <x:c r="R29" s="29"/>
    </x:row>
    <x:row r="30" ht="39.599998474121094" hidden="0" customHeight="1">
      <x:c r="A30" s="29" t="n">
        <x:v>35</x:v>
      </x:c>
      <x:c r="B30" s="29" t="str">
        <x:v>172</x:v>
      </x:c>
      <x:c r="C30" s="29" t="n">
        <x:v>3320</x:v>
      </x:c>
      <x:c r="D30" s="29" t="n">
        <x:v>490</x:v>
      </x:c>
      <x:c r="E30" s="29" t="n">
        <x:v>250</x:v>
      </x:c>
      <x:c r="F30" s="29" t="n">
        <x:v>1</x:v>
      </x:c>
      <x:c r="G30" s="29" t="str">
        <x:v>Đài 1 cọc</x:v>
      </x:c>
      <x:c r="H30" s="29" t="n">
        <x:v>3</x:v>
      </x:c>
      <x:c r="I30" s="29" t="str">
        <x:f>IF(H30=1,"Đài "&amp;H30&amp;" cọc",IF(AND(H30&gt;=2,H30&lt;=5),"Đài 2 - 5 cọc",IF(AND(H30&gt;=6,H30&lt;=10),"Đài 6 - 10 cọc",IF(AND(H30&gt;=11,H30&lt;=20),"Đài 11 - 20 cọc",IF(H30&gt;20,"Đài &gt;20 cọc","")))))</x:f>
        <x:v>Đài 2 - 5 cọc</x:v>
      </x:c>
      <x:c r="J30" s="29" t="str">
        <x:f>IF(AND(F30=H30,G30=I30),"SAME","DIFFERENT")</x:f>
        <x:v>DIFFERENT</x:v>
      </x:c>
      <x:c r="K30" s="29" t="n">
        <x:v>875</x:v>
      </x:c>
      <x:c r="L30" s="29" t="str">
        <x:f>IF(H30=1,"SINGLE","GROUPED")</x:f>
        <x:v>GROUPED</x:v>
      </x:c>
      <x:c r="M30" s="29" t="str">
        <x:v>GROUP/PRESENTATION</x:v>
      </x:c>
      <x:c r="N30" s="29" t="str">
        <x:v>DCE_VBA_REFERENCE_ONLY</x:v>
      </x:c>
      <x:c r="O30" s="32" t="b">
        <x:v>0</x:v>
      </x:c>
      <x:c r="P30" s="29"/>
      <x:c r="Q30" s="29"/>
      <x:c r="R30" s="29"/>
    </x:row>
    <x:row r="31" ht="39.599998474121094" hidden="0" customHeight="1">
      <x:c r="A31" s="29" t="n">
        <x:v>36</x:v>
      </x:c>
      <x:c r="B31" s="29" t="str">
        <x:v>177</x:v>
      </x:c>
      <x:c r="C31" s="29" t="n">
        <x:v>1980</x:v>
      </x:c>
      <x:c r="D31" s="29" t="n">
        <x:v>460</x:v>
      </x:c>
      <x:c r="E31" s="29" t="n">
        <x:v>250</x:v>
      </x:c>
      <x:c r="F31" s="29" t="n">
        <x:v>1</x:v>
      </x:c>
      <x:c r="G31" s="29" t="str">
        <x:v>Đài 1 cọc</x:v>
      </x:c>
      <x:c r="H31" s="29" t="n">
        <x:v>3</x:v>
      </x:c>
      <x:c r="I31" s="29" t="str">
        <x:f>IF(H31=1,"Đài "&amp;H31&amp;" cọc",IF(AND(H31&gt;=2,H31&lt;=5),"Đài 2 - 5 cọc",IF(AND(H31&gt;=6,H31&lt;=10),"Đài 6 - 10 cọc",IF(AND(H31&gt;=11,H31&lt;=20),"Đài 11 - 20 cọc",IF(H31&gt;20,"Đài &gt;20 cọc","")))))</x:f>
        <x:v>Đài 2 - 5 cọc</x:v>
      </x:c>
      <x:c r="J31" s="29" t="str">
        <x:f>IF(AND(F31=H31,G31=I31),"SAME","DIFFERENT")</x:f>
        <x:v>DIFFERENT</x:v>
      </x:c>
      <x:c r="K31" s="29" t="n">
        <x:v>875</x:v>
      </x:c>
      <x:c r="L31" s="29" t="str">
        <x:f>IF(H31=1,"SINGLE","GROUPED")</x:f>
        <x:v>GROUPED</x:v>
      </x:c>
      <x:c r="M31" s="29" t="str">
        <x:v>GROUP/PRESENTATION</x:v>
      </x:c>
      <x:c r="N31" s="29" t="str">
        <x:v>DCE_VBA_REFERENCE_ONLY</x:v>
      </x:c>
      <x:c r="O31" s="32" t="b">
        <x:v>0</x:v>
      </x:c>
      <x:c r="P31" s="29"/>
      <x:c r="Q31" s="29"/>
      <x:c r="R31" s="29"/>
    </x:row>
    <x:row r="32" ht="39.599998474121094" hidden="0" customHeight="1">
      <x:c r="A32" s="29" t="n">
        <x:v>37</x:v>
      </x:c>
      <x:c r="B32" s="29" t="str">
        <x:v>178</x:v>
      </x:c>
      <x:c r="C32" s="29" t="n">
        <x:v>1230</x:v>
      </x:c>
      <x:c r="D32" s="29" t="n">
        <x:v>460</x:v>
      </x:c>
      <x:c r="E32" s="29" t="n">
        <x:v>250</x:v>
      </x:c>
      <x:c r="F32" s="29" t="n">
        <x:v>1</x:v>
      </x:c>
      <x:c r="G32" s="29" t="str">
        <x:v>Đài 1 cọc</x:v>
      </x:c>
      <x:c r="H32" s="29" t="n">
        <x:v>3</x:v>
      </x:c>
      <x:c r="I32" s="29" t="str">
        <x:f>IF(H32=1,"Đài "&amp;H32&amp;" cọc",IF(AND(H32&gt;=2,H32&lt;=5),"Đài 2 - 5 cọc",IF(AND(H32&gt;=6,H32&lt;=10),"Đài 6 - 10 cọc",IF(AND(H32&gt;=11,H32&lt;=20),"Đài 11 - 20 cọc",IF(H32&gt;20,"Đài &gt;20 cọc","")))))</x:f>
        <x:v>Đài 2 - 5 cọc</x:v>
      </x:c>
      <x:c r="J32" s="29" t="str">
        <x:f>IF(AND(F32=H32,G32=I32),"SAME","DIFFERENT")</x:f>
        <x:v>DIFFERENT</x:v>
      </x:c>
      <x:c r="K32" s="29" t="n">
        <x:v>875</x:v>
      </x:c>
      <x:c r="L32" s="29" t="str">
        <x:f>IF(H32=1,"SINGLE","GROUPED")</x:f>
        <x:v>GROUPED</x:v>
      </x:c>
      <x:c r="M32" s="29" t="str">
        <x:v>GROUP/PRESENTATION</x:v>
      </x:c>
      <x:c r="N32" s="29" t="str">
        <x:v>DCE_VBA_REFERENCE_ONLY</x:v>
      </x:c>
      <x:c r="O32" s="32" t="b">
        <x:v>0</x:v>
      </x:c>
      <x:c r="P32" s="29"/>
      <x:c r="Q32" s="29"/>
      <x:c r="R32" s="29"/>
    </x:row>
    <x:row r="33" ht="39.599998474121094" hidden="0" customHeight="1">
      <x:c r="A33" s="29" t="n">
        <x:v>38</x:v>
      </x:c>
      <x:c r="B33" s="29" t="str">
        <x:v>179</x:v>
      </x:c>
      <x:c r="C33" s="29" t="n">
        <x:v>480</x:v>
      </x:c>
      <x:c r="D33" s="29" t="n">
        <x:v>460</x:v>
      </x:c>
      <x:c r="E33" s="29" t="n">
        <x:v>250</x:v>
      </x:c>
      <x:c r="F33" s="29" t="n">
        <x:v>1</x:v>
      </x:c>
      <x:c r="G33" s="29" t="str">
        <x:v>Đài 1 cọc</x:v>
      </x:c>
      <x:c r="H33" s="29" t="n">
        <x:v>3</x:v>
      </x:c>
      <x:c r="I33" s="29" t="str">
        <x:f>IF(H33=1,"Đài "&amp;H33&amp;" cọc",IF(AND(H33&gt;=2,H33&lt;=5),"Đài 2 - 5 cọc",IF(AND(H33&gt;=6,H33&lt;=10),"Đài 6 - 10 cọc",IF(AND(H33&gt;=11,H33&lt;=20),"Đài 11 - 20 cọc",IF(H33&gt;20,"Đài &gt;20 cọc","")))))</x:f>
        <x:v>Đài 2 - 5 cọc</x:v>
      </x:c>
      <x:c r="J33" s="29" t="str">
        <x:f>IF(AND(F33=H33,G33=I33),"SAME","DIFFERENT")</x:f>
        <x:v>DIFFERENT</x:v>
      </x:c>
      <x:c r="K33" s="29" t="n">
        <x:v>875</x:v>
      </x:c>
      <x:c r="L33" s="29" t="str">
        <x:f>IF(H33=1,"SINGLE","GROUPED")</x:f>
        <x:v>GROUPED</x:v>
      </x:c>
      <x:c r="M33" s="29" t="str">
        <x:v>GROUP/PRESENTATION</x:v>
      </x:c>
      <x:c r="N33" s="29" t="str">
        <x:v>DCE_VBA_REFERENCE_ONLY</x:v>
      </x:c>
      <x:c r="O33" s="32" t="b">
        <x:v>0</x:v>
      </x:c>
      <x:c r="P33" s="29"/>
      <x:c r="Q33" s="29"/>
      <x:c r="R33" s="29"/>
    </x:row>
    <x:row r="34" ht="15" hidden="0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29"/>
      <x:c r="M34" s="29"/>
      <x:c r="N34" s="29"/>
      <x:c r="O34" s="29"/>
      <x:c r="P34" s="29"/>
      <x:c r="Q34" s="29"/>
      <x:c r="R34" s="29"/>
    </x:row>
    <x:row r="35" ht="15" hidden="0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29"/>
      <x:c r="M35" s="29"/>
      <x:c r="N35" s="29"/>
      <x:c r="O35" s="29"/>
      <x:c r="P35" s="29"/>
      <x:c r="Q35" s="29"/>
      <x:c r="R35" s="29"/>
    </x:row>
    <x:row r="36" ht="15" hidden="0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29"/>
      <x:c r="M36" s="29"/>
      <x:c r="N36" s="29"/>
      <x:c r="O36" s="29"/>
      <x:c r="P36" s="29"/>
      <x:c r="Q36" s="29"/>
      <x:c r="R36" s="29"/>
    </x:row>
    <x:row r="37" ht="15" hidden="0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29"/>
      <x:c r="M37" s="29"/>
      <x:c r="N37" s="29"/>
      <x:c r="O37" s="29"/>
      <x:c r="P37" s="29"/>
      <x:c r="Q37" s="29"/>
      <x:c r="R37" s="29"/>
    </x:row>
    <x:row r="38" ht="15" hidden="0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29"/>
      <x:c r="M38" s="29"/>
      <x:c r="N38" s="29"/>
      <x:c r="O38" s="29"/>
      <x:c r="P38" s="29"/>
      <x:c r="Q38" s="29"/>
      <x:c r="R38" s="29"/>
    </x:row>
    <x:row r="39" ht="15" hidden="0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29"/>
      <x:c r="M39" s="29"/>
      <x:c r="N39" s="29"/>
      <x:c r="O39" s="29"/>
      <x:c r="P39" s="29"/>
      <x:c r="Q39" s="29"/>
      <x:c r="R39" s="29"/>
    </x:row>
    <x:row r="40" ht="15" hidden="0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29"/>
      <x:c r="M40" s="29"/>
      <x:c r="N40" s="29"/>
      <x:c r="O40" s="29"/>
      <x:c r="P40" s="29"/>
      <x:c r="Q40" s="29"/>
      <x:c r="R40" s="29"/>
    </x:row>
  </x:sheetData>
  <x:mergeCells>
    <x:mergeCell ref="A1:O1"/>
  </x:mergeCells>
  <x:conditionalFormatting sqref="J15:J33">
    <x:cfRule type="expression" dxfId="4" priority="1">
      <x:formula>J15="DIFFERENT"</x:formula>
    </x:cfRule>
  </x:conditionalFormatting>
  <x:conditionalFormatting sqref="L15:L33">
    <x:cfRule type="expression" dxfId="5" priority="2">
      <x:formula>L15="GROUPED"</x:formula>
    </x:cfRule>
  </x:conditionalFormatting>
  <x:pageMargins left="0.7" right="0.7" top="0.75" bottom="0.75" header="0.3" footer="0.3"/>
</x:worksheet>
</file>