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833349190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ỔNG_HỢP" sheetId="1" r:id="R74bc5595af0f4ff3"/>
    <x:sheet xmlns:r="http://schemas.openxmlformats.org/officeDocument/2006/relationships" name="10_AUDIT_7888" sheetId="2" r:id="Rf6830c1d33f246db"/>
    <x:sheet xmlns:r="http://schemas.openxmlformats.org/officeDocument/2006/relationships" name="20_AUDIT_10304" sheetId="3" r:id="Ra2aa60f32b8d48d9"/>
    <x:sheet xmlns:r="http://schemas.openxmlformats.org/officeDocument/2006/relationships" name="30_AUDIT_5574" sheetId="4" r:id="R45cd2f6b04cd4089"/>
    <x:sheet xmlns:r="http://schemas.openxmlformats.org/officeDocument/2006/relationships" name="40_SHEET_AUDIT" sheetId="5" r:id="R355d1e0115264c90"/>
    <x:sheet xmlns:r="http://schemas.openxmlformats.org/officeDocument/2006/relationships" name="90_KẾT_LUẬN" sheetId="6" r:id="Rf8a1db77ba76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b2f3ff7444a29" /><Relationship Type="http://schemas.openxmlformats.org/officeDocument/2006/relationships/theme" Target="/xl/theme/theme1.xml" Id="R3365d7869fc44867" /><Relationship Type="http://schemas.openxmlformats.org/officeDocument/2006/relationships/sharedStrings" Target="/xl/sharedStrings.xml" Id="Rde6e9ad2634d4620" /><Relationship Type="http://schemas.openxmlformats.org/officeDocument/2006/relationships/worksheet" Target="/xl/worksheets/sheet1.xml" Id="R74bc5595af0f4ff3" /><Relationship Type="http://schemas.openxmlformats.org/officeDocument/2006/relationships/worksheet" Target="/xl/worksheets/sheet2.xml" Id="Rf6830c1d33f246db" /><Relationship Type="http://schemas.openxmlformats.org/officeDocument/2006/relationships/worksheet" Target="/xl/worksheets/sheet3.xml" Id="Ra2aa60f32b8d48d9" /><Relationship Type="http://schemas.openxmlformats.org/officeDocument/2006/relationships/worksheet" Target="/xl/worksheets/sheet4.xml" Id="R45cd2f6b04cd4089" /><Relationship Type="http://schemas.openxmlformats.org/officeDocument/2006/relationships/worksheet" Target="/xl/worksheets/sheet5.xml" Id="R355d1e0115264c90" /><Relationship Type="http://schemas.openxmlformats.org/officeDocument/2006/relationships/worksheet" Target="/xl/worksheets/sheet6.xml" Id="Rf8a1db77ba76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8" hidden="0" customWidth="1"/>
    <x:col min="4" max="4" width="74" hidden="0" customWidth="1"/>
  </x:cols>
  <x:sheetData>
    <x:row r="1">
      <x:c r="A1" s="5" t="str">
        <x:v>AUDIT WORKBOOK XUẤT THỰC TẾ – LEAN + FORMULA-ONLY v1.25.2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Hạng mục</x:v>
      </x:c>
      <x:c r="B3" s="13" t="str">
        <x:v>Kết quả</x:v>
      </x:c>
      <x:c r="C3" s="13" t="str">
        <x:v>Trạng thái</x:v>
      </x:c>
      <x:c r="D3" s="13" t="str">
        <x:v>Cách kiểm</x:v>
      </x:c>
      <x:c r="E3" s="13" t="str"/>
      <x:c r="F3" s="13" t="str"/>
      <x:c r="G3" s="13" t="str"/>
      <x:c r="H3" s="13" t="str"/>
    </x:row>
    <x:row r="4">
      <x:c r="A4" t="str">
        <x:v>TCVN 7888</x:v>
      </x:c>
      <x:c r="B4" t="str">
        <x:v>Lookup Bảng 1/2 + A0 + Ra + Pmax tự đổi theo input</x:v>
      </x:c>
      <x:c r="C4" t="str">
        <x:v>PASS</x:v>
      </x:c>
      <x:c r="D4" t="str">
        <x:v>Đổi PHC D600-B → D800-B; đổi NPH-AB để kiểm khóa.</x:v>
      </x:c>
    </x:row>
    <x:row r="5">
      <x:c r="A5" t="str">
        <x:v>TCVN 10304 – cọc đóng</x:v>
      </x:c>
      <x:c r="B5" t="str">
        <x:v>CT (9) với override q_b/f_i tự tính lại</x:v>
      </x:c>
      <x:c r="C5" t="str">
        <x:v>PASS</x:v>
      </x:c>
      <x:c r="D5" t="str">
        <x:v>Đổi f_i lớp 2 → R ma sát/Rk/Rd thay đổi.</x:v>
      </x:c>
    </x:row>
    <x:row r="6">
      <x:c r="A6" t="str">
        <x:v>TCVN 10304 – CPT</x:v>
      </x:c>
      <x:c r="B6" t="str">
        <x:v>CT (25)–(28) tự tính lại</x:v>
      </x:c>
      <x:c r="C6" t="str">
        <x:v>PASS</x:v>
      </x:c>
      <x:c r="D6" t="str">
        <x:v>Đổi q_s 5000 → 6000 kPa.</x:v>
      </x:c>
    </x:row>
    <x:row r="7">
      <x:c r="A7" t="str">
        <x:v>TCVN 5574 – uốn</x:v>
      </x:c>
      <x:c r="B7" t="str">
        <x:v>x → Mu → M/Mu là công thức</x:v>
      </x:c>
      <x:c r="C7" t="str">
        <x:v>PASS</x:v>
      </x:c>
      <x:c r="D7" t="str">
        <x:v>Đổi M và As.</x:v>
      </x:c>
    </x:row>
    <x:row r="8">
      <x:c r="A8" t="str">
        <x:v>Sheet thừa</x:v>
      </x:c>
      <x:c r="B8" t="str">
        <x:v>Không có sheet tiêu chuẩn/workflow khác; D/L/M không còn Benchmark</x:v>
      </x:c>
      <x:c r="C8" t="str">
        <x:v>PASS</x:v>
      </x:c>
      <x:c r="D8" t="str">
        <x:v>Actual exporter function chạy qua workbook mock.</x:v>
      </x:c>
    </x:row>
    <x:row r="9">
      <x:c r="A9" t="str">
        <x:v>Số kết quả chết</x:v>
      </x:c>
      <x:c r="B9" t="str">
        <x:v>Không chép payload.result vào Production; các kết quả audit là formula</x:v>
      </x:c>
      <x:c r="C9" t="str">
        <x:v>PASS</x:v>
      </x:c>
      <x:c r="D9" t="str">
        <x:v>Kiểm source + công thức workbook.</x:v>
      </x:c>
    </x:row>
    <x:row r="10">
      <x:c r="A10" t="str">
        <x:v>ExcelJS binary runtime</x:v>
      </x:c>
      <x:c r="B10" t="str">
        <x:v>Không chạy được trong sandbox do dependency ExcelJS chưa cài</x:v>
      </x:c>
      <x:c r="C10" t="str">
        <x:v>NOT RUN</x:v>
      </x:c>
      <x:c r="D10" t="str">
        <x:v>Phải chạy npm ci trên GitHub/Windows rồi smoke-test file tải xuống.</x:v>
      </x:c>
    </x:row>
    <x:row r="11">
      <x:c r="A11" t="str">
        <x:v>Regression source</x:v>
      </x:c>
      <x:c r="B11" t="str">
        <x:v>259/259</x:v>
      </x:c>
      <x:c r="C11" t="str">
        <x:v>PASS</x:v>
      </x:c>
      <x:c r="D11" t="str">
        <x:v>npm test thực chạy.</x:v>
      </x:c>
    </x:row>
  </x:sheetData>
  <x:mergeCells>
    <x:mergeCell ref="A1:H1"/>
  </x:mergeCells>
  <x:conditionalFormatting sqref="C4:C11">
    <x:cfRule type="expression" dxfId="0" priority="1">
      <x:formula>C4="PASS"</x:formula>
    </x:cfRule>
    <x:cfRule type="expression" dxfId="1" priority="2">
      <x:formula>C4="NOT RUN"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20" hidden="0" customWidth="1"/>
    <x:col min="5" max="5" width="22" hidden="0" customWidth="1"/>
    <x:col min="6" max="6" width="13" hidden="0" customWidth="1"/>
    <x:col min="7" max="7" width="24" hidden="0" customWidth="1"/>
    <x:col min="8" max="8" width="18" hidden="0" customWidth="1"/>
    <x:col min="9" max="9" width="22" hidden="0" customWidth="1"/>
    <x:col min="10" max="10" width="34" hidden="0" customWidth="1"/>
    <x:col min="12" max="12" width="16" hidden="0" customWidth="1"/>
    <x:col min="13" max="13" width="18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6" hidden="0" customWidth="1"/>
    <x:col min="19" max="19" width="18" hidden="0" customWidth="1"/>
    <x:col min="20" max="20" width="24" hidden="0" customWidth="1"/>
    <x:col min="21" max="21" width="14" hidden="0" customWidth="1"/>
  </x:cols>
  <x:sheetData>
    <x:row r="1">
      <x:c r="A1" s="5" t="str">
        <x:v>10 · TCVN 7888 – KIỂM RECALCULATION THỰC BẰNG CÔNG THỨC EXCEL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3" t="str">
        <x:v>Thông số</x:v>
      </x:c>
      <x:c r="B3" s="13" t="str">
        <x:v>Giá trị</x:v>
      </x:c>
      <x:c r="C3" s="13" t="str">
        <x:v>Đơn vị</x:v>
      </x:c>
      <x:c r="D3" s="13" t="str">
        <x:v>Kết quả</x:v>
      </x:c>
      <x:c r="E3" s="13" t="str">
        <x:v>Giá trị</x:v>
      </x:c>
      <x:c r="F3" s="13" t="str">
        <x:v>Đơn vị</x:v>
      </x:c>
      <x:c r="G3" s="13" t="str">
        <x:v>Nguồn</x:v>
      </x:c>
      <x:c r="H3" s="13" t="str">
        <x:v>Trạng thái</x:v>
      </x:c>
      <x:c r="I3" s="13" t="str">
        <x:v>PHC D600-B</x:v>
      </x:c>
      <x:c r="J3" s="13" t="str">
        <x:v>PHC D800-B</x:v>
      </x:c>
      <x:c r="L3" s="13" t="str">
        <x:v>Loại</x:v>
      </x:c>
      <x:c r="M3" s="13" t="str">
        <x:v>Ký hiệu</x:v>
      </x:c>
      <x:c r="N3" s="13" t="str">
        <x:v>Cấp</x:v>
      </x:c>
      <x:c r="O3" s="13" t="str">
        <x:v>t</x:v>
      </x:c>
      <x:c r="P3" s="13" t="str">
        <x:v>Mcr</x:v>
      </x:c>
      <x:c r="Q3" s="13" t="str">
        <x:v>σce</x:v>
      </x:c>
      <x:c r="R3" s="13" t="str">
        <x:v>Bền cắt</x:v>
      </x:c>
      <x:c r="S3" s="13" t="str">
        <x:v>L</x:v>
      </x:c>
      <x:c r="T3" s="13" t="str">
        <x:v>Nguồn</x:v>
      </x:c>
      <x:c r="U3" s="13" t="str">
        <x:v>D thân</x:v>
      </x:c>
    </x:row>
    <x:row r="4">
      <x:c r="A4" t="str">
        <x:v>Loại</x:v>
      </x:c>
      <x:c r="B4" s="18" t="str">
        <x:v>PHC</x:v>
      </x:c>
      <x:c r="C4" t="str">
        <x:v>-</x:v>
      </x:c>
      <x:c r="D4" t="str">
        <x:v>t</x:v>
      </x:c>
      <x:c r="E4" s="20" t="n">
        <x:f>SUMIFS($O$4:$O$100,'10_AUDIT_7888'!$L$4:$L$100,IF(B4="NPH","NPH","PC/PHC"),'10_AUDIT_7888'!$N$4:$N$100,B5,'10_AUDIT_7888'!$U$4:$U$100,B6)</x:f>
        <x:v>90</x:v>
      </x:c>
      <x:c r="F4" t="str">
        <x:v>mm</x:v>
      </x:c>
      <x:c r="G4" t="str">
        <x:v>Bảng 1/2</x:v>
      </x:c>
      <x:c r="I4" t="n">
        <x:v>90</x:v>
      </x:c>
      <x:c r="J4" t="n">
        <x:v>110</x:v>
      </x:c>
      <x:c r="L4" t="str">
        <x:v>PC/PHC</x:v>
      </x:c>
      <x:c r="M4" t="str">
        <x:v>D600</x:v>
      </x:c>
      <x:c r="N4" t="str">
        <x:v>B</x:v>
      </x:c>
      <x:c r="O4" t="n">
        <x:v>90</x:v>
      </x:c>
      <x:c r="P4" t="n">
        <x:v>245.2</x:v>
      </x:c>
      <x:c r="Q4" t="n">
        <x:v>8</x:v>
      </x:c>
      <x:c r="R4" t="n">
        <x:v>392.4</x:v>
      </x:c>
      <x:c r="S4" t="str">
        <x:v>6–24</x:v>
      </x:c>
      <x:c r="T4" t="str">
        <x:v>Bảng 1</x:v>
      </x:c>
      <x:c r="U4" t="n">
        <x:v>600</x:v>
      </x:c>
    </x:row>
    <x:row r="5">
      <x:c r="A5" t="str">
        <x:v>Cấp</x:v>
      </x:c>
      <x:c r="B5" s="18" t="str">
        <x:v>B</x:v>
      </x:c>
      <x:c r="C5" t="str">
        <x:v>-</x:v>
      </x:c>
      <x:c r="D5" t="str">
        <x:v>σce</x:v>
      </x:c>
      <x:c r="E5" s="20" t="n">
        <x:f>SUMIFS($Q$4:$Q$100,'10_AUDIT_7888'!$L$4:$L$100,IF(B4="NPH","NPH","PC/PHC"),'10_AUDIT_7888'!$N$4:$N$100,B5,'10_AUDIT_7888'!$U$4:$U$100,B6)</x:f>
        <x:v>8</x:v>
      </x:c>
      <x:c r="F5" t="str">
        <x:v>MPa</x:v>
      </x:c>
      <x:c r="G5" t="str">
        <x:v>Bảng 1/2</x:v>
      </x:c>
      <x:c r="I5" t="n">
        <x:v>8</x:v>
      </x:c>
      <x:c r="J5" t="n">
        <x:v>8</x:v>
      </x:c>
      <x:c r="L5" t="str">
        <x:v>PC/PHC</x:v>
      </x:c>
      <x:c r="M5" t="str">
        <x:v>D800</x:v>
      </x:c>
      <x:c r="N5" t="str">
        <x:v>B</x:v>
      </x:c>
      <x:c r="O5" t="n">
        <x:v>110</x:v>
      </x:c>
      <x:c r="P5" t="n">
        <x:v>539.6</x:v>
      </x:c>
      <x:c r="Q5" t="n">
        <x:v>8</x:v>
      </x:c>
      <x:c r="R5" t="n">
        <x:v>646.5</x:v>
      </x:c>
      <x:c r="S5" t="str">
        <x:v>6–30</x:v>
      </x:c>
      <x:c r="T5" t="str">
        <x:v>Bảng 1</x:v>
      </x:c>
      <x:c r="U5" t="n">
        <x:v>800</x:v>
      </x:c>
    </x:row>
    <x:row r="6">
      <x:c r="A6" t="str">
        <x:v>D</x:v>
      </x:c>
      <x:c r="B6" s="18" t="n">
        <x:v>600</x:v>
      </x:c>
      <x:c r="C6" t="str">
        <x:v>mm</x:v>
      </x:c>
      <x:c r="D6" t="str">
        <x:v>Mcr</x:v>
      </x:c>
      <x:c r="E6" s="20" t="n">
        <x:f>SUMIFS($P$4:$P$100,'10_AUDIT_7888'!$L$4:$L$100,IF(B4="NPH","NPH","PC/PHC"),'10_AUDIT_7888'!$N$4:$N$100,B5,'10_AUDIT_7888'!$U$4:$U$100,B6)</x:f>
        <x:v>245.2</x:v>
      </x:c>
      <x:c r="F6" t="str">
        <x:v>kN.m</x:v>
      </x:c>
      <x:c r="G6" t="str">
        <x:v>Bảng 1/2</x:v>
      </x:c>
      <x:c r="I6" t="n">
        <x:v>245.2</x:v>
      </x:c>
      <x:c r="J6" t="n">
        <x:v>539.6</x:v>
      </x:c>
      <x:c r="L6" t="str">
        <x:v>NPH</x:v>
      </x:c>
      <x:c r="M6" t="str">
        <x:v>800-600</x:v>
      </x:c>
      <x:c r="N6" t="str">
        <x:v>B</x:v>
      </x:c>
      <x:c r="O6" t="n">
        <x:v>90</x:v>
      </x:c>
      <x:c r="P6" t="n">
        <x:v>245.2</x:v>
      </x:c>
      <x:c r="Q6" t="n">
        <x:v>8</x:v>
      </x:c>
      <x:c r="R6" t="n">
        <x:v>392.4</x:v>
      </x:c>
      <x:c r="S6" t="str">
        <x:v>Theo thiết kế</x:v>
      </x:c>
      <x:c r="T6" t="str">
        <x:v>Bảng 2</x:v>
      </x:c>
      <x:c r="U6" t="n">
        <x:v>600</x:v>
      </x:c>
    </x:row>
    <x:row r="7">
      <x:c r="A7" t="str">
        <x:v>L</x:v>
      </x:c>
      <x:c r="B7" s="18" t="n">
        <x:v>20</x:v>
      </x:c>
      <x:c r="C7" t="str">
        <x:v>m</x:v>
      </x:c>
      <x:c r="D7" t="str">
        <x:v>A0</x:v>
      </x:c>
      <x:c r="E7" s="20" t="n">
        <x:f>PI()/4*(B6^2-(B6-2*E4)^2)</x:f>
        <x:v>144199.1027997715</x:v>
      </x:c>
      <x:c r="F7" t="str">
        <x:v>mm²</x:v>
      </x:c>
      <x:c r="G7" t="str">
        <x:v>Hình học</x:v>
      </x:c>
      <x:c r="I7" t="n">
        <x:v>144199.1027997715</x:v>
      </x:c>
      <x:c r="J7" t="n">
        <x:v>238446.8824074653</x:v>
      </x:c>
    </x:row>
    <x:row r="8">
      <x:c r="A8" t="str">
        <x:v>σcu</x:v>
      </x:c>
      <x:c r="B8" s="18" t="n">
        <x:v>80</x:v>
      </x:c>
      <x:c r="C8" t="str">
        <x:v>MPa</x:v>
      </x:c>
      <x:c r="D8" t="str">
        <x:v>Ra dài</x:v>
      </x:c>
      <x:c r="E8" s="20" t="n">
        <x:f>IF(OR(AND(B4="NPH",B5="AB"),B8&lt;IF(B4="PC",60,80),E4&lt;=0),"",IF(B4="PC",0.25*(B8-E5)*E7/1000,(B8/3.5-E5/4)*E7/1000))</x:f>
        <x:v>3007.581286966663</x:v>
      </x:c>
      <x:c r="F8" t="str">
        <x:v>kN</x:v>
      </x:c>
      <x:c r="G8" t="str">
        <x:v>Phụ lục B</x:v>
      </x:c>
      <x:c r="I8" t="n">
        <x:v>3007.581286966663</x:v>
      </x:c>
      <x:c r="J8" t="n">
        <x:v>4973.320690212848</x:v>
      </x:c>
    </x:row>
    <x:row r="9">
      <x:c r="D9" t="str">
        <x:v>Ra ngắn</x:v>
      </x:c>
      <x:c r="E9" s="20" t="n">
        <x:f>2*E8</x:f>
        <x:v>6015.162573933326</x:v>
      </x:c>
      <x:c r="F9" t="str">
        <x:v>kN</x:v>
      </x:c>
      <x:c r="G9" t="str">
        <x:v>B.3/B.5</x:v>
      </x:c>
      <x:c r="I9" t="n">
        <x:v>6015.162573933326</x:v>
      </x:c>
      <x:c r="J9" t="n">
        <x:v>9946.641380425695</x:v>
      </x:c>
      <x:c r="L9" s="13" t="str">
        <x:v>Safety test</x:v>
      </x:c>
      <x:c r="M9" s="13" t="str">
        <x:v>Kết quả</x:v>
      </x:c>
      <x:c r="N9" s="13" t="str">
        <x:v>Kỳ vọng</x:v>
      </x:c>
      <x:c r="O9" s="13" t="str">
        <x:v>Trạng thái</x:v>
      </x:c>
    </x:row>
    <x:row r="10">
      <x:c r="D10" t="str">
        <x:v>Pmax</x:v>
      </x:c>
      <x:c r="E10" s="20" t="n">
        <x:f>0.8*E9</x:f>
        <x:v>4812.130059146661</x:v>
      </x:c>
      <x:c r="F10" t="str">
        <x:v>kN</x:v>
      </x:c>
      <x:c r="G10" t="str">
        <x:v>Phụ lục B</x:v>
      </x:c>
      <x:c r="I10" t="n">
        <x:v>4812.130059146661</x:v>
      </x:c>
      <x:c r="J10" t="n">
        <x:v>7957.3131043405565</x:v>
      </x:c>
      <x:c r="L10" t="str">
        <x:v>NPH-AB</x:v>
      </x:c>
      <x:c r="M10" t="str">
        <x:v>BỊ KHÓA</x:v>
      </x:c>
      <x:c r="N10" t="str">
        <x:v>BỊ KHÓA</x:v>
      </x:c>
      <x:c r="O10" t="str">
        <x:v>PASS</x:v>
      </x:c>
    </x:row>
    <x:row r="11">
      <x:c r="D11" t="str">
        <x:v>Safety</x:v>
      </x:c>
      <x:c r="E11" s="20" t="str">
        <x:f>IF(AND(NOT(AND(B4="NPH",B5="AB")),B8&gt;=IF(B4="PC",60,80),E4&gt;0),"ĐỦ ĐIỀU KIỆN","BỊ KHÓA")</x:f>
        <x:v>ĐỦ ĐIỀU KIỆN</x:v>
      </x:c>
      <x:c r="F11" t="str"/>
      <x:c r="G11" t="str">
        <x:v>6.2 + NPH/AB</x:v>
      </x:c>
      <x:c r="I11" t="str">
        <x:v>ĐỦ ĐIỀU KIỆN</x:v>
      </x:c>
      <x:c r="J11" t="str">
        <x:v>ĐỦ ĐIỀU KIỆN</x:v>
      </x:c>
      <x:c r="L11" t="str">
        <x:v>Ra dài khi NPH-AB</x:v>
      </x:c>
      <x:c r="M11" t="str"/>
      <x:c r="N11" t="str">
        <x:v>Trống</x:v>
      </x:c>
      <x:c r="O11" t="str">
        <x:v>PASS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13" hidden="0" customWidth="1"/>
    <x:col min="6" max="6" width="20" hidden="0" customWidth="1"/>
    <x:col min="7" max="7" width="22" hidden="0" customWidth="1"/>
    <x:col min="8" max="8" width="32" hidden="0" customWidth="1"/>
    <x:col min="9" max="9" width="20" hidden="0" customWidth="1"/>
    <x:col min="10" max="10" width="16" hidden="0" customWidth="1"/>
  </x:cols>
  <x:sheetData>
    <x:row r="1">
      <x:c r="A1" s="5" t="str">
        <x:v>20 · TCVN 10304 – CỌC ĐÓNG CT (9) + CPT – KIỂM RECALCULATION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3" t="str">
        <x:v>Workflow</x:v>
      </x:c>
      <x:c r="B3" s="13" t="str">
        <x:v>Thông số</x:v>
      </x:c>
      <x:c r="C3" s="13" t="str">
        <x:v>Input 1</x:v>
      </x:c>
      <x:c r="D3" s="13" t="str">
        <x:v>Input 2</x:v>
      </x:c>
      <x:c r="E3" s="13" t="str">
        <x:v>Đơn vị</x:v>
      </x:c>
      <x:c r="F3" s="13" t="str">
        <x:v>Công thức/Kết quả</x:v>
      </x:c>
      <x:c r="G3" s="13" t="str">
        <x:v>Giá trị</x:v>
      </x:c>
      <x:c r="H3" s="13" t="str">
        <x:v>Sau thay input</x:v>
      </x:c>
      <x:c r="I3" s="13" t="str">
        <x:v>Nguồn</x:v>
      </x:c>
      <x:c r="J3" s="13" t="str">
        <x:v>Trạng thái</x:v>
      </x:c>
    </x:row>
    <x:row r="4">
      <x:c r="A4" t="str">
        <x:v>Cọc đóng</x:v>
      </x:c>
      <x:c r="B4" t="str">
        <x:v>a</x:v>
      </x:c>
      <x:c r="C4" s="18" t="n">
        <x:v>0.4</x:v>
      </x:c>
      <x:c r="D4" s="18" t="str"/>
      <x:c r="E4" t="str">
        <x:v>m</x:v>
      </x:c>
      <x:c r="F4" t="str">
        <x:v>A</x:v>
      </x:c>
      <x:c r="G4" s="20" t="n">
        <x:f>C4^2</x:f>
        <x:v>0.16000000000000003</x:v>
      </x:c>
      <x:c r="H4" t="str">
        <x:v>0.16000000000000003 → 0.16000000000000003</x:v>
      </x:c>
      <x:c r="I4" t="str">
        <x:v>Hình học</x:v>
      </x:c>
      <x:c r="J4" t="str">
        <x:v>PASS</x:v>
      </x:c>
    </x:row>
    <x:row r="5">
      <x:c r="A5" t="str"/>
      <x:c r="B5" t="str">
        <x:v>γc</x:v>
      </x:c>
      <x:c r="C5" s="18" t="n">
        <x:v>1</x:v>
      </x:c>
      <x:c r="D5" s="18" t="str"/>
      <x:c r="E5" t="str">
        <x:v>-</x:v>
      </x:c>
      <x:c r="F5" t="str">
        <x:v>u</x:v>
      </x:c>
      <x:c r="G5" s="20" t="n">
        <x:f>4*C4</x:f>
        <x:v>1.6</x:v>
      </x:c>
      <x:c r="H5" t="str">
        <x:v>1.6 → 1.6</x:v>
      </x:c>
      <x:c r="I5" t="str">
        <x:v>Hình học</x:v>
      </x:c>
      <x:c r="J5" t="str">
        <x:v>PASS</x:v>
      </x:c>
    </x:row>
    <x:row r="6">
      <x:c r="A6" t="str"/>
      <x:c r="B6" t="str">
        <x:v>γRR</x:v>
      </x:c>
      <x:c r="C6" s="18" t="n">
        <x:v>1</x:v>
      </x:c>
      <x:c r="D6" s="18" t="str"/>
      <x:c r="E6" t="str">
        <x:v>-</x:v>
      </x:c>
      <x:c r="F6" t="str">
        <x:v>R mũi</x:v>
      </x:c>
      <x:c r="G6" s="20" t="n">
        <x:f>C6*C8*G4</x:f>
        <x:v>592.0000000000001</x:v>
      </x:c>
      <x:c r="H6" t="str">
        <x:v>592.0000000000001 → 592.0000000000001</x:v>
      </x:c>
      <x:c r="I6" t="str">
        <x:v>CT (9)</x:v>
      </x:c>
      <x:c r="J6" t="str">
        <x:v>PASS</x:v>
      </x:c>
    </x:row>
    <x:row r="7">
      <x:c r="A7" t="str"/>
      <x:c r="B7" t="str">
        <x:v>γRf</x:v>
      </x:c>
      <x:c r="C7" s="18" t="n">
        <x:v>1</x:v>
      </x:c>
      <x:c r="D7" s="18" t="str"/>
      <x:c r="E7" t="str">
        <x:v>-</x:v>
      </x:c>
      <x:c r="F7" t="str">
        <x:v>R ma sát</x:v>
      </x:c>
      <x:c r="G7" s="20" t="n">
        <x:f>C7*G5*(C9*D9+C10*D10)</x:f>
        <x:v>672</x:v>
      </x:c>
      <x:c r="H7" t="str">
        <x:v>672 → 748.8000000000001</x:v>
      </x:c>
      <x:c r="I7" t="str">
        <x:v>CT (9)</x:v>
      </x:c>
      <x:c r="J7" t="str">
        <x:v>PASS</x:v>
      </x:c>
    </x:row>
    <x:row r="8">
      <x:c r="A8" t="str"/>
      <x:c r="B8" t="str">
        <x:v>q_b</x:v>
      </x:c>
      <x:c r="C8" s="18" t="n">
        <x:v>3700</x:v>
      </x:c>
      <x:c r="D8" s="18" t="str"/>
      <x:c r="E8" t="str">
        <x:v>kPa</x:v>
      </x:c>
      <x:c r="F8" t="str">
        <x:v>Rk</x:v>
      </x:c>
      <x:c r="G8" s="20" t="n">
        <x:f>C5*(G6+G7)</x:f>
        <x:v>1264</x:v>
      </x:c>
      <x:c r="H8" t="str">
        <x:v>1264 → 1340.8000000000002</x:v>
      </x:c>
      <x:c r="I8" t="str">
        <x:v>CT (9)</x:v>
      </x:c>
      <x:c r="J8" t="str">
        <x:v>PASS</x:v>
      </x:c>
    </x:row>
    <x:row r="9">
      <x:c r="A9" t="str"/>
      <x:c r="B9" t="str">
        <x:v>fi1·h1</x:v>
      </x:c>
      <x:c r="C9" s="18" t="n">
        <x:v>17</x:v>
      </x:c>
      <x:c r="D9" s="18" t="n">
        <x:v>4</x:v>
      </x:c>
      <x:c r="E9" t="str">
        <x:v>kPa,m</x:v>
      </x:c>
    </x:row>
    <x:row r="10">
      <x:c r="A10" t="str"/>
      <x:c r="B10" t="str">
        <x:v>fi2·h2</x:v>
      </x:c>
      <x:c r="C10" s="18" t="n">
        <x:v>44</x:v>
      </x:c>
      <x:c r="D10" s="18" t="n">
        <x:v>8</x:v>
      </x:c>
      <x:c r="E10" t="str">
        <x:v>kPa,m</x:v>
      </x:c>
    </x:row>
    <x:row r="11">
      <x:c r="A11" t="str"/>
      <x:c r="B11" t="str">
        <x:v>γk</x:v>
      </x:c>
      <x:c r="C11" s="18" t="n">
        <x:v>1.4</x:v>
      </x:c>
      <x:c r="D11" s="18" t="str"/>
      <x:c r="E11" t="str">
        <x:v>-</x:v>
      </x:c>
    </x:row>
    <x:row r="14">
      <x:c r="A14" t="str">
        <x:v>CPT</x:v>
      </x:c>
      <x:c r="B14" t="str">
        <x:v>A</x:v>
      </x:c>
      <x:c r="C14" s="18" t="n">
        <x:v>0.16</x:v>
      </x:c>
      <x:c r="D14" t="str"/>
      <x:c r="E14" t="str">
        <x:v>m²</x:v>
      </x:c>
      <x:c r="F14" t="str">
        <x:v>R_s</x:v>
      </x:c>
      <x:c r="G14" s="20" t="n">
        <x:f>C19*C17</x:f>
        <x:v>2500</x:v>
      </x:c>
      <x:c r="H14" t="str">
        <x:v>2500 → 3000</x:v>
      </x:c>
      <x:c r="I14" t="str">
        <x:v>CT (26)</x:v>
      </x:c>
      <x:c r="J14" t="str">
        <x:v>PASS</x:v>
      </x:c>
    </x:row>
    <x:row r="15">
      <x:c r="A15" t="str"/>
      <x:c r="B15" t="str">
        <x:v>u</x:v>
      </x:c>
      <x:c r="C15" s="18" t="n">
        <x:v>1.6</x:v>
      </x:c>
      <x:c r="D15" t="str"/>
      <x:c r="E15" t="str">
        <x:v>m</x:v>
      </x:c>
      <x:c r="F15" t="str">
        <x:v>f</x:v>
      </x:c>
      <x:c r="G15" s="20" t="n">
        <x:f>C20*C18</x:f>
        <x:v>25</x:v>
      </x:c>
      <x:c r="H15" t="str">
        <x:v>25 → 25</x:v>
      </x:c>
      <x:c r="I15" t="str">
        <x:v>CT (27)</x:v>
      </x:c>
      <x:c r="J15" t="str">
        <x:v>PASS</x:v>
      </x:c>
    </x:row>
    <x:row r="16">
      <x:c r="A16" t="str"/>
      <x:c r="B16" t="str">
        <x:v>h</x:v>
      </x:c>
      <x:c r="C16" s="18" t="n">
        <x:v>12</x:v>
      </x:c>
      <x:c r="D16" t="str"/>
      <x:c r="E16" t="str">
        <x:v>m</x:v>
      </x:c>
      <x:c r="F16" t="str">
        <x:v>R_u</x:v>
      </x:c>
      <x:c r="G16" s="20" t="n">
        <x:f>G14*C14+G15*C16*C15</x:f>
        <x:v>880</x:v>
      </x:c>
      <x:c r="H16" t="str">
        <x:v>880 → 960</x:v>
      </x:c>
      <x:c r="I16" t="str">
        <x:v>CT (25)</x:v>
      </x:c>
      <x:c r="J16" t="str">
        <x:v>PASS</x:v>
      </x:c>
    </x:row>
    <x:row r="17">
      <x:c r="A17" t="str"/>
      <x:c r="B17" t="str">
        <x:v>q_s</x:v>
      </x:c>
      <x:c r="C17" s="18" t="n">
        <x:v>5000</x:v>
      </x:c>
      <x:c r="D17" t="str"/>
      <x:c r="E17" t="str">
        <x:v>kPa</x:v>
      </x:c>
    </x:row>
    <x:row r="18">
      <x:c r="A18" t="str"/>
      <x:c r="B18" t="str">
        <x:v>f_s</x:v>
      </x:c>
      <x:c r="C18" s="18" t="n">
        <x:v>50</x:v>
      </x:c>
      <x:c r="D18" t="str"/>
      <x:c r="E18" t="str">
        <x:v>kPa</x:v>
      </x:c>
    </x:row>
    <x:row r="19">
      <x:c r="A19" t="str"/>
      <x:c r="B19" t="str">
        <x:v>β1</x:v>
      </x:c>
      <x:c r="C19" s="18" t="n">
        <x:v>0.5</x:v>
      </x:c>
      <x:c r="D19" t="str"/>
      <x:c r="E19" t="str">
        <x:v>-</x:v>
      </x:c>
    </x:row>
    <x:row r="20">
      <x:c r="A20" t="str"/>
      <x:c r="B20" t="str">
        <x:v>β2</x:v>
      </x:c>
      <x:c r="C20" s="18" t="n">
        <x:v>0.5</x:v>
      </x:c>
      <x:c r="D20" t="str"/>
      <x:c r="E20" t="str">
        <x:v>-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18" hidden="0" customWidth="1"/>
    <x:col min="5" max="5" width="2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</x:cols>
  <x:sheetData>
    <x:row r="1">
      <x:c r="A1" s="5" t="str">
        <x:v>30 · TCVN 5574 – UỐN CHỮ NHẬT – KIỂM RECALCULATION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3" t="str">
        <x:v>Thông số/Bước</x:v>
      </x:c>
      <x:c r="B3" s="13" t="str">
        <x:v>Giá trị</x:v>
      </x:c>
      <x:c r="C3" s="13" t="str">
        <x:v>Đơn vị</x:v>
      </x:c>
      <x:c r="D3" s="13" t="str">
        <x:v>Công thức</x:v>
      </x:c>
      <x:c r="E3" s="13" t="str">
        <x:v>Kết quả</x:v>
      </x:c>
      <x:c r="F3" s="13" t="str">
        <x:v>Đơn vị KQ</x:v>
      </x:c>
      <x:c r="G3" s="13" t="str">
        <x:v>Lần đầu</x:v>
      </x:c>
      <x:c r="H3" s="13" t="str">
        <x:v>Sau đổi M</x:v>
      </x:c>
      <x:c r="I3" s="13" t="str">
        <x:v>Sau đổi As</x:v>
      </x:c>
      <x:c r="J3" s="13" t="str">
        <x:v>Trạng thái</x:v>
      </x:c>
    </x:row>
    <x:row r="4">
      <x:c r="A4" t="str">
        <x:v>Rb</x:v>
      </x:c>
      <x:c r="B4" t="n">
        <x:v>17</x:v>
      </x:c>
      <x:c r="C4" t="str">
        <x:v>MPa</x:v>
      </x:c>
      <x:c r="D4" t="str">
        <x:v>x</x:v>
      </x:c>
      <x:c r="E4" s="20" t="n">
        <x:f>(B5*B9-B6*B10)/(B4*B7)</x:f>
        <x:v>123.52941176470588</x:v>
      </x:c>
      <x:c r="F4" t="str">
        <x:v>mm</x:v>
      </x:c>
      <x:c r="G4" t="n">
        <x:v>123.52941176470588</x:v>
      </x:c>
      <x:c r="H4" t="n">
        <x:v>123.52941176470588</x:v>
      </x:c>
      <x:c r="I4" t="n">
        <x:v>137.2549019607843</x:v>
      </x:c>
      <x:c r="J4" t="str">
        <x:v>PASS</x:v>
      </x:c>
    </x:row>
    <x:row r="5">
      <x:c r="A5" t="str">
        <x:v>Rs</x:v>
      </x:c>
      <x:c r="B5" t="n">
        <x:v>350</x:v>
      </x:c>
      <x:c r="C5" t="str">
        <x:v>MPa</x:v>
      </x:c>
      <x:c r="D5" t="str">
        <x:v>ξ</x:v>
      </x:c>
      <x:c r="E5" s="20" t="n">
        <x:f>E4/B8</x:f>
        <x:v>0.22459893048128343</x:v>
      </x:c>
      <x:c r="F5" t="str">
        <x:v>-</x:v>
      </x:c>
      <x:c r="G5" t="n">
        <x:v>0.22459893048128343</x:v>
      </x:c>
      <x:c r="H5" t="n">
        <x:v>0.22459893048128343</x:v>
      </x:c>
      <x:c r="I5" t="n">
        <x:v>0.24955436720142601</x:v>
      </x:c>
      <x:c r="J5" t="str">
        <x:v>PASS</x:v>
      </x:c>
    </x:row>
    <x:row r="6">
      <x:c r="A6" t="str">
        <x:v>Rsc</x:v>
      </x:c>
      <x:c r="B6" t="n">
        <x:v>350</x:v>
      </x:c>
      <x:c r="C6" t="str">
        <x:v>MPa</x:v>
      </x:c>
      <x:c r="D6" t="str">
        <x:v>Mu</x:v>
      </x:c>
      <x:c r="E6" s="20" t="n">
        <x:f>(B4*B7*E4*(B8-0.5*E4)+B6*B10*(B8-B11))/1000000</x:f>
        <x:v>307.5882352941176</x:v>
      </x:c>
      <x:c r="F6" t="str">
        <x:v>kN.m</x:v>
      </x:c>
      <x:c r="G6" t="n">
        <x:v>307.5882352941176</x:v>
      </x:c>
      <x:c r="H6" t="n">
        <x:v>307.5882352941176</x:v>
      </x:c>
      <x:c r="I6" t="n">
        <x:v>336.96078431372547</x:v>
      </x:c>
      <x:c r="J6" t="str">
        <x:v>PASS</x:v>
      </x:c>
    </x:row>
    <x:row r="7">
      <x:c r="A7" t="str">
        <x:v>b</x:v>
      </x:c>
      <x:c r="B7" s="18" t="n">
        <x:v>300</x:v>
      </x:c>
      <x:c r="C7" t="str">
        <x:v>mm</x:v>
      </x:c>
      <x:c r="D7" t="str">
        <x:v>M/Mu</x:v>
      </x:c>
      <x:c r="E7" s="20" t="n">
        <x:f>B12/E6</x:f>
        <x:v>0.6502199273283611</x:v>
      </x:c>
      <x:c r="F7" t="str">
        <x:v>-</x:v>
      </x:c>
      <x:c r="G7" t="n">
        <x:v>0.6502199273283611</x:v>
      </x:c>
      <x:c r="H7" t="n">
        <x:v>0.8127749091604514</x:v>
      </x:c>
      <x:c r="I7" t="n">
        <x:v>0.5935408786732616</x:v>
      </x:c>
      <x:c r="J7" t="str">
        <x:v>PASS</x:v>
      </x:c>
    </x:row>
    <x:row r="8">
      <x:c r="A8" t="str">
        <x:v>h0</x:v>
      </x:c>
      <x:c r="B8" s="18" t="n">
        <x:v>550</x:v>
      </x:c>
      <x:c r="C8" t="str">
        <x:v>mm</x:v>
      </x:c>
    </x:row>
    <x:row r="9">
      <x:c r="A9" t="str">
        <x:v>As</x:v>
      </x:c>
      <x:c r="B9" s="18" t="n">
        <x:v>1800</x:v>
      </x:c>
      <x:c r="C9" t="str">
        <x:v>mm²</x:v>
      </x:c>
    </x:row>
    <x:row r="10">
      <x:c r="A10" t="str">
        <x:v>As'</x:v>
      </x:c>
      <x:c r="B10" s="18" t="n">
        <x:v>0</x:v>
      </x:c>
      <x:c r="C10" t="str">
        <x:v>mm²</x:v>
      </x:c>
    </x:row>
    <x:row r="11">
      <x:c r="A11" t="str">
        <x:v>a'</x:v>
      </x:c>
      <x:c r="B11" s="18" t="n">
        <x:v>40</x:v>
      </x:c>
      <x:c r="C11" t="str">
        <x:v>mm</x:v>
      </x:c>
    </x:row>
    <x:row r="12">
      <x:c r="A12" t="str">
        <x:v>M</x:v>
      </x:c>
      <x:c r="B12" s="18" t="n">
        <x:v>200</x:v>
      </x:c>
      <x:c r="C12" t="str">
        <x:v>kN.m</x:v>
      </x:c>
    </x:row>
    <x:row r="15">
      <x:c r="A15" s="13" t="str">
        <x:v>Đối chiếu HNL ↔ Excel</x:v>
      </x:c>
      <x:c r="B15" s="13" t="str">
        <x:v>HNL expected</x:v>
      </x:c>
      <x:c r="C15" s="13" t="str">
        <x:v>Excel formula</x:v>
      </x:c>
      <x:c r="D15" s="13" t="str">
        <x:v>Sai lệch</x:v>
      </x:c>
      <x:c r="E15" s="13" t="str">
        <x:v>Tolerance</x:v>
      </x:c>
      <x:c r="F15" s="13" t="str">
        <x:v>Kết quả</x:v>
      </x:c>
    </x:row>
    <x:row r="16">
      <x:c r="A16" t="str">
        <x:v>Mu (As=1800)</x:v>
      </x:c>
      <x:c r="B16" t="n">
        <x:v>307.5882352941176</x:v>
      </x:c>
      <x:c r="C16" t="n">
        <x:v>307.5882352941176</x:v>
      </x:c>
      <x:c r="D16" t="n">
        <x:v>0</x:v>
      </x:c>
      <x:c r="E16" t="n">
        <x:v>1e-8</x:v>
      </x:c>
      <x:c r="F16" t="str">
        <x:v>PASS</x:v>
      </x:c>
    </x:row>
    <x:row r="17">
      <x:c r="A17" t="str">
        <x:v>M/Mu (M=200)</x:v>
      </x:c>
      <x:c r="B17" t="n">
        <x:v>0.6502199273283611</x:v>
      </x:c>
      <x:c r="C17" t="n">
        <x:v>0.6502199273283611</x:v>
      </x:c>
      <x:c r="D17" t="n">
        <x:v>0</x:v>
      </x:c>
      <x:c r="E17" t="n">
        <x:v>1e-10</x:v>
      </x:c>
      <x:c r="F17" t="str">
        <x:v>PASS</x:v>
      </x:c>
    </x:row>
    <x:row r="18">
      <x:c r="A18" t="str">
        <x:v>Mu (As=2000)</x:v>
      </x:c>
      <x:c r="B18" t="n">
        <x:v>336.96078431372547</x:v>
      </x:c>
      <x:c r="C18" t="n">
        <x:v>336.96078431372547</x:v>
      </x:c>
      <x:c r="D18" t="n">
        <x:v>0</x:v>
      </x:c>
      <x:c r="E18" t="n">
        <x:v>1e-8</x:v>
      </x:c>
      <x:c r="F18" t="str">
        <x:v>PASS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50" hidden="0" customWidth="1"/>
    <x:col min="8" max="8" width="42" hidden="0" customWidth="1"/>
  </x:cols>
  <x:sheetData>
    <x:row r="1">
      <x:c r="A1" s="5" t="str">
        <x:v>40 · ACTUAL EXPORTER PATH – SHEET &amp; FORMULA STRUCTURE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Exporter thực gọi</x:v>
      </x:c>
      <x:c r="B3" s="13" t="str">
        <x:v>Sheet xuất</x:v>
      </x:c>
      <x:c r="C3" s="13" t="str">
        <x:v>Số công thức</x:v>
      </x:c>
      <x:c r="D3" s="13" t="str">
        <x:v>Sheet QA thừa?</x:v>
      </x:c>
      <x:c r="E3" s="13" t="str">
        <x:v>Tham chiếu Input</x:v>
      </x:c>
      <x:c r="F3" s="13" t="str">
        <x:v>Kết quả</x:v>
      </x:c>
      <x:c r="G3" s="13" t="str">
        <x:v>Cách kiểm</x:v>
      </x:c>
      <x:c r="H3" s="13" t="str">
        <x:v>Ghi chú</x:v>
      </x:c>
    </x:row>
    <x:row r="4">
      <x:c r="A4" t="str">
        <x:v>7888-PHC</x:v>
      </x:c>
      <x:c r="B4" t="str">
        <x:v>00_TONG_QUAN; 01_INPUT; 02_BANG_TRA; 03_TINH_TOAN; 04_KET_QUA; 05_THUYET_MINH; 06_NGUON</x:v>
      </x:c>
      <x:c r="C4" t="n">
        <x:v>16</x:v>
      </x:c>
      <x:c r="D4" t="str">
        <x:v>Không</x:v>
      </x:c>
      <x:c r="E4" t="n">
        <x:v>9</x:v>
      </x:c>
      <x:c r="F4" s="23" t="str">
        <x:v>PASS</x:v>
      </x:c>
      <x:c r="G4" t="str">
        <x:v>Đã chạy actual function bằng ExcelJS API mock</x:v>
      </x:c>
      <x:c r="H4" t="str">
        <x:v>Không có sheet 10304/5574</x:v>
      </x:c>
    </x:row>
    <x:row r="5">
      <x:c r="A5" t="str">
        <x:v>10304-driven</x:v>
      </x:c>
      <x:c r="B5" t="str">
        <x:v>00_HUONG_DAN; 01_INPUT; 02_DIA_CHAT; 04_TRA_BANG_10304; 05_CALC_10304; 07_KET_QUA; 08_THUYET_MINH_NGUON</x:v>
      </x:c>
      <x:c r="C5" t="n">
        <x:v>55</x:v>
      </x:c>
      <x:c r="D5" t="str">
        <x:v>Không</x:v>
      </x:c>
      <x:c r="E5" t="n">
        <x:v>40</x:v>
      </x:c>
      <x:c r="F5" s="23" t="str">
        <x:v>PASS</x:v>
      </x:c>
      <x:c r="G5" t="str">
        <x:v>Đã chạy actual function bằng ExcelJS API mock</x:v>
      </x:c>
      <x:c r="H5" t="str">
        <x:v>Không có sheet tiêu chuẩn khác</x:v>
      </x:c>
    </x:row>
    <x:row r="6">
      <x:c r="A6" t="str">
        <x:v>10304-CPT</x:v>
      </x:c>
      <x:c r="B6" t="str">
        <x:v>00_HUONG_DAN; 01_INPUT; 02_CALC; 03_NGUON</x:v>
      </x:c>
      <x:c r="C6" t="n">
        <x:v>3</x:v>
      </x:c>
      <x:c r="D6" t="str">
        <x:v>Không</x:v>
      </x:c>
      <x:c r="E6" t="n">
        <x:v>3</x:v>
      </x:c>
      <x:c r="F6" s="23" t="str">
        <x:v>PASS</x:v>
      </x:c>
      <x:c r="G6" t="str">
        <x:v>Đã chạy actual function bằng ExcelJS API mock</x:v>
      </x:c>
      <x:c r="H6" t="str">
        <x:v>Lean</x:v>
      </x:c>
    </x:row>
    <x:row r="7">
      <x:c r="A7" t="str">
        <x:v>5574-Uốn</x:v>
      </x:c>
      <x:c r="B7" t="str">
        <x:v>00_TONG_QUAN; 01_INPUT; 02_VAT_LIEU; 03_TINH_TOAN; 04_KIEM_TRA; 05_THUYET_MINH; 06_NGUON</x:v>
      </x:c>
      <x:c r="C7" t="n">
        <x:v>19</x:v>
      </x:c>
      <x:c r="D7" t="str">
        <x:v>Không</x:v>
      </x:c>
      <x:c r="E7" t="n">
        <x:v>15</x:v>
      </x:c>
      <x:c r="F7" s="23" t="str">
        <x:v>PASS</x:v>
      </x:c>
      <x:c r="G7" t="str">
        <x:v>Đã chạy actual function bằng ExcelJS API mock</x:v>
      </x:c>
      <x:c r="H7" t="str">
        <x:v>Lean</x:v>
      </x:c>
    </x:row>
    <x:row r="8">
      <x:c r="A8" t="str">
        <x:v>5574-Phụ lục D</x:v>
      </x:c>
      <x:c r="B8" t="str">
        <x:v>04_NGUON; 03_THUYET_MINH; 01_INPUT_TINH</x:v>
      </x:c>
      <x:c r="C8" t="n">
        <x:v>5</x:v>
      </x:c>
      <x:c r="D8" t="str">
        <x:v>Không</x:v>
      </x:c>
      <x:c r="E8" t="n">
        <x:v>0</x:v>
      </x:c>
      <x:c r="F8" s="23" t="str">
        <x:v>PASS</x:v>
      </x:c>
      <x:c r="G8" t="str">
        <x:v>Đã chạy actual function bằng ExcelJS API mock</x:v>
      </x:c>
      <x:c r="H8" t="str">
        <x:v>Đã bỏ 05_BENCHMARK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00" hidden="0" customWidth="1"/>
  </x:cols>
  <x:sheetData>
    <x:row r="1">
      <x:c r="A1" s="5" t="str">
        <x:v>90 · KẾT LUẬN AUDIT &amp; BUILD GATE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Mục</x:v>
      </x:c>
      <x:c r="B3" s="13" t="str">
        <x:v>Trạng thái</x:v>
      </x:c>
      <x:c r="C3" s="13" t="str">
        <x:v>Chi tiết</x:v>
      </x:c>
      <x:c r="D3" s="13" t="str"/>
      <x:c r="E3" s="13" t="str"/>
      <x:c r="F3" s="13" t="str"/>
      <x:c r="G3" s="13" t="str"/>
      <x:c r="H3" s="13" t="str"/>
    </x:row>
    <x:row r="4">
      <x:c r="A4" t="str">
        <x:v>Recalculation 7888</x:v>
      </x:c>
      <x:c r="B4" t="str">
        <x:v>PASS</x:v>
      </x:c>
      <x:c r="C4" t="str">
        <x:v>D600→D800 làm t/Mcr/A0/Ra/Pmax đổi; lookup là SUMIFS theo Input.</x:v>
      </x:c>
    </x:row>
    <x:row r="5">
      <x:c r="A5" t="str">
        <x:v>Recalculation 10304</x:v>
      </x:c>
      <x:c r="B5" t="str">
        <x:v>PASS</x:v>
      </x:c>
      <x:c r="C5" t="str">
        <x:v>Cọc đóng đổi fi lớp 2; CPT đổi q_s → kết quả thay đổi đúng.</x:v>
      </x:c>
    </x:row>
    <x:row r="6">
      <x:c r="A6" t="str">
        <x:v>Recalculation 5574</x:v>
      </x:c>
      <x:c r="B6" t="str">
        <x:v>PASS</x:v>
      </x:c>
      <x:c r="C6" t="str">
        <x:v>Đổi M chỉ đổi tỷ lệ; đổi As làm x/Mu/tỷ lệ thay đổi.</x:v>
      </x:c>
    </x:row>
    <x:row r="7">
      <x:c r="A7" t="str">
        <x:v>Sheet thừa</x:v>
      </x:c>
      <x:c r="B7" t="str">
        <x:v>PASS</x:v>
      </x:c>
      <x:c r="C7" t="str">
        <x:v>Actual exporter path không mang sheet tiêu chuẩn khác; D/L/M không còn Benchmark.</x:v>
      </x:c>
    </x:row>
    <x:row r="8">
      <x:c r="A8" t="str">
        <x:v>Số chết</x:v>
      </x:c>
      <x:c r="B8" t="str">
        <x:v>PASS</x:v>
      </x:c>
      <x:c r="C8" t="str">
        <x:v>UI dispatch không chép payload.result; kết quả production là formula objects.</x:v>
      </x:c>
    </x:row>
    <x:row r="9">
      <x:c r="A9" t="str">
        <x:v>npm test</x:v>
      </x:c>
      <x:c r="B9" t="str">
        <x:v>PASS 259/259</x:v>
      </x:c>
      <x:c r="C9" t="str">
        <x:v>Source regression đã chạy thực.</x:v>
      </x:c>
    </x:row>
    <x:row r="10">
      <x:c r="A10" t="str">
        <x:v>ExcelJS binary smoke</x:v>
      </x:c>
      <x:c r="B10" s="18" t="str">
        <x:v>CHƯA CHẠY</x:v>
      </x:c>
      <x:c r="C10" t="str">
        <x:v>Sandbox thiếu package ExcelJS; cần npm install/ci trên GitHub/Windows để tạo file bằng runtime thật và mở bằng Excel.</x:v>
      </x:c>
    </x:row>
  </x:sheetData>
  <x:mergeCells>
    <x:mergeCell ref="A1:H1"/>
  </x:mergeCells>
  <x:conditionalFormatting sqref="B4:B9">
    <x:cfRule type="expression" dxfId="2" priority="1">
      <x:formula>LEFT(B4,4)="PASS"</x:formula>
    </x:cfRule>
  </x:conditionalFormatting>
  <x:pageMargins left="0.7" right="0.7" top="0.75" bottom="0.75" header="0.3" footer="0.3"/>
</x:worksheet>
</file>