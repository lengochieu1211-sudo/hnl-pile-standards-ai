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b4f38c9fa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BENCHMARK" sheetId="1" r:id="R8373785d6bbf4191"/>
    <x:sheet xmlns:r="http://schemas.openxmlformats.org/officeDocument/2006/relationships" name="01_COC_CHONG" sheetId="2" r:id="R1fd47c034fbc408e"/>
    <x:sheet xmlns:r="http://schemas.openxmlformats.org/officeDocument/2006/relationships" name="02_COC_DONG" sheetId="3" r:id="R0e684cd4f8d6432b"/>
    <x:sheet xmlns:r="http://schemas.openxmlformats.org/officeDocument/2006/relationships" name="03_COC_NHOI" sheetId="4" r:id="R050ba9796c0043bd"/>
    <x:sheet xmlns:r="http://schemas.openxmlformats.org/officeDocument/2006/relationships" name="04_COC_VIT" sheetId="5" r:id="R74ce691da0c34599"/>
    <x:sheet xmlns:r="http://schemas.openxmlformats.org/officeDocument/2006/relationships" name="05_TAI_TINH" sheetId="6" r:id="Ra68b9e39443f4ff2"/>
    <x:sheet xmlns:r="http://schemas.openxmlformats.org/officeDocument/2006/relationships" name="06_THU_DONG" sheetId="7" r:id="R253e33b9b48f4ed2"/>
    <x:sheet xmlns:r="http://schemas.openxmlformats.org/officeDocument/2006/relationships" name="07_CPT" sheetId="8" r:id="R5a1f39763d2b4e3e"/>
    <x:sheet xmlns:r="http://schemas.openxmlformats.org/officeDocument/2006/relationships" name="08_SPT" sheetId="9" r:id="Rf9d2fb02597a4058"/>
    <x:sheet xmlns:r="http://schemas.openxmlformats.org/officeDocument/2006/relationships" name="09_LUN_COC_DON" sheetId="10" r:id="R60f00b5b7bdc465a"/>
    <x:sheet xmlns:r="http://schemas.openxmlformats.org/officeDocument/2006/relationships" name="10_LUN_NHOM" sheetId="11" r:id="Rf7a9fb65167c4ef6"/>
    <x:sheet xmlns:r="http://schemas.openxmlformats.org/officeDocument/2006/relationships" name="11_KHOI_QUY_UOC" sheetId="12" r:id="R2986b8ddcd154606"/>
    <x:sheet xmlns:r="http://schemas.openxmlformats.org/officeDocument/2006/relationships" name="12_ANH_HUONG_TC" sheetId="13" r:id="Red9c487fe315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5a37d576a426e" /><Relationship Type="http://schemas.openxmlformats.org/officeDocument/2006/relationships/theme" Target="/xl/theme/theme1.xml" Id="R978d427248bb4797" /><Relationship Type="http://schemas.openxmlformats.org/officeDocument/2006/relationships/sharedStrings" Target="/xl/sharedStrings.xml" Id="R037f87818d9e4a06" /><Relationship Type="http://schemas.openxmlformats.org/officeDocument/2006/relationships/worksheet" Target="/xl/worksheets/sheet1.xml" Id="R8373785d6bbf4191" /><Relationship Type="http://schemas.openxmlformats.org/officeDocument/2006/relationships/worksheet" Target="/xl/worksheets/sheet2.xml" Id="R1fd47c034fbc408e" /><Relationship Type="http://schemas.openxmlformats.org/officeDocument/2006/relationships/worksheet" Target="/xl/worksheets/sheet3.xml" Id="R0e684cd4f8d6432b" /><Relationship Type="http://schemas.openxmlformats.org/officeDocument/2006/relationships/worksheet" Target="/xl/worksheets/sheet4.xml" Id="R050ba9796c0043bd" /><Relationship Type="http://schemas.openxmlformats.org/officeDocument/2006/relationships/worksheet" Target="/xl/worksheets/sheet5.xml" Id="R74ce691da0c34599" /><Relationship Type="http://schemas.openxmlformats.org/officeDocument/2006/relationships/worksheet" Target="/xl/worksheets/sheet6.xml" Id="Ra68b9e39443f4ff2" /><Relationship Type="http://schemas.openxmlformats.org/officeDocument/2006/relationships/worksheet" Target="/xl/worksheets/sheet7.xml" Id="R253e33b9b48f4ed2" /><Relationship Type="http://schemas.openxmlformats.org/officeDocument/2006/relationships/worksheet" Target="/xl/worksheets/sheet8.xml" Id="R5a1f39763d2b4e3e" /><Relationship Type="http://schemas.openxmlformats.org/officeDocument/2006/relationships/worksheet" Target="/xl/worksheets/sheet9.xml" Id="Rf9d2fb02597a4058" /><Relationship Type="http://schemas.openxmlformats.org/officeDocument/2006/relationships/worksheet" Target="/xl/worksheets/sheet10.xml" Id="R60f00b5b7bdc465a" /><Relationship Type="http://schemas.openxmlformats.org/officeDocument/2006/relationships/worksheet" Target="/xl/worksheets/sheet11.xml" Id="Rf7a9fb65167c4ef6" /><Relationship Type="http://schemas.openxmlformats.org/officeDocument/2006/relationships/worksheet" Target="/xl/worksheets/sheet12.xml" Id="R2986b8ddcd154606" /><Relationship Type="http://schemas.openxmlformats.org/officeDocument/2006/relationships/worksheet" Target="/xl/worksheets/sheet13.xml" Id="Red9c487fe3154f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7" hidden="0" customWidth="1"/>
    <x:col min="2" max="2" width="15" hidden="0" customWidth="1"/>
    <x:col min="3" max="3" width="10.25" hidden="0" customWidth="1"/>
    <x:col min="4" max="4" width="6.380000114440918" hidden="0" customWidth="1"/>
    <x:col min="5" max="5" width="9.380000114440918" hidden="0" customWidth="1"/>
    <x:col min="6" max="6" width="11.5" hidden="0" customWidth="1"/>
    <x:col min="7" max="7" width="5.630000114440918" hidden="0" customWidth="1"/>
    <x:col min="8" max="8" width="22.25" hidden="0" customWidth="1"/>
  </x:cols>
  <x:sheetData>
    <x:row r="1">
      <x:c r="A1" s="28" t="str">
        <x:v>HNL TCVN 10304:2025 – Full Workflow Benchmark v1.17.0</x:v>
      </x:c>
      <x:c r="B1" s="28"/>
      <x:c r="C1" s="28"/>
      <x:c r="D1" s="28"/>
      <x:c r="E1" s="28"/>
      <x:c r="F1" s="28"/>
      <x:c r="G1" s="28"/>
      <x:c r="H1" s="28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0" t="str">
        <x:v>Workflow</x:v>
      </x:c>
      <x:c r="B3" s="20" t="str">
        <x:v>HNL expected</x:v>
      </x:c>
      <x:c r="C3" s="20" t="str">
        <x:v>Excel result</x:v>
      </x:c>
      <x:c r="D3" s="20" t="str">
        <x:v>Sai lệch</x:v>
      </x:c>
      <x:c r="E3" s="20" t="str">
        <x:v>Tol</x:v>
      </x:c>
      <x:c r="F3" s="20" t="str">
        <x:v>PASS/FAIL</x:v>
      </x:c>
      <x:c r="G3" s="20" t="str">
        <x:v>Đơn vị</x:v>
      </x:c>
      <x:c r="H3" s="20" t="str">
        <x:v>Nguồn</x:v>
      </x:c>
    </x:row>
    <x:row r="4">
      <x:c r="A4" s="19" t="str">
        <x:v>01_COC_CHONG</x:v>
      </x:c>
      <x:c r="B4" s="19" t="n">
        <x:v>800</x:v>
      </x:c>
      <x:c r="C4" s="19" t="n">
        <x:f>'01_COC_CHONG'!B9</x:f>
        <x:v>800</x:v>
      </x:c>
      <x:c r="D4" s="19" t="n">
        <x:f>ABS(C4-B4)</x:f>
        <x:v>0</x:v>
      </x:c>
      <x:c r="E4" s="19" t="n">
        <x:v>0.000001</x:v>
      </x:c>
      <x:c r="F4" s="19" t="str">
        <x:f>IF(D4&lt;=E4,"PASS","FAIL")</x:f>
        <x:v>PASS</x:v>
      </x:c>
      <x:c r="G4" s="19" t="str">
        <x:v>kN</x:v>
      </x:c>
      <x:c r="H4" s="19" t="str">
        <x:v>CT (5)-(8)</x:v>
      </x:c>
    </x:row>
    <x:row r="5">
      <x:c r="A5" s="19" t="str">
        <x:v>02_COC_DONG</x:v>
      </x:c>
      <x:c r="B5" s="19" t="n">
        <x:v>1264</x:v>
      </x:c>
      <x:c r="C5" s="19" t="n">
        <x:f>'02_COC_DONG'!B17</x:f>
        <x:v>1264</x:v>
      </x:c>
      <x:c r="D5" s="19" t="n">
        <x:f>ABS(C5-B5)</x:f>
        <x:v>0</x:v>
      </x:c>
      <x:c r="E5" s="19" t="n">
        <x:v>0.000001</x:v>
      </x:c>
      <x:c r="F5" s="19" t="str">
        <x:f>IF(D5&lt;=E5,"PASS","FAIL")</x:f>
        <x:v>PASS</x:v>
      </x:c>
      <x:c r="G5" s="19" t="str">
        <x:v>kN</x:v>
      </x:c>
      <x:c r="H5" s="19" t="str">
        <x:v>CT (9) + Bảng 2-4</x:v>
      </x:c>
    </x:row>
    <x:row r="6">
      <x:c r="A6" s="19" t="str">
        <x:v>03_COC_NHOI</x:v>
      </x:c>
      <x:c r="B6" s="19" t="n">
        <x:v>3187.1000000000004</x:v>
      </x:c>
      <x:c r="C6" s="19" t="n">
        <x:f>'03_COC_NHOI'!B13</x:f>
        <x:v>3187.1000000000004</x:v>
      </x:c>
      <x:c r="D6" s="19" t="n">
        <x:f>ABS(C6-B6)</x:f>
        <x:v>0</x:v>
      </x:c>
      <x:c r="E6" s="19" t="n">
        <x:v>0.000001</x:v>
      </x:c>
      <x:c r="F6" s="19" t="str">
        <x:f>IF(D6&lt;=E6,"PASS","FAIL")</x:f>
        <x:v>PASS</x:v>
      </x:c>
      <x:c r="G6" s="19" t="str">
        <x:v>kN</x:v>
      </x:c>
      <x:c r="H6" s="19" t="str">
        <x:v>CT (13)</x:v>
      </x:c>
    </x:row>
    <x:row r="7">
      <x:c r="A7" s="19" t="str">
        <x:v>04_COC_VIT</x:v>
      </x:c>
      <x:c r="B7" s="19" t="n">
        <x:v>1566.72</x:v>
      </x:c>
      <x:c r="C7" s="19" t="n">
        <x:f>'04_COC_VIT'!B21</x:f>
        <x:v>1566.72</x:v>
      </x:c>
      <x:c r="D7" s="19" t="n">
        <x:f>ABS(C7-B7)</x:f>
        <x:v>0</x:v>
      </x:c>
      <x:c r="E7" s="19" t="n">
        <x:v>0.000001</x:v>
      </x:c>
      <x:c r="F7" s="19" t="str">
        <x:f>IF(D7&lt;=E7,"PASS","FAIL")</x:f>
        <x:v>PASS</x:v>
      </x:c>
      <x:c r="G7" s="19" t="str">
        <x:v>kN</x:v>
      </x:c>
      <x:c r="H7" s="19" t="str">
        <x:v>CT (17)-(19)</x:v>
      </x:c>
    </x:row>
    <x:row r="8">
      <x:c r="A8" s="19" t="str">
        <x:v>05_TAI_TINH</x:v>
      </x:c>
      <x:c r="B8" s="19" t="n">
        <x:v>1090.9090909090908</x:v>
      </x:c>
      <x:c r="C8" s="19" t="n">
        <x:f>'05_TAI_TINH'!B9</x:f>
        <x:v>1090.9090909090908</x:v>
      </x:c>
      <x:c r="D8" s="19" t="n">
        <x:f>ABS(C8-B8)</x:f>
        <x:v>0</x:v>
      </x:c>
      <x:c r="E8" s="19" t="n">
        <x:v>0.000001</x:v>
      </x:c>
      <x:c r="F8" s="19" t="str">
        <x:f>IF(D8&lt;=E8,"PASS","FAIL")</x:f>
        <x:v>PASS</x:v>
      </x:c>
      <x:c r="G8" s="19" t="str">
        <x:v>kN</x:v>
      </x:c>
      <x:c r="H8" s="19" t="str">
        <x:v>CT (20)</x:v>
      </x:c>
    </x:row>
    <x:row r="9">
      <x:c r="A9" s="19" t="str">
        <x:v>06_THU_DONG</x:v>
      </x:c>
      <x:c r="B9" s="19" t="n">
        <x:v>1449.2036196746424</x:v>
      </x:c>
      <x:c r="C9" s="19" t="n">
        <x:f>'06_THU_DONG'!B16</x:f>
        <x:v>1449.2036196746424</x:v>
      </x:c>
      <x:c r="D9" s="19" t="n">
        <x:f>ABS(C9-B9)</x:f>
        <x:v>0</x:v>
      </x:c>
      <x:c r="E9" s="19" t="n">
        <x:v>0.000001</x:v>
      </x:c>
      <x:c r="F9" s="19" t="str">
        <x:f>IF(D9&lt;=E9,"PASS","FAIL")</x:f>
        <x:v>PASS</x:v>
      </x:c>
      <x:c r="G9" s="19" t="str">
        <x:v>kN</x:v>
      </x:c>
      <x:c r="H9" s="19" t="str">
        <x:v>CT (22)</x:v>
      </x:c>
    </x:row>
    <x:row r="10">
      <x:c r="A10" s="19" t="str">
        <x:v>07_CPT</x:v>
      </x:c>
      <x:c r="B10" s="19" t="n">
        <x:v>880</x:v>
      </x:c>
      <x:c r="C10" s="19" t="n">
        <x:f>'07_CPT'!B15</x:f>
        <x:v>880</x:v>
      </x:c>
      <x:c r="D10" s="19" t="n">
        <x:f>ABS(C10-B10)</x:f>
        <x:v>0</x:v>
      </x:c>
      <x:c r="E10" s="19" t="n">
        <x:v>0.000001</x:v>
      </x:c>
      <x:c r="F10" s="19" t="str">
        <x:f>IF(D10&lt;=E10,"PASS","FAIL")</x:f>
        <x:v>PASS</x:v>
      </x:c>
      <x:c r="G10" s="19" t="str">
        <x:v>kN</x:v>
      </x:c>
      <x:c r="H10" s="19" t="str">
        <x:v>CT (25)-(28)</x:v>
      </x:c>
    </x:row>
    <x:row r="11">
      <x:c r="A11" s="19" t="str">
        <x:v>08_SPT</x:v>
      </x:c>
      <x:c r="B11" s="19" t="n">
        <x:v>496</x:v>
      </x:c>
      <x:c r="C11" s="19" t="n">
        <x:f>'08_SPT'!B15</x:f>
        <x:v>496</x:v>
      </x:c>
      <x:c r="D11" s="19" t="n">
        <x:f>ABS(C11-B11)</x:f>
        <x:v>0</x:v>
      </x:c>
      <x:c r="E11" s="19" t="n">
        <x:v>0.000001</x:v>
      </x:c>
      <x:c r="F11" s="19" t="str">
        <x:f>IF(D11&lt;=E11,"PASS","FAIL")</x:f>
        <x:v>PASS</x:v>
      </x:c>
      <x:c r="G11" s="19" t="str">
        <x:v>kN</x:v>
      </x:c>
      <x:c r="H11" s="19" t="str">
        <x:v>Phụ lục D</x:v>
      </x:c>
    </x:row>
    <x:row r="12">
      <x:c r="A12" s="19" t="str">
        <x:v>09_LUN_COC_DON</x:v>
      </x:c>
      <x:c r="B12" s="19" t="n">
        <x:v>0.0025903059797355065</x:v>
      </x:c>
      <x:c r="C12" s="19" t="n">
        <x:f>'09_LUN_COC_DON'!B23</x:f>
        <x:v>0.0025903059797355065</x:v>
      </x:c>
      <x:c r="D12" s="19" t="n">
        <x:f>ABS(C12-B12)</x:f>
        <x:v>0</x:v>
      </x:c>
      <x:c r="E12" s="19" t="n">
        <x:v>1e-8</x:v>
      </x:c>
      <x:c r="F12" s="19" t="str">
        <x:f>IF(D12&lt;=E12,"PASS","FAIL")</x:f>
        <x:v>PASS</x:v>
      </x:c>
      <x:c r="G12" s="19" t="str">
        <x:v>m</x:v>
      </x:c>
      <x:c r="H12" s="19" t="str">
        <x:v>CT (30)-(33)</x:v>
      </x:c>
    </x:row>
    <x:row r="13">
      <x:c r="A13" s="19" t="str">
        <x:v>10_LUN_NHOM</x:v>
      </x:c>
      <x:c r="B13" s="19" t="n">
        <x:v>0.010997576886752153</x:v>
      </x:c>
      <x:c r="C13" s="19" t="n">
        <x:f>'10_LUN_NHOM'!B20</x:f>
        <x:v>0.010997576886752153</x:v>
      </x:c>
      <x:c r="D13" s="19" t="n">
        <x:f>ABS(C13-B13)</x:f>
        <x:v>0</x:v>
      </x:c>
      <x:c r="E13" s="19" t="n">
        <x:v>1e-8</x:v>
      </x:c>
      <x:c r="F13" s="19" t="str">
        <x:f>IF(D13&lt;=E13,"PASS","FAIL")</x:f>
        <x:v>PASS</x:v>
      </x:c>
      <x:c r="G13" s="19" t="str">
        <x:v>m</x:v>
      </x:c>
      <x:c r="H13" s="19" t="str">
        <x:v>CT (36)-(40)</x:v>
      </x:c>
    </x:row>
    <x:row r="14">
      <x:c r="A14" s="19" t="str">
        <x:v>11_KHOI_QUY_UOC</x:v>
      </x:c>
      <x:c r="B14" s="19" t="n">
        <x:v>0.02224648205766266</x:v>
      </x:c>
      <x:c r="C14" s="19" t="n">
        <x:f>'11_KHOI_QUY_UOC'!B23</x:f>
        <x:v>0.02224648205766266</x:v>
      </x:c>
      <x:c r="D14" s="19" t="n">
        <x:f>ABS(C14-B14)</x:f>
        <x:v>0</x:v>
      </x:c>
      <x:c r="E14" s="19" t="n">
        <x:v>1e-8</x:v>
      </x:c>
      <x:c r="F14" s="19" t="str">
        <x:f>IF(D14&lt;=E14,"PASS","FAIL")</x:f>
        <x:v>PASS</x:v>
      </x:c>
      <x:c r="G14" s="19" t="str">
        <x:v>m</x:v>
      </x:c>
      <x:c r="H14" s="19" t="str">
        <x:v>CT (41)-(45)</x:v>
      </x:c>
    </x:row>
    <x:row r="15">
      <x:c r="A15" s="19" t="str">
        <x:v>12_ANH_HUONG_TC</x:v>
      </x:c>
      <x:c r="B15" s="19" t="n">
        <x:v>1.2566370614359172</x:v>
      </x:c>
      <x:c r="C15" s="19" t="n">
        <x:f>'12_ANH_HUONG_TC'!B11</x:f>
        <x:v>1.2566370614359172</x:v>
      </x:c>
      <x:c r="D15" s="19" t="n">
        <x:f>ABS(C15-B15)</x:f>
        <x:v>0</x:v>
      </x:c>
      <x:c r="E15" s="19" t="n">
        <x:v>0.000001</x:v>
      </x:c>
      <x:c r="F15" s="19" t="str">
        <x:f>IF(D15&lt;=E15,"PASS","FAIL")</x:f>
        <x:v>PASS</x:v>
      </x:c>
      <x:c r="G15" s="19" t="str">
        <x:v>cm/s</x:v>
      </x:c>
      <x:c r="H15" s="19" t="str">
        <x:v>CT (47)-(48)</x:v>
      </x:c>
    </x:row>
    <x:row r="16">
      <x:c r="A16" s="19" t="str">
        <x:v>13_BE_COC</x:v>
      </x:c>
      <x:c r="B16" s="19" t="str">
        <x:v>VERIFIED_METHOD</x:v>
      </x:c>
      <x:c r="C16" s="19" t="str">
        <x:v>N/A</x:v>
      </x:c>
      <x:c r="D16" s="19" t="str">
        <x:v>N/A</x:v>
      </x:c>
      <x:c r="E16" s="19" t="str">
        <x:v>N/A</x:v>
      </x:c>
      <x:c r="F16" s="19" t="str">
        <x:v>PASS-METHOD</x:v>
      </x:c>
      <x:c r="G16" s="19" t="str">
        <x:v>-</x:v>
      </x:c>
      <x:c r="H16" s="19" t="str">
        <x:v>7.4.5 – mô hình tương tác/số</x:v>
      </x:c>
    </x:row>
    <x:row r="17">
      <x:c r="A17" s="19"/>
      <x:c r="B17" s="19"/>
      <x:c r="C17" s="19"/>
      <x:c r="D17" s="19"/>
      <x:c r="E17" s="19"/>
      <x:c r="F17" s="19"/>
      <x:c r="G17" s="19"/>
      <x:c r="H17" s="19"/>
    </x:row>
    <x:row r="18">
      <x:c r="A18" s="19"/>
      <x:c r="B18" s="19"/>
      <x:c r="C18" s="19"/>
      <x:c r="D18" s="19"/>
      <x:c r="E18" s="19"/>
      <x:c r="F18" s="19"/>
      <x:c r="G18" s="19"/>
      <x:c r="H18" s="19"/>
    </x:row>
    <x:row r="19">
      <x:c r="A19" s="19"/>
      <x:c r="B19" s="19"/>
      <x:c r="C19" s="19"/>
      <x:c r="D19" s="19"/>
      <x:c r="E19" s="19"/>
      <x:c r="F19" s="19"/>
      <x:c r="G19" s="19"/>
      <x:c r="H19" s="19"/>
    </x:row>
    <x:row r="20">
      <x:c r="A20" s="19"/>
      <x:c r="B20" s="19"/>
      <x:c r="C20" s="19"/>
      <x:c r="D20" s="19"/>
      <x:c r="E20" s="19"/>
      <x:c r="F20" s="19"/>
      <x:c r="G20" s="19"/>
      <x:c r="H20" s="19"/>
    </x:row>
    <x:row r="21">
      <x:c r="A21" s="19"/>
      <x:c r="B21" s="19"/>
      <x:c r="C21" s="19"/>
      <x:c r="D21" s="19"/>
      <x:c r="E21" s="19"/>
      <x:c r="F21" s="19"/>
      <x:c r="G21" s="19"/>
      <x:c r="H21" s="19"/>
    </x:row>
    <x:row r="22">
      <x:c r="A22" s="19"/>
      <x:c r="B22" s="19"/>
      <x:c r="C22" s="19"/>
      <x:c r="D22" s="19"/>
      <x:c r="E22" s="19"/>
      <x:c r="F22" s="19"/>
      <x:c r="G22" s="19"/>
      <x:c r="H22" s="19"/>
    </x:row>
    <x:row r="23">
      <x:c r="A23" s="19"/>
      <x:c r="B23" s="19"/>
      <x:c r="C23" s="19"/>
      <x:c r="D23" s="19"/>
      <x:c r="E23" s="19"/>
      <x:c r="F23" s="19"/>
      <x:c r="G23" s="19"/>
      <x:c r="H23" s="19"/>
    </x:row>
    <x:row r="24">
      <x:c r="A24" s="19"/>
      <x:c r="B24" s="19"/>
      <x:c r="C24" s="19"/>
      <x:c r="D24" s="19"/>
      <x:c r="E24" s="19"/>
      <x:c r="F24" s="19"/>
      <x:c r="G24" s="19"/>
      <x:c r="H24" s="19"/>
    </x:row>
    <x:row r="25">
      <x:c r="A25" s="19"/>
      <x:c r="B25" s="19"/>
      <x:c r="C25" s="19"/>
      <x:c r="D25" s="19"/>
      <x:c r="E25" s="19"/>
      <x:c r="F25" s="19"/>
      <x:c r="G25" s="19"/>
      <x:c r="H25" s="19"/>
    </x:row>
    <x:row r="26">
      <x:c r="A26" s="19"/>
      <x:c r="B26" s="19"/>
      <x:c r="C26" s="19"/>
      <x:c r="D26" s="19"/>
      <x:c r="E26" s="19"/>
      <x:c r="F26" s="19"/>
      <x:c r="G26" s="19"/>
      <x:c r="H26" s="19"/>
    </x:row>
    <x:row r="27">
      <x:c r="A27" s="19"/>
      <x:c r="B27" s="19"/>
      <x:c r="C27" s="19"/>
      <x:c r="D27" s="19"/>
      <x:c r="E27" s="19"/>
      <x:c r="F27" s="19"/>
      <x:c r="G27" s="19"/>
      <x:c r="H27" s="19"/>
    </x:row>
    <x:row r="28">
      <x:c r="A28" s="19"/>
      <x:c r="B28" s="19"/>
      <x:c r="C28" s="19"/>
      <x:c r="D28" s="19"/>
      <x:c r="E28" s="19"/>
      <x:c r="F28" s="19"/>
      <x:c r="G28" s="19"/>
      <x:c r="H28" s="19"/>
    </x:row>
    <x:row r="29">
      <x:c r="A29" s="19"/>
      <x:c r="B29" s="19"/>
      <x:c r="C29" s="19"/>
      <x:c r="D29" s="19"/>
      <x:c r="E29" s="19"/>
      <x:c r="F29" s="19"/>
      <x:c r="G29" s="19"/>
      <x:c r="H29" s="19"/>
    </x:row>
    <x:row r="30">
      <x:c r="A30" s="19"/>
      <x:c r="B30" s="19"/>
      <x:c r="C30" s="19"/>
      <x:c r="D30" s="19"/>
      <x:c r="E30" s="19"/>
      <x:c r="F30" s="19"/>
      <x:c r="G30" s="19"/>
      <x:c r="H30" s="1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6.380000114440918" hidden="0" customWidth="1"/>
    <x:col min="3" max="3" width="5.630000114440918" hidden="0" customWidth="1"/>
    <x:col min="4" max="4" width="8.380000114440918" hidden="0" customWidth="1"/>
  </x:cols>
  <x:sheetData>
    <x:row r="1">
      <x:c r="A1" s="18" t="str">
        <x:v>01_COC_CHONG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gc</x:v>
      </x:c>
      <x:c r="B4" s="21" t="n">
        <x:v>1</x:v>
      </x:c>
      <x:c r="C4" s="19" t="str">
        <x:v>-</x:v>
      </x:c>
      <x:c r="D4" s="19" t="str"/>
    </x:row>
    <x:row r="5">
      <x:c r="A5" s="19" t="str">
        <x:v>qb</x:v>
      </x:c>
      <x:c r="B5" s="21" t="n">
        <x:v>5000</x:v>
      </x:c>
      <x:c r="C5" s="19" t="str">
        <x:v>kPa</x:v>
      </x:c>
      <x:c r="D5" s="19" t="str"/>
    </x:row>
    <x:row r="6">
      <x:c r="A6" s="19" t="str">
        <x:v>A</x:v>
      </x:c>
      <x:c r="B6" s="21" t="n">
        <x:v>0.16</x:v>
      </x:c>
      <x:c r="C6" s="19" t="str">
        <x:v>m²</x:v>
      </x:c>
      <x:c r="D6" s="19" t="str"/>
    </x:row>
    <x:row r="7">
      <x:c r="A7" s="19"/>
      <x:c r="B7" s="19"/>
      <x:c r="C7" s="19"/>
      <x:c r="D7" s="19"/>
    </x:row>
    <x:row r="8">
      <x:c r="A8" s="22" t="str">
        <x:v>Bước</x:v>
      </x:c>
      <x:c r="B8" s="22" t="str">
        <x:v>Kết quả</x:v>
      </x:c>
      <x:c r="C8" s="22" t="str">
        <x:v>Đơn vị</x:v>
      </x:c>
      <x:c r="D8" s="22" t="str">
        <x:v>Công thức</x:v>
      </x:c>
    </x:row>
    <x:row r="9">
      <x:c r="A9" s="19" t="str">
        <x:v>Rk</x:v>
      </x:c>
      <x:c r="B9" s="19" t="n">
        <x:f>B4*B5*B6</x:f>
        <x:v>800</x:v>
      </x:c>
      <x:c r="C9" s="19" t="str">
        <x:v>kN</x:v>
      </x:c>
      <x:c r="D9" s="19" t="n">
        <x:f>B4*B5*B6</x:f>
        <x:v>800</x:v>
      </x:c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6.380000114440918" hidden="0" customWidth="1"/>
    <x:col min="3" max="3" width="5.630000114440918" hidden="0" customWidth="1"/>
    <x:col min="4" max="4" width="8.380000114440918" hidden="0" customWidth="1"/>
  </x:cols>
  <x:sheetData>
    <x:row r="1">
      <x:c r="A1" s="18" t="str">
        <x:v>02_COC_DONG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gc</x:v>
      </x:c>
      <x:c r="B4" s="21" t="n">
        <x:v>1</x:v>
      </x:c>
      <x:c r="C4" s="19" t="str">
        <x:v>-</x:v>
      </x:c>
      <x:c r="D4" s="19" t="str"/>
    </x:row>
    <x:row r="5">
      <x:c r="A5" s="19" t="str">
        <x:v>grr</x:v>
      </x:c>
      <x:c r="B5" s="21" t="n">
        <x:v>1</x:v>
      </x:c>
      <x:c r="C5" s="19" t="str">
        <x:v>-</x:v>
      </x:c>
      <x:c r="D5" s="19" t="str"/>
    </x:row>
    <x:row r="6">
      <x:c r="A6" s="19" t="str">
        <x:v>qb</x:v>
      </x:c>
      <x:c r="B6" s="21" t="n">
        <x:v>3700</x:v>
      </x:c>
      <x:c r="C6" s="19" t="str">
        <x:v>kPa</x:v>
      </x:c>
      <x:c r="D6" s="19" t="str">
        <x:v>Bảng 2</x:v>
      </x:c>
    </x:row>
    <x:row r="7">
      <x:c r="A7" s="19" t="str">
        <x:v>A</x:v>
      </x:c>
      <x:c r="B7" s="21" t="n">
        <x:v>0.16</x:v>
      </x:c>
      <x:c r="C7" s="19" t="str">
        <x:v>m²</x:v>
      </x:c>
      <x:c r="D7" s="19" t="str"/>
    </x:row>
    <x:row r="8">
      <x:c r="A8" s="19" t="str">
        <x:v>u</x:v>
      </x:c>
      <x:c r="B8" s="21" t="n">
        <x:v>1.6</x:v>
      </x:c>
      <x:c r="C8" s="19" t="str">
        <x:v>m</x:v>
      </x:c>
      <x:c r="D8" s="19" t="str"/>
    </x:row>
    <x:row r="9">
      <x:c r="A9" s="19" t="str">
        <x:v>fi1</x:v>
      </x:c>
      <x:c r="B9" s="21" t="n">
        <x:v>17</x:v>
      </x:c>
      <x:c r="C9" s="19" t="str">
        <x:v>kPa</x:v>
      </x:c>
      <x:c r="D9" s="19" t="str">
        <x:v>Bảng 3</x:v>
      </x:c>
    </x:row>
    <x:row r="10">
      <x:c r="A10" s="19" t="str">
        <x:v>h1</x:v>
      </x:c>
      <x:c r="B10" s="21" t="n">
        <x:v>4</x:v>
      </x:c>
      <x:c r="C10" s="19" t="str">
        <x:v>m</x:v>
      </x:c>
      <x:c r="D10" s="19" t="str"/>
    </x:row>
    <x:row r="11">
      <x:c r="A11" s="19" t="str">
        <x:v>fi2</x:v>
      </x:c>
      <x:c r="B11" s="21" t="n">
        <x:v>44</x:v>
      </x:c>
      <x:c r="C11" s="19" t="str">
        <x:v>kPa</x:v>
      </x:c>
      <x:c r="D11" s="19" t="str">
        <x:v>Bảng 3</x:v>
      </x:c>
    </x:row>
    <x:row r="12">
      <x:c r="A12" s="19" t="str">
        <x:v>h2</x:v>
      </x:c>
      <x:c r="B12" s="21" t="n">
        <x:v>8</x:v>
      </x:c>
      <x:c r="C12" s="19" t="str">
        <x:v>m</x:v>
      </x:c>
      <x:c r="D12" s="19" t="str"/>
    </x:row>
    <x:row r="13">
      <x:c r="A13" s="19"/>
      <x:c r="B13" s="19"/>
      <x:c r="C13" s="19"/>
      <x:c r="D13" s="19"/>
    </x:row>
    <x:row r="14">
      <x:c r="A14" s="22" t="str">
        <x:v>Bước</x:v>
      </x:c>
      <x:c r="B14" s="22" t="str">
        <x:v>Kết quả</x:v>
      </x:c>
      <x:c r="C14" s="22" t="str">
        <x:v>Đơn vị</x:v>
      </x:c>
      <x:c r="D14" s="22" t="str">
        <x:v>Công thức</x:v>
      </x:c>
    </x:row>
    <x:row r="15">
      <x:c r="A15" s="19" t="str">
        <x:v>Rb</x:v>
      </x:c>
      <x:c r="B15" s="19" t="n">
        <x:f>B5*B6*B7</x:f>
        <x:v>592</x:v>
      </x:c>
      <x:c r="C15" s="19" t="str">
        <x:v>kN</x:v>
      </x:c>
      <x:c r="D15" s="19" t="n">
        <x:f>B5*B6*B7</x:f>
        <x:v>592</x:v>
      </x:c>
    </x:row>
    <x:row r="16">
      <x:c r="A16" s="19" t="str">
        <x:v>Rf</x:v>
      </x:c>
      <x:c r="B16" s="19" t="n">
        <x:f>B8*(B9*B10+B11*B12)</x:f>
        <x:v>672</x:v>
      </x:c>
      <x:c r="C16" s="19" t="str">
        <x:v>kN</x:v>
      </x:c>
      <x:c r="D16" s="19" t="n">
        <x:f>B8*(B9*B10+B11*B12)</x:f>
        <x:v>672</x:v>
      </x:c>
    </x:row>
    <x:row r="17">
      <x:c r="A17" s="19" t="str">
        <x:v>Rk</x:v>
      </x:c>
      <x:c r="B17" s="19" t="n">
        <x:f>B4*(B15+B16)</x:f>
        <x:v>1264</x:v>
      </x:c>
      <x:c r="C17" s="19" t="str">
        <x:v>kN</x:v>
      </x:c>
      <x:c r="D17" s="19" t="n">
        <x:f>B4*(B15+B16)</x:f>
        <x:v>1264</x:v>
      </x:c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6.380000114440918" hidden="0" customWidth="1"/>
    <x:col min="3" max="3" width="5.630000114440918" hidden="0" customWidth="1"/>
    <x:col min="4" max="4" width="8.380000114440918" hidden="0" customWidth="1"/>
  </x:cols>
  <x:sheetData>
    <x:row r="1">
      <x:c r="A1" s="18" t="str">
        <x:v>03_COC_NHOI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gc</x:v>
      </x:c>
      <x:c r="B4" s="21" t="n">
        <x:v>1</x:v>
      </x:c>
      <x:c r="C4" s="19" t="str">
        <x:v>-</x:v>
      </x:c>
      <x:c r="D4" s="19" t="str"/>
    </x:row>
    <x:row r="5">
      <x:c r="A5" s="19" t="str">
        <x:v>grr</x:v>
      </x:c>
      <x:c r="B5" s="21" t="n">
        <x:v>1</x:v>
      </x:c>
      <x:c r="C5" s="19" t="str">
        <x:v>-</x:v>
      </x:c>
      <x:c r="D5" s="19" t="str"/>
    </x:row>
    <x:row r="6">
      <x:c r="A6" s="19" t="str">
        <x:v>qb</x:v>
      </x:c>
      <x:c r="B6" s="21" t="n">
        <x:v>1500</x:v>
      </x:c>
      <x:c r="C6" s="19" t="str">
        <x:v>kPa</x:v>
      </x:c>
      <x:c r="D6" s="19" t="str"/>
    </x:row>
    <x:row r="7">
      <x:c r="A7" s="19" t="str">
        <x:v>A</x:v>
      </x:c>
      <x:c r="B7" s="21" t="n">
        <x:v>0.785</x:v>
      </x:c>
      <x:c r="C7" s="19" t="str">
        <x:v>m²</x:v>
      </x:c>
      <x:c r="D7" s="19" t="str"/>
    </x:row>
    <x:row r="8">
      <x:c r="A8" s="19" t="str">
        <x:v>grf</x:v>
      </x:c>
      <x:c r="B8" s="21" t="n">
        <x:v>0.8</x:v>
      </x:c>
      <x:c r="C8" s="19" t="str">
        <x:v>-</x:v>
      </x:c>
      <x:c r="D8" s="19" t="str"/>
    </x:row>
    <x:row r="9">
      <x:c r="A9" s="19" t="str">
        <x:v>u</x:v>
      </x:c>
      <x:c r="B9" s="21" t="n">
        <x:v>3.14</x:v>
      </x:c>
      <x:c r="C9" s="19" t="str">
        <x:v>m</x:v>
      </x:c>
      <x:c r="D9" s="19" t="str"/>
    </x:row>
    <x:row r="10">
      <x:c r="A10" s="19" t="str">
        <x:v>sumfh</x:v>
      </x:c>
      <x:c r="B10" s="21" t="n">
        <x:v>800</x:v>
      </x:c>
      <x:c r="C10" s="19" t="str">
        <x:v>kPa·m</x:v>
      </x:c>
      <x:c r="D10" s="19" t="str"/>
    </x:row>
    <x:row r="11">
      <x:c r="A11" s="19"/>
      <x:c r="B11" s="19"/>
      <x:c r="C11" s="19"/>
      <x:c r="D11" s="19"/>
    </x:row>
    <x:row r="12">
      <x:c r="A12" s="22" t="str">
        <x:v>Bước</x:v>
      </x:c>
      <x:c r="B12" s="22" t="str">
        <x:v>Kết quả</x:v>
      </x:c>
      <x:c r="C12" s="22" t="str">
        <x:v>Đơn vị</x:v>
      </x:c>
      <x:c r="D12" s="22" t="str">
        <x:v>Công thức</x:v>
      </x:c>
    </x:row>
    <x:row r="13">
      <x:c r="A13" s="19" t="str">
        <x:v>Rk</x:v>
      </x:c>
      <x:c r="B13" s="19" t="n">
        <x:f>B4*(B5*B6*B7+B8*B9*B10)</x:f>
        <x:v>3187.1000000000004</x:v>
      </x:c>
      <x:c r="C13" s="19" t="str">
        <x:v>kN</x:v>
      </x:c>
      <x:c r="D13" s="19" t="n">
        <x:f>B4*(B5*B6*B7+B8*B9*B10)</x:f>
        <x:v>3187.1000000000004</x:v>
      </x:c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6.630000114440918" hidden="0" customWidth="1"/>
    <x:col min="3" max="3" width="5.630000114440918" hidden="0" customWidth="1"/>
    <x:col min="4" max="4" width="8.380000114440918" hidden="0" customWidth="1"/>
  </x:cols>
  <x:sheetData>
    <x:row r="1">
      <x:c r="A1" s="18" t="str">
        <x:v>04_COC_VIT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gc</x:v>
      </x:c>
      <x:c r="B4" s="21" t="n">
        <x:v>1</x:v>
      </x:c>
      <x:c r="C4" s="19" t="str">
        <x:v>-</x:v>
      </x:c>
      <x:c r="D4" s="19" t="str"/>
    </x:row>
    <x:row r="5">
      <x:c r="A5" s="19" t="str">
        <x:v>grr</x:v>
      </x:c>
      <x:c r="B5" s="21" t="n">
        <x:v>0.8</x:v>
      </x:c>
      <x:c r="C5" s="19" t="str">
        <x:v>-</x:v>
      </x:c>
      <x:c r="D5" s="19" t="str"/>
    </x:row>
    <x:row r="6">
      <x:c r="A6" s="19" t="str">
        <x:v>grf</x:v>
      </x:c>
      <x:c r="B6" s="21" t="n">
        <x:v>0.7</x:v>
      </x:c>
      <x:c r="C6" s="19" t="str">
        <x:v>-</x:v>
      </x:c>
      <x:c r="D6" s="19" t="str"/>
    </x:row>
    <x:row r="7">
      <x:c r="A7" s="19" t="str">
        <x:v>a1</x:v>
      </x:c>
      <x:c r="B7" s="21" t="n">
        <x:v>18</x:v>
      </x:c>
      <x:c r="C7" s="19" t="str">
        <x:v>-</x:v>
      </x:c>
      <x:c r="D7" s="19" t="str"/>
    </x:row>
    <x:row r="8">
      <x:c r="A8" s="19" t="str">
        <x:v>c1</x:v>
      </x:c>
      <x:c r="B8" s="21" t="n">
        <x:v>50</x:v>
      </x:c>
      <x:c r="C8" s="19" t="str">
        <x:v>kPa</x:v>
      </x:c>
      <x:c r="D8" s="19" t="str"/>
    </x:row>
    <x:row r="9">
      <x:c r="A9" s="19" t="str">
        <x:v>a2</x:v>
      </x:c>
      <x:c r="B9" s="21" t="n">
        <x:v>9.2</x:v>
      </x:c>
      <x:c r="C9" s="19" t="str">
        <x:v>-</x:v>
      </x:c>
      <x:c r="D9" s="19" t="str"/>
    </x:row>
    <x:row r="10">
      <x:c r="A10" s="19" t="str">
        <x:v>g1</x:v>
      </x:c>
      <x:c r="B10" s="21" t="n">
        <x:v>18</x:v>
      </x:c>
      <x:c r="C10" s="19" t="str">
        <x:v>kN/m³</x:v>
      </x:c>
      <x:c r="D10" s="19" t="str"/>
    </x:row>
    <x:row r="11">
      <x:c r="A11" s="19" t="str">
        <x:v>h1</x:v>
      </x:c>
      <x:c r="B11" s="21" t="n">
        <x:v>10</x:v>
      </x:c>
      <x:c r="C11" s="19" t="str">
        <x:v>m</x:v>
      </x:c>
      <x:c r="D11" s="19" t="str"/>
    </x:row>
    <x:row r="12">
      <x:c r="A12" s="19" t="str">
        <x:v>A</x:v>
      </x:c>
      <x:c r="B12" s="21" t="n">
        <x:v>0.5</x:v>
      </x:c>
      <x:c r="C12" s="19" t="str">
        <x:v>m²</x:v>
      </x:c>
      <x:c r="D12" s="19" t="str"/>
    </x:row>
    <x:row r="13">
      <x:c r="A13" s="19" t="str">
        <x:v>u</x:v>
      </x:c>
      <x:c r="B13" s="21" t="n">
        <x:v>1.8</x:v>
      </x:c>
      <x:c r="C13" s="19" t="str">
        <x:v>m</x:v>
      </x:c>
      <x:c r="D13" s="19" t="str"/>
    </x:row>
    <x:row r="14">
      <x:c r="A14" s="19" t="str">
        <x:v>fi</x:v>
      </x:c>
      <x:c r="B14" s="21" t="n">
        <x:v>30</x:v>
      </x:c>
      <x:c r="C14" s="19" t="str">
        <x:v>kPa</x:v>
      </x:c>
      <x:c r="D14" s="19" t="str"/>
    </x:row>
    <x:row r="15">
      <x:c r="A15" s="19" t="str">
        <x:v>h</x:v>
      </x:c>
      <x:c r="B15" s="21" t="n">
        <x:v>15</x:v>
      </x:c>
      <x:c r="C15" s="19" t="str">
        <x:v>m</x:v>
      </x:c>
      <x:c r="D15" s="19" t="str"/>
    </x:row>
    <x:row r="16">
      <x:c r="A16" s="19" t="str">
        <x:v>d</x:v>
      </x:c>
      <x:c r="B16" s="21" t="n">
        <x:v>0.6</x:v>
      </x:c>
      <x:c r="C16" s="19" t="str">
        <x:v>m</x:v>
      </x:c>
      <x:c r="D16" s="19" t="str"/>
    </x:row>
    <x:row r="17">
      <x:c r="A17" s="19"/>
      <x:c r="B17" s="19"/>
      <x:c r="C17" s="19"/>
      <x:c r="D17" s="19"/>
    </x:row>
    <x:row r="18">
      <x:c r="A18" s="22" t="str">
        <x:v>Bước</x:v>
      </x:c>
      <x:c r="B18" s="22" t="str">
        <x:v>Kết quả</x:v>
      </x:c>
      <x:c r="C18" s="22" t="str">
        <x:v>Đơn vị</x:v>
      </x:c>
      <x:c r="D18" s="22" t="str">
        <x:v>Công thức</x:v>
      </x:c>
    </x:row>
    <x:row r="19">
      <x:c r="A19" s="19" t="str">
        <x:v>R0</x:v>
      </x:c>
      <x:c r="B19" s="19" t="n">
        <x:f>(B7*B8+B9*B10*B11)*B12</x:f>
        <x:v>1278</x:v>
      </x:c>
      <x:c r="C19" s="19" t="str">
        <x:v>kN</x:v>
      </x:c>
      <x:c r="D19" s="19" t="n">
        <x:f>(B7*B8+B9*B10*B11)*B12</x:f>
        <x:v>1278</x:v>
      </x:c>
    </x:row>
    <x:row r="20">
      <x:c r="A20" s="19" t="str">
        <x:v>Rf</x:v>
      </x:c>
      <x:c r="B20" s="19" t="n">
        <x:f>B13*B14*(B15-B16)</x:f>
        <x:v>777.6</x:v>
      </x:c>
      <x:c r="C20" s="19" t="str">
        <x:v>kN</x:v>
      </x:c>
      <x:c r="D20" s="19" t="n">
        <x:f>B13*B14*(B15-B16)</x:f>
        <x:v>777.6</x:v>
      </x:c>
    </x:row>
    <x:row r="21">
      <x:c r="A21" s="19" t="str">
        <x:v>Rk</x:v>
      </x:c>
      <x:c r="B21" s="19" t="n">
        <x:f>B4*(B5*B19+B6*B20)</x:f>
        <x:v>1566.72</x:v>
      </x:c>
      <x:c r="C21" s="19" t="str">
        <x:v>kN</x:v>
      </x:c>
      <x:c r="D21" s="19" t="n">
        <x:f>B4*(B5*B19+B6*B20)</x:f>
        <x:v>1566.72</x:v>
      </x:c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25" hidden="0" customWidth="1"/>
    <x:col min="3" max="3" width="5.630000114440918" hidden="0" customWidth="1"/>
    <x:col min="4" max="4" width="10.25" hidden="0" customWidth="1"/>
  </x:cols>
  <x:sheetData>
    <x:row r="1">
      <x:c r="A1" s="18" t="str">
        <x:v>05_TAI_TINH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gc</x:v>
      </x:c>
      <x:c r="B4" s="21" t="n">
        <x:v>1</x:v>
      </x:c>
      <x:c r="C4" s="19" t="str">
        <x:v>-</x:v>
      </x:c>
      <x:c r="D4" s="19" t="str"/>
    </x:row>
    <x:row r="5">
      <x:c r="A5" s="19" t="str">
        <x:v>Ru</x:v>
      </x:c>
      <x:c r="B5" s="21" t="n">
        <x:v>1200</x:v>
      </x:c>
      <x:c r="C5" s="19" t="str">
        <x:v>kN</x:v>
      </x:c>
      <x:c r="D5" s="19" t="str"/>
    </x:row>
    <x:row r="6">
      <x:c r="A6" s="19" t="str">
        <x:v>gcg1</x:v>
      </x:c>
      <x:c r="B6" s="21" t="n">
        <x:v>1.1</x:v>
      </x:c>
      <x:c r="C6" s="19" t="str">
        <x:v>-</x:v>
      </x:c>
      <x:c r="D6" s="19" t="str"/>
    </x:row>
    <x:row r="7">
      <x:c r="A7" s="19"/>
      <x:c r="B7" s="19"/>
      <x:c r="C7" s="19"/>
      <x:c r="D7" s="19"/>
    </x:row>
    <x:row r="8">
      <x:c r="A8" s="22" t="str">
        <x:v>Bước</x:v>
      </x:c>
      <x:c r="B8" s="22" t="str">
        <x:v>Kết quả</x:v>
      </x:c>
      <x:c r="C8" s="22" t="str">
        <x:v>Đơn vị</x:v>
      </x:c>
      <x:c r="D8" s="22" t="str">
        <x:v>Công thức</x:v>
      </x:c>
    </x:row>
    <x:row r="9">
      <x:c r="A9" s="19" t="str">
        <x:v>Rk</x:v>
      </x:c>
      <x:c r="B9" s="19" t="n">
        <x:f>B4*B5/B6</x:f>
        <x:v>1090.9090909090908</x:v>
      </x:c>
      <x:c r="C9" s="19" t="str">
        <x:v>kN</x:v>
      </x:c>
      <x:c r="D9" s="19" t="n">
        <x:f>B4*B5/B6</x:f>
        <x:v>1090.9090909090908</x:v>
      </x:c>
    </x:row>
    <x:row r="10">
      <x:c r="A10" s="19"/>
      <x:c r="B10" s="19"/>
      <x:c r="C10" s="19"/>
      <x:c r="D10" s="19"/>
    </x:row>
    <x:row r="11">
      <x:c r="A11" s="19"/>
      <x:c r="B11" s="19"/>
      <x:c r="C11" s="19"/>
      <x:c r="D11" s="19"/>
    </x:row>
    <x:row r="12">
      <x:c r="A12" s="19"/>
      <x:c r="B12" s="19"/>
      <x:c r="C12" s="19"/>
      <x:c r="D12" s="19"/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9.380000114440918" hidden="0" customWidth="1"/>
    <x:col min="3" max="3" width="5.630000114440918" hidden="0" customWidth="1"/>
    <x:col min="4" max="4" width="9.380000114440918" hidden="0" customWidth="1"/>
  </x:cols>
  <x:sheetData>
    <x:row r="1">
      <x:c r="A1" s="18" t="str">
        <x:v>06_THU_DONG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sa</x:v>
      </x:c>
      <x:c r="B4" s="21" t="n">
        <x:v>0.003</x:v>
      </x:c>
      <x:c r="C4" s="19" t="str">
        <x:v>m</x:v>
      </x:c>
      <x:c r="D4" s="19" t="str"/>
    </x:row>
    <x:row r="5">
      <x:c r="A5" s="19" t="str">
        <x:v>A</x:v>
      </x:c>
      <x:c r="B5" s="21" t="n">
        <x:v>0.16</x:v>
      </x:c>
      <x:c r="C5" s="19" t="str">
        <x:v>m²</x:v>
      </x:c>
      <x:c r="D5" s="19" t="str"/>
    </x:row>
    <x:row r="6">
      <x:c r="A6" s="19" t="str">
        <x:v>eta</x:v>
      </x:c>
      <x:c r="B6" s="21" t="n">
        <x:v>1500</x:v>
      </x:c>
      <x:c r="C6" s="19" t="str">
        <x:v>kN/m²</x:v>
      </x:c>
      <x:c r="D6" s="19" t="str"/>
    </x:row>
    <x:row r="7">
      <x:c r="A7" s="19" t="str">
        <x:v>M</x:v>
      </x:c>
      <x:c r="B7" s="21" t="n">
        <x:v>1</x:v>
      </x:c>
      <x:c r="C7" s="19" t="str">
        <x:v>-</x:v>
      </x:c>
      <x:c r="D7" s="19" t="str"/>
    </x:row>
    <x:row r="8">
      <x:c r="A8" s="19" t="str">
        <x:v>Ed</x:v>
      </x:c>
      <x:c r="B8" s="21" t="n">
        <x:v>45</x:v>
      </x:c>
      <x:c r="C8" s="19" t="str">
        <x:v>kJ</x:v>
      </x:c>
      <x:c r="D8" s="19" t="str"/>
    </x:row>
    <x:row r="9">
      <x:c r="A9" s="19" t="str">
        <x:v>m1</x:v>
      </x:c>
      <x:c r="B9" s="21" t="n">
        <x:v>3</x:v>
      </x:c>
      <x:c r="C9" s="19" t="str">
        <x:v>T</x:v>
      </x:c>
      <x:c r="D9" s="19" t="str"/>
    </x:row>
    <x:row r="10">
      <x:c r="A10" s="19" t="str">
        <x:v>m2</x:v>
      </x:c>
      <x:c r="B10" s="21" t="n">
        <x:v>2</x:v>
      </x:c>
      <x:c r="C10" s="19" t="str">
        <x:v>T</x:v>
      </x:c>
      <x:c r="D10" s="19" t="str"/>
    </x:row>
    <x:row r="11">
      <x:c r="A11" s="19" t="str">
        <x:v>m3</x:v>
      </x:c>
      <x:c r="B11" s="21" t="n">
        <x:v>0</x:v>
      </x:c>
      <x:c r="C11" s="19" t="str">
        <x:v>T</x:v>
      </x:c>
      <x:c r="D11" s="19" t="str"/>
    </x:row>
    <x:row r="12">
      <x:c r="A12" s="19" t="str">
        <x:v>eps2</x:v>
      </x:c>
      <x:c r="B12" s="21" t="n">
        <x:v>0.2</x:v>
      </x:c>
      <x:c r="C12" s="19" t="str">
        <x:v>-</x:v>
      </x:c>
      <x:c r="D12" s="19" t="str"/>
    </x:row>
    <x:row r="13">
      <x:c r="A13" s="19"/>
      <x:c r="B13" s="19"/>
      <x:c r="C13" s="19"/>
      <x:c r="D13" s="19"/>
    </x:row>
    <x:row r="14">
      <x:c r="A14" s="22" t="str">
        <x:v>Bước</x:v>
      </x:c>
      <x:c r="B14" s="22" t="str">
        <x:v>Kết quả</x:v>
      </x:c>
      <x:c r="C14" s="22" t="str">
        <x:v>Đơn vị</x:v>
      </x:c>
      <x:c r="D14" s="22" t="str">
        <x:v>Công thức</x:v>
      </x:c>
    </x:row>
    <x:row r="15">
      <x:c r="A15" s="19" t="str">
        <x:v>ratio</x:v>
      </x:c>
      <x:c r="B15" s="19" t="n">
        <x:f>(B9+B12*(B10+B11))/(B9+B10+B11)</x:f>
        <x:v>0.6799999999999999</x:v>
      </x:c>
      <x:c r="C15" s="19" t="str">
        <x:v>-</x:v>
      </x:c>
      <x:c r="D15" s="19" t="n">
        <x:f>(B9+B12*(B10+B11))/(B9+B10+B11)</x:f>
        <x:v>0.6799999999999999</x:v>
      </x:c>
    </x:row>
    <x:row r="16">
      <x:c r="A16" s="19" t="str">
        <x:v>Ru</x:v>
      </x:c>
      <x:c r="B16" s="19" t="n">
        <x:f>B6*B5*B7/2*(SQRT(1+4*B8/(B6*B5*B4)*B15)-1)</x:f>
        <x:v>1449.2036196746424</x:v>
      </x:c>
      <x:c r="C16" s="19" t="str">
        <x:v>kN</x:v>
      </x:c>
      <x:c r="D16" s="19" t="n">
        <x:f>B6*B5*B7/2*(SQRT(1+4*B8/(B6*B5*B4)*B15)-1)</x:f>
        <x:v>1449.2036196746424</x:v>
      </x:c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6.380000114440918" hidden="0" customWidth="1"/>
    <x:col min="3" max="3" width="5.630000114440918" hidden="0" customWidth="1"/>
    <x:col min="4" max="4" width="8.380000114440918" hidden="0" customWidth="1"/>
  </x:cols>
  <x:sheetData>
    <x:row r="1">
      <x:c r="A1" s="18" t="str">
        <x:v>07_CPT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A</x:v>
      </x:c>
      <x:c r="B4" s="21" t="n">
        <x:v>0.16</x:v>
      </x:c>
      <x:c r="C4" s="19" t="str">
        <x:v>m²</x:v>
      </x:c>
      <x:c r="D4" s="19" t="str"/>
    </x:row>
    <x:row r="5">
      <x:c r="A5" s="19" t="str">
        <x:v>u</x:v>
      </x:c>
      <x:c r="B5" s="21" t="n">
        <x:v>1.6</x:v>
      </x:c>
      <x:c r="C5" s="19" t="str">
        <x:v>m</x:v>
      </x:c>
      <x:c r="D5" s="19" t="str"/>
    </x:row>
    <x:row r="6">
      <x:c r="A6" s="19" t="str">
        <x:v>h</x:v>
      </x:c>
      <x:c r="B6" s="21" t="n">
        <x:v>12</x:v>
      </x:c>
      <x:c r="C6" s="19" t="str">
        <x:v>m</x:v>
      </x:c>
      <x:c r="D6" s="19" t="str"/>
    </x:row>
    <x:row r="7">
      <x:c r="A7" s="19" t="str">
        <x:v>qs</x:v>
      </x:c>
      <x:c r="B7" s="21" t="n">
        <x:v>5000</x:v>
      </x:c>
      <x:c r="C7" s="19" t="str">
        <x:v>kPa</x:v>
      </x:c>
      <x:c r="D7" s="19" t="str"/>
    </x:row>
    <x:row r="8">
      <x:c r="A8" s="19" t="str">
        <x:v>fs</x:v>
      </x:c>
      <x:c r="B8" s="21" t="n">
        <x:v>50</x:v>
      </x:c>
      <x:c r="C8" s="19" t="str">
        <x:v>kPa</x:v>
      </x:c>
      <x:c r="D8" s="19" t="str"/>
    </x:row>
    <x:row r="9">
      <x:c r="A9" s="19" t="str">
        <x:v>b1</x:v>
      </x:c>
      <x:c r="B9" s="21" t="n">
        <x:v>0.5</x:v>
      </x:c>
      <x:c r="C9" s="19" t="str">
        <x:v>-</x:v>
      </x:c>
      <x:c r="D9" s="19" t="str"/>
    </x:row>
    <x:row r="10">
      <x:c r="A10" s="19" t="str">
        <x:v>b2</x:v>
      </x:c>
      <x:c r="B10" s="21" t="n">
        <x:v>0.5</x:v>
      </x:c>
      <x:c r="C10" s="19" t="str">
        <x:v>-</x:v>
      </x:c>
      <x:c r="D10" s="19" t="str"/>
    </x:row>
    <x:row r="11">
      <x:c r="A11" s="19"/>
      <x:c r="B11" s="19"/>
      <x:c r="C11" s="19"/>
      <x:c r="D11" s="19"/>
    </x:row>
    <x:row r="12">
      <x:c r="A12" s="22" t="str">
        <x:v>Bước</x:v>
      </x:c>
      <x:c r="B12" s="22" t="str">
        <x:v>Kết quả</x:v>
      </x:c>
      <x:c r="C12" s="22" t="str">
        <x:v>Đơn vị</x:v>
      </x:c>
      <x:c r="D12" s="22" t="str">
        <x:v>Công thức</x:v>
      </x:c>
    </x:row>
    <x:row r="13">
      <x:c r="A13" s="19" t="str">
        <x:v>Rs</x:v>
      </x:c>
      <x:c r="B13" s="19" t="n">
        <x:f>B9*B7</x:f>
        <x:v>2500</x:v>
      </x:c>
      <x:c r="C13" s="19" t="str">
        <x:v>kPa</x:v>
      </x:c>
      <x:c r="D13" s="19" t="n">
        <x:f>B9*B7</x:f>
        <x:v>2500</x:v>
      </x:c>
    </x:row>
    <x:row r="14">
      <x:c r="A14" s="19" t="str">
        <x:v>f</x:v>
      </x:c>
      <x:c r="B14" s="19" t="n">
        <x:f>B10*B8</x:f>
        <x:v>25</x:v>
      </x:c>
      <x:c r="C14" s="19" t="str">
        <x:v>kPa</x:v>
      </x:c>
      <x:c r="D14" s="19" t="n">
        <x:f>B10*B8</x:f>
        <x:v>25</x:v>
      </x:c>
    </x:row>
    <x:row r="15">
      <x:c r="A15" s="19" t="str">
        <x:v>Ru</x:v>
      </x:c>
      <x:c r="B15" s="19" t="n">
        <x:f>B13*B4+B14*B6*B5</x:f>
        <x:v>880</x:v>
      </x:c>
      <x:c r="C15" s="19" t="str">
        <x:v>kN</x:v>
      </x:c>
      <x:c r="D15" s="19" t="n">
        <x:f>B13*B4+B14*B6*B5</x:f>
        <x:v>880</x:v>
      </x:c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6.380000114440918" hidden="0" customWidth="1"/>
    <x:col min="3" max="3" width="5.630000114440918" hidden="0" customWidth="1"/>
    <x:col min="4" max="4" width="8.380000114440918" hidden="0" customWidth="1"/>
  </x:cols>
  <x:sheetData>
    <x:row r="1">
      <x:c r="A1" s="18" t="str">
        <x:v>08_SPT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qb</x:v>
      </x:c>
      <x:c r="B4" s="21" t="n">
        <x:v>1000</x:v>
      </x:c>
      <x:c r="C4" s="19" t="str">
        <x:v>kPa</x:v>
      </x:c>
      <x:c r="D4" s="19" t="str"/>
    </x:row>
    <x:row r="5">
      <x:c r="A5" s="19" t="str">
        <x:v>A</x:v>
      </x:c>
      <x:c r="B5" s="21" t="n">
        <x:v>0.16</x:v>
      </x:c>
      <x:c r="C5" s="19" t="str">
        <x:v>m²</x:v>
      </x:c>
      <x:c r="D5" s="19" t="str"/>
    </x:row>
    <x:row r="6">
      <x:c r="A6" s="19" t="str">
        <x:v>fs</x:v>
      </x:c>
      <x:c r="B6" s="21" t="n">
        <x:v>20</x:v>
      </x:c>
      <x:c r="C6" s="19" t="str">
        <x:v>kPa</x:v>
      </x:c>
      <x:c r="D6" s="19" t="str"/>
    </x:row>
    <x:row r="7">
      <x:c r="A7" s="19" t="str">
        <x:v>Ls</x:v>
      </x:c>
      <x:c r="B7" s="21" t="n">
        <x:v>6</x:v>
      </x:c>
      <x:c r="C7" s="19" t="str">
        <x:v>m</x:v>
      </x:c>
      <x:c r="D7" s="19" t="str"/>
    </x:row>
    <x:row r="8">
      <x:c r="A8" s="19" t="str">
        <x:v>fc</x:v>
      </x:c>
      <x:c r="B8" s="21" t="n">
        <x:v>15</x:v>
      </x:c>
      <x:c r="C8" s="19" t="str">
        <x:v>kPa</x:v>
      </x:c>
      <x:c r="D8" s="19" t="str"/>
    </x:row>
    <x:row r="9">
      <x:c r="A9" s="19" t="str">
        <x:v>Lc</x:v>
      </x:c>
      <x:c r="B9" s="21" t="n">
        <x:v>6</x:v>
      </x:c>
      <x:c r="C9" s="19" t="str">
        <x:v>m</x:v>
      </x:c>
      <x:c r="D9" s="19" t="str"/>
    </x:row>
    <x:row r="10">
      <x:c r="A10" s="19" t="str">
        <x:v>u</x:v>
      </x:c>
      <x:c r="B10" s="21" t="n">
        <x:v>1.6</x:v>
      </x:c>
      <x:c r="C10" s="19" t="str">
        <x:v>m</x:v>
      </x:c>
      <x:c r="D10" s="19" t="str"/>
    </x:row>
    <x:row r="11">
      <x:c r="A11" s="19"/>
      <x:c r="B11" s="19"/>
      <x:c r="C11" s="19"/>
      <x:c r="D11" s="19"/>
    </x:row>
    <x:row r="12">
      <x:c r="A12" s="22" t="str">
        <x:v>Bước</x:v>
      </x:c>
      <x:c r="B12" s="22" t="str">
        <x:v>Kết quả</x:v>
      </x:c>
      <x:c r="C12" s="22" t="str">
        <x:v>Đơn vị</x:v>
      </x:c>
      <x:c r="D12" s="22" t="str">
        <x:v>Công thức</x:v>
      </x:c>
    </x:row>
    <x:row r="13">
      <x:c r="A13" s="19" t="str">
        <x:v>Rub</x:v>
      </x:c>
      <x:c r="B13" s="19" t="n">
        <x:f>B4*B5</x:f>
        <x:v>160</x:v>
      </x:c>
      <x:c r="C13" s="19" t="str">
        <x:v>kN</x:v>
      </x:c>
      <x:c r="D13" s="19" t="n">
        <x:f>B4*B5</x:f>
        <x:v>160</x:v>
      </x:c>
    </x:row>
    <x:row r="14">
      <x:c r="A14" s="19" t="str">
        <x:v>Ruf</x:v>
      </x:c>
      <x:c r="B14" s="19" t="n">
        <x:f>(B6*B7+B8*B9)*B10</x:f>
        <x:v>336</x:v>
      </x:c>
      <x:c r="C14" s="19" t="str">
        <x:v>kN</x:v>
      </x:c>
      <x:c r="D14" s="19" t="n">
        <x:f>(B6*B7+B8*B9)*B10</x:f>
        <x:v>336</x:v>
      </x:c>
    </x:row>
    <x:row r="15">
      <x:c r="A15" s="19" t="str">
        <x:v>Ru</x:v>
      </x:c>
      <x:c r="B15" s="19" t="n">
        <x:f>B13+B14</x:f>
        <x:v>496</x:v>
      </x:c>
      <x:c r="C15" s="19" t="str">
        <x:v>kN</x:v>
      </x:c>
      <x:c r="D15" s="19" t="n">
        <x:f>B13+B14</x:f>
        <x:v>496</x:v>
      </x:c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.25" hidden="0" customWidth="1"/>
    <x:col min="3" max="3" width="5.630000114440918" hidden="0" customWidth="1"/>
    <x:col min="4" max="4" width="10.25" hidden="0" customWidth="1"/>
  </x:cols>
  <x:sheetData>
    <x:row r="1">
      <x:c r="A1" s="18" t="str">
        <x:v>09_LUN_COC_DON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N</x:v>
      </x:c>
      <x:c r="B4" s="21" t="n">
        <x:v>1</x:v>
      </x:c>
      <x:c r="C4" s="19" t="str">
        <x:v>MN</x:v>
      </x:c>
      <x:c r="D4" s="19" t="str"/>
    </x:row>
    <x:row r="5">
      <x:c r="A5" s="19" t="str">
        <x:v>G1</x:v>
      </x:c>
      <x:c r="B5" s="21" t="n">
        <x:v>20</x:v>
      </x:c>
      <x:c r="C5" s="19" t="str">
        <x:v>MPa</x:v>
      </x:c>
      <x:c r="D5" s="19" t="str"/>
    </x:row>
    <x:row r="6">
      <x:c r="A6" s="19" t="str">
        <x:v>G2</x:v>
      </x:c>
      <x:c r="B6" s="21" t="n">
        <x:v>15</x:v>
      </x:c>
      <x:c r="C6" s="19" t="str">
        <x:v>MPa</x:v>
      </x:c>
      <x:c r="D6" s="19" t="str"/>
    </x:row>
    <x:row r="7">
      <x:c r="A7" s="19" t="str">
        <x:v>L</x:v>
      </x:c>
      <x:c r="B7" s="21" t="n">
        <x:v>20</x:v>
      </x:c>
      <x:c r="C7" s="19" t="str">
        <x:v>m</x:v>
      </x:c>
      <x:c r="D7" s="19" t="str"/>
    </x:row>
    <x:row r="8">
      <x:c r="A8" s="19" t="str">
        <x:v>d</x:v>
      </x:c>
      <x:c r="B8" s="21" t="n">
        <x:v>0.6</x:v>
      </x:c>
      <x:c r="C8" s="19" t="str">
        <x:v>m</x:v>
      </x:c>
      <x:c r="D8" s="19" t="str"/>
    </x:row>
    <x:row r="9">
      <x:c r="A9" s="19" t="str">
        <x:v>v1</x:v>
      </x:c>
      <x:c r="B9" s="21" t="n">
        <x:v>0.3</x:v>
      </x:c>
      <x:c r="C9" s="19" t="str">
        <x:v>-</x:v>
      </x:c>
      <x:c r="D9" s="19" t="str"/>
    </x:row>
    <x:row r="10">
      <x:c r="A10" s="19" t="str">
        <x:v>v2</x:v>
      </x:c>
      <x:c r="B10" s="21" t="n">
        <x:v>0.3</x:v>
      </x:c>
      <x:c r="C10" s="19" t="str">
        <x:v>-</x:v>
      </x:c>
      <x:c r="D10" s="19" t="str"/>
    </x:row>
    <x:row r="11">
      <x:c r="A11" s="19" t="str">
        <x:v>EA</x:v>
      </x:c>
      <x:c r="B11" s="21" t="n">
        <x:v>10000</x:v>
      </x:c>
      <x:c r="C11" s="19" t="str">
        <x:v>MN</x:v>
      </x:c>
      <x:c r="D11" s="19" t="str"/>
    </x:row>
    <x:row r="12">
      <x:c r="A12" s="19"/>
      <x:c r="B12" s="19"/>
      <x:c r="C12" s="19"/>
      <x:c r="D12" s="19"/>
    </x:row>
    <x:row r="13">
      <x:c r="A13" s="22" t="str">
        <x:v>Bước</x:v>
      </x:c>
      <x:c r="B13" s="22" t="str">
        <x:v>Kết quả</x:v>
      </x:c>
      <x:c r="C13" s="22" t="str">
        <x:v>Đơn vị</x:v>
      </x:c>
      <x:c r="D13" s="22" t="str">
        <x:v>Công thức</x:v>
      </x:c>
    </x:row>
    <x:row r="14">
      <x:c r="A14" s="19" t="str">
        <x:v>k</x:v>
      </x:c>
      <x:c r="B14" s="19" t="n">
        <x:f>B5*B7/(B6*B8)</x:f>
        <x:v>44.44444444444444</x:v>
      </x:c>
      <x:c r="C14" s="19" t="str">
        <x:v>-</x:v>
      </x:c>
      <x:c r="D14" s="19" t="n">
        <x:f>B5*B7/(B6*B8)</x:f>
        <x:v>44.44444444444444</x:v>
      </x:c>
    </x:row>
    <x:row r="15">
      <x:c r="A15" s="19" t="str">
        <x:v>v</x:v>
      </x:c>
      <x:c r="B15" s="19" t="n">
        <x:f>(B9+B10)/2</x:f>
        <x:v>0.3</x:v>
      </x:c>
      <x:c r="C15" s="19" t="str">
        <x:v>-</x:v>
      </x:c>
      <x:c r="D15" s="19" t="n">
        <x:f>(B9+B10)/2</x:f>
        <x:v>0.3</x:v>
      </x:c>
    </x:row>
    <x:row r="16">
      <x:c r="A16" s="19" t="str">
        <x:v>kv</x:v>
      </x:c>
      <x:c r="B16" s="19" t="n">
        <x:f>2.82-3.78*B15+2.18*B15^2</x:f>
        <x:v>1.8821999999999999</x:v>
      </x:c>
      <x:c r="C16" s="19" t="str">
        <x:v>-</x:v>
      </x:c>
      <x:c r="D16" s="19" t="n">
        <x:f>2.82-3.78*B15+2.18*B15^2</x:f>
        <x:v>1.8821999999999999</x:v>
      </x:c>
    </x:row>
    <x:row r="17">
      <x:c r="A17" s="19" t="str">
        <x:v>kv1</x:v>
      </x:c>
      <x:c r="B17" s="19" t="n">
        <x:f>2.82-3.78*B9+2.18*B9^2</x:f>
        <x:v>1.8821999999999999</x:v>
      </x:c>
      <x:c r="C17" s="19" t="str">
        <x:v>-</x:v>
      </x:c>
      <x:c r="D17" s="19" t="n">
        <x:f>2.82-3.78*B9+2.18*B9^2</x:f>
        <x:v>1.8821999999999999</x:v>
      </x:c>
    </x:row>
    <x:row r="18">
      <x:c r="A18" s="19" t="str">
        <x:v>chi</x:v>
      </x:c>
      <x:c r="B18" s="19" t="n">
        <x:f>B11/(B5*B7^2)</x:f>
        <x:v>1.25</x:v>
      </x:c>
      <x:c r="C18" s="19" t="str">
        <x:v>-</x:v>
      </x:c>
      <x:c r="D18" s="19" t="n">
        <x:f>B11/(B5*B7^2)</x:f>
        <x:v>1.25</x:v>
      </x:c>
    </x:row>
    <x:row r="19">
      <x:c r="A19" s="19" t="str">
        <x:v>lam</x:v>
      </x:c>
      <x:c r="B19" s="19" t="n">
        <x:f>2.12*B18^0.75/(1+2.12*B18^0.75)</x:f>
        <x:v>0.7147921833813622</x:v>
      </x:c>
      <x:c r="C19" s="19" t="str">
        <x:v>-</x:v>
      </x:c>
      <x:c r="D19" s="19" t="n">
        <x:f>2.12*B18^0.75/(1+2.12*B18^0.75)</x:f>
        <x:v>0.7147921833813622</x:v>
      </x:c>
    </x:row>
    <x:row r="20">
      <x:c r="A20" s="19" t="str">
        <x:v>bp</x:v>
      </x:c>
      <x:c r="B20" s="19" t="n">
        <x:f>0.17*LN(B16*B14)</x:f>
        <x:v>0.7525358167864332</x:v>
      </x:c>
      <x:c r="C20" s="19" t="str">
        <x:v>-</x:v>
      </x:c>
      <x:c r="D20" s="19" t="n">
        <x:f>0.17*LN(B16*B14)</x:f>
        <x:v>0.7525358167864332</x:v>
      </x:c>
    </x:row>
    <x:row r="21">
      <x:c r="A21" s="19" t="str">
        <x:v>ap</x:v>
      </x:c>
      <x:c r="B21" s="19" t="n">
        <x:f>0.17*LN(B17*B7/B8)</x:f>
        <x:v>0.7036298644696305</x:v>
      </x:c>
      <x:c r="C21" s="19" t="str">
        <x:v>-</x:v>
      </x:c>
      <x:c r="D21" s="19" t="n">
        <x:f>0.17*LN(B17*B7/B8)</x:f>
        <x:v>0.7036298644696305</x:v>
      </x:c>
    </x:row>
    <x:row r="22">
      <x:c r="A22" s="19" t="str">
        <x:v>beta</x:v>
      </x:c>
      <x:c r="B22" s="19" t="n">
        <x:f>B20/B19+0.3*(1-B20/B21)/B18</x:f>
        <x:v>1.0361223918942026</x:v>
      </x:c>
      <x:c r="C22" s="19" t="str">
        <x:v>-</x:v>
      </x:c>
      <x:c r="D22" s="19" t="n">
        <x:f>B20/B19+0.3*(1-B20/B21)/B18</x:f>
        <x:v>1.0361223918942026</x:v>
      </x:c>
    </x:row>
    <x:row r="23">
      <x:c r="A23" s="19" t="str">
        <x:v>s</x:v>
      </x:c>
      <x:c r="B23" s="19" t="n">
        <x:f>B22*B4/(B5*B7)</x:f>
        <x:v>0.0025903059797355065</x:v>
      </x:c>
      <x:c r="C23" s="19" t="str">
        <x:v>m</x:v>
      </x:c>
      <x:c r="D23" s="19" t="n">
        <x:f>B22*B4/(B5*B7)</x:f>
        <x:v>0.0025903059797355065</x:v>
      </x:c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10.25" hidden="0" customWidth="1"/>
    <x:col min="3" max="3" width="5.630000114440918" hidden="0" customWidth="1"/>
    <x:col min="4" max="4" width="10.25" hidden="0" customWidth="1"/>
  </x:cols>
  <x:sheetData>
    <x:row r="1">
      <x:c r="A1" s="18" t="str">
        <x:v>10_LUN_NHOM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s0</x:v>
      </x:c>
      <x:c r="B4" s="21" t="n">
        <x:v>0.01</x:v>
      </x:c>
      <x:c r="C4" s="19" t="str">
        <x:v>m</x:v>
      </x:c>
      <x:c r="D4" s="19" t="str"/>
    </x:row>
    <x:row r="5">
      <x:c r="A5" s="19" t="str">
        <x:v>G1</x:v>
      </x:c>
      <x:c r="B5" s="21" t="n">
        <x:v>20</x:v>
      </x:c>
      <x:c r="C5" s="19" t="str">
        <x:v>MPa</x:v>
      </x:c>
      <x:c r="D5" s="19" t="str"/>
    </x:row>
    <x:row r="6">
      <x:c r="A6" s="19" t="str">
        <x:v>G2</x:v>
      </x:c>
      <x:c r="B6" s="21" t="n">
        <x:v>20</x:v>
      </x:c>
      <x:c r="C6" s="19" t="str">
        <x:v>MPa</x:v>
      </x:c>
      <x:c r="D6" s="19" t="str"/>
    </x:row>
    <x:row r="7">
      <x:c r="A7" s="19" t="str">
        <x:v>L</x:v>
      </x:c>
      <x:c r="B7" s="21" t="n">
        <x:v>20</x:v>
      </x:c>
      <x:c r="C7" s="19" t="str">
        <x:v>m</x:v>
      </x:c>
      <x:c r="D7" s="19" t="str"/>
    </x:row>
    <x:row r="8">
      <x:c r="A8" s="19" t="str">
        <x:v>v</x:v>
      </x:c>
      <x:c r="B8" s="21" t="n">
        <x:v>0.3</x:v>
      </x:c>
      <x:c r="C8" s="19" t="str">
        <x:v>-</x:v>
      </x:c>
      <x:c r="D8" s="19" t="str"/>
    </x:row>
    <x:row r="9">
      <x:c r="A9" s="19" t="str">
        <x:v>a</x:v>
      </x:c>
      <x:c r="B9" s="21" t="n">
        <x:v>1.8</x:v>
      </x:c>
      <x:c r="C9" s="19" t="str">
        <x:v>m</x:v>
      </x:c>
      <x:c r="D9" s="19" t="str"/>
    </x:row>
    <x:row r="10">
      <x:c r="A10" s="19" t="str">
        <x:v>Nj</x:v>
      </x:c>
      <x:c r="B10" s="21" t="n">
        <x:v>1</x:v>
      </x:c>
      <x:c r="C10" s="19" t="str">
        <x:v>MN</x:v>
      </x:c>
      <x:c r="D10" s="19" t="str"/>
    </x:row>
    <x:row r="11">
      <x:c r="A11" s="19" t="str">
        <x:v>Li</x:v>
      </x:c>
      <x:c r="B11" s="21" t="n">
        <x:v>20</x:v>
      </x:c>
      <x:c r="C11" s="19" t="str">
        <x:v>m</x:v>
      </x:c>
      <x:c r="D11" s="19" t="str"/>
    </x:row>
    <x:row r="12">
      <x:c r="A12" s="19" t="str">
        <x:v>Lj</x:v>
      </x:c>
      <x:c r="B12" s="21" t="n">
        <x:v>24</x:v>
      </x:c>
      <x:c r="C12" s="19" t="str">
        <x:v>m</x:v>
      </x:c>
      <x:c r="D12" s="19" t="str"/>
    </x:row>
    <x:row r="13">
      <x:c r="A13" s="19" t="str">
        <x:v>kw0</x:v>
      </x:c>
      <x:c r="B13" s="21" t="n">
        <x:v>50</x:v>
      </x:c>
      <x:c r="C13" s="19" t="str">
        <x:v>MN/m</x:v>
      </x:c>
      <x:c r="D13" s="19" t="str"/>
    </x:row>
    <x:row r="14">
      <x:c r="A14" s="19" t="str">
        <x:v>Nu</x:v>
      </x:c>
      <x:c r="B14" s="21" t="n">
        <x:v>100</x:v>
      </x:c>
      <x:c r="C14" s="19" t="str">
        <x:v>MN</x:v>
      </x:c>
      <x:c r="D14" s="19" t="str"/>
    </x:row>
    <x:row r="15">
      <x:c r="A15" s="19" t="str">
        <x:v>mc</x:v>
      </x:c>
      <x:c r="B15" s="21" t="n">
        <x:v>2</x:v>
      </x:c>
      <x:c r="C15" s="19" t="str">
        <x:v>-</x:v>
      </x:c>
      <x:c r="D15" s="19" t="str"/>
    </x:row>
    <x:row r="16">
      <x:c r="A16" s="19"/>
      <x:c r="B16" s="19"/>
      <x:c r="C16" s="19"/>
      <x:c r="D16" s="19"/>
    </x:row>
    <x:row r="17">
      <x:c r="A17" s="22" t="str">
        <x:v>Bước</x:v>
      </x:c>
      <x:c r="B17" s="22" t="str">
        <x:v>Kết quả</x:v>
      </x:c>
      <x:c r="C17" s="22" t="str">
        <x:v>Đơn vị</x:v>
      </x:c>
      <x:c r="D17" s="22" t="str">
        <x:v>Công thức</x:v>
      </x:c>
    </x:row>
    <x:row r="18">
      <x:c r="A18" s="19" t="str">
        <x:v>kv</x:v>
      </x:c>
      <x:c r="B18" s="19" t="n">
        <x:f>2.82-3.78*B8+2.18*B8^2</x:f>
        <x:v>1.8821999999999999</x:v>
      </x:c>
      <x:c r="C18" s="19" t="str">
        <x:v>-</x:v>
      </x:c>
      <x:c r="D18" s="19" t="n">
        <x:f>2.82-3.78*B8+2.18*B8^2</x:f>
        <x:v>1.8821999999999999</x:v>
      </x:c>
    </x:row>
    <x:row r="19">
      <x:c r="A19" s="19" t="str">
        <x:v>delta</x:v>
      </x:c>
      <x:c r="B19" s="19" t="n">
        <x:f>IF(B18*B5*B7/(2*B6*B9)&gt;1,0.17*LN(B18*B5*B7/(2*B6*B9)),0)</x:f>
        <x:v>0.39903075470086113</x:v>
      </x:c>
      <x:c r="C19" s="19" t="str">
        <x:v>-</x:v>
      </x:c>
      <x:c r="D19" s="19" t="n">
        <x:f>IF(B18*B5*B7/(2*B6*B9)&gt;1,0.17*LN(B18*B5*B7/(2*B6*B9)),0)</x:f>
        <x:v>0.39903075470086113</x:v>
      </x:c>
    </x:row>
    <x:row r="20">
      <x:c r="A20" s="19" t="str">
        <x:v>s</x:v>
      </x:c>
      <x:c r="B20" s="19" t="n">
        <x:f>B4+B19*B10/(B5*B7)</x:f>
        <x:v>0.010997576886752153</x:v>
      </x:c>
      <x:c r="C20" s="19" t="str">
        <x:v>m</x:v>
      </x:c>
      <x:c r="D20" s="19" t="n">
        <x:f>B4+B19*B10/(B5*B7)</x:f>
        <x:v>0.010997576886752153</x:v>
      </x:c>
    </x:row>
    <x:row r="21">
      <x:c r="A21" s="19" t="str">
        <x:v>Leq</x:v>
      </x:c>
      <x:c r="B21" s="19" t="n">
        <x:f>SQRT((B11^2+B12^2)/2)</x:f>
        <x:v>22.090722034374522</x:v>
      </x:c>
      <x:c r="C21" s="19" t="str">
        <x:v>m</x:v>
      </x:c>
      <x:c r="D21" s="19" t="n">
        <x:f>SQRT((B11^2+B12^2)/2)</x:f>
        <x:v>22.090722034374522</x:v>
      </x:c>
    </x:row>
    <x:row r="22">
      <x:c r="A22" s="19" t="str">
        <x:v>kw</x:v>
      </x:c>
      <x:c r="B22" s="19" t="n">
        <x:f>B13*(1+(B13/B14)^B15)^(-1/B15)</x:f>
        <x:v>44.721359549995796</x:v>
      </x:c>
      <x:c r="C22" s="19" t="str">
        <x:v>MN/m</x:v>
      </x:c>
      <x:c r="D22" s="19" t="n">
        <x:f>B13*(1+(B13/B14)^B15)^(-1/B15)</x:f>
        <x:v>44.721359549995796</x:v>
      </x:c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10.25" hidden="0" customWidth="1"/>
    <x:col min="3" max="3" width="5.630000114440918" hidden="0" customWidth="1"/>
    <x:col min="4" max="4" width="10.25" hidden="0" customWidth="1"/>
  </x:cols>
  <x:sheetData>
    <x:row r="1">
      <x:c r="A1" s="18" t="str">
        <x:v>11_KHOI_QUY_UOC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sef</x:v>
      </x:c>
      <x:c r="B4" s="21" t="n">
        <x:v>0.015</x:v>
      </x:c>
      <x:c r="C4" s="19" t="str">
        <x:v>m</x:v>
      </x:c>
      <x:c r="D4" s="19" t="str"/>
    </x:row>
    <x:row r="5">
      <x:c r="A5" s="19" t="str">
        <x:v>E1</x:v>
      </x:c>
      <x:c r="B5" s="21" t="n">
        <x:v>20</x:v>
      </x:c>
      <x:c r="C5" s="19" t="str">
        <x:v>MPa</x:v>
      </x:c>
      <x:c r="D5" s="19" t="str"/>
    </x:row>
    <x:row r="6">
      <x:c r="A6" s="19" t="str">
        <x:v>E2</x:v>
      </x:c>
      <x:c r="B6" s="21" t="n">
        <x:v>30</x:v>
      </x:c>
      <x:c r="C6" s="19" t="str">
        <x:v>MPa</x:v>
      </x:c>
      <x:c r="D6" s="19" t="str"/>
    </x:row>
    <x:row r="7">
      <x:c r="A7" s="19" t="str">
        <x:v>v2</x:v>
      </x:c>
      <x:c r="B7" s="21" t="n">
        <x:v>0.3</x:v>
      </x:c>
      <x:c r="C7" s="19" t="str">
        <x:v>-</x:v>
      </x:c>
      <x:c r="D7" s="19" t="str"/>
    </x:row>
    <x:row r="8">
      <x:c r="A8" s="19" t="str">
        <x:v>p</x:v>
      </x:c>
      <x:c r="B8" s="21" t="n">
        <x:v>200</x:v>
      </x:c>
      <x:c r="C8" s="19" t="str">
        <x:v>kPa</x:v>
      </x:c>
      <x:c r="D8" s="19" t="str"/>
    </x:row>
    <x:row r="9">
      <x:c r="A9" s="19" t="str">
        <x:v>a</x:v>
      </x:c>
      <x:c r="B9" s="21" t="n">
        <x:v>1.8</x:v>
      </x:c>
      <x:c r="C9" s="19" t="str">
        <x:v>m</x:v>
      </x:c>
      <x:c r="D9" s="19" t="str"/>
    </x:row>
    <x:row r="10">
      <x:c r="A10" s="19" t="str">
        <x:v>d</x:v>
      </x:c>
      <x:c r="B10" s="21" t="n">
        <x:v>0.6</x:v>
      </x:c>
      <x:c r="C10" s="19" t="str">
        <x:v>m</x:v>
      </x:c>
      <x:c r="D10" s="19" t="str"/>
    </x:row>
    <x:row r="11">
      <x:c r="A11" s="19" t="str">
        <x:v>b</x:v>
      </x:c>
      <x:c r="B11" s="21" t="n">
        <x:v>0.6</x:v>
      </x:c>
      <x:c r="C11" s="19" t="str">
        <x:v>m</x:v>
      </x:c>
      <x:c r="D11" s="19" t="str"/>
    </x:row>
    <x:row r="12">
      <x:c r="A12" s="19" t="str">
        <x:v>L</x:v>
      </x:c>
      <x:c r="B12" s="21" t="n">
        <x:v>20</x:v>
      </x:c>
      <x:c r="C12" s="19" t="str">
        <x:v>m</x:v>
      </x:c>
      <x:c r="D12" s="19" t="str"/>
    </x:row>
    <x:row r="13">
      <x:c r="A13" s="19" t="str">
        <x:v>E</x:v>
      </x:c>
      <x:c r="B13" s="21" t="n">
        <x:v>30000</x:v>
      </x:c>
      <x:c r="C13" s="19" t="str">
        <x:v>MPa</x:v>
      </x:c>
      <x:c r="D13" s="19" t="str"/>
    </x:row>
    <x:row r="14">
      <x:c r="A14" s="19" t="str">
        <x:v>A</x:v>
      </x:c>
      <x:c r="B14" s="21" t="n">
        <x:v>0.283</x:v>
      </x:c>
      <x:c r="C14" s="19" t="str">
        <x:v>m²</x:v>
      </x:c>
      <x:c r="D14" s="19" t="str"/>
    </x:row>
    <x:row r="15">
      <x:c r="A15" s="19"/>
      <x:c r="B15" s="19"/>
      <x:c r="C15" s="19"/>
      <x:c r="D15" s="19"/>
    </x:row>
    <x:row r="16">
      <x:c r="A16" s="22" t="str">
        <x:v>Bước</x:v>
      </x:c>
      <x:c r="B16" s="22" t="str">
        <x:v>Kết quả</x:v>
      </x:c>
      <x:c r="C16" s="22" t="str">
        <x:v>Đơn vị</x:v>
      </x:c>
      <x:c r="D16" s="22" t="str">
        <x:v>Công thức</x:v>
      </x:c>
    </x:row>
    <x:row r="17">
      <x:c r="A17" s="19" t="str">
        <x:v>P</x:v>
      </x:c>
      <x:c r="B17" s="19" t="n">
        <x:f>B8*B9^2</x:f>
        <x:v>648</x:v>
      </x:c>
      <x:c r="C17" s="19" t="str">
        <x:v>kN</x:v>
      </x:c>
      <x:c r="D17" s="19" t="n">
        <x:f>B8*B9^2</x:f>
        <x:v>648</x:v>
      </x:c>
    </x:row>
    <x:row r="18">
      <x:c r="A18" s="19" t="str">
        <x:v>k</x:v>
      </x:c>
      <x:c r="B18" s="19" t="n">
        <x:f>B11/B9</x:f>
        <x:v>0.3333333333333333</x:v>
      </x:c>
      <x:c r="C18" s="19" t="str">
        <x:v>-</x:v>
      </x:c>
      <x:c r="D18" s="19" t="n">
        <x:f>B11/B9</x:f>
        <x:v>0.3333333333333333</x:v>
      </x:c>
    </x:row>
    <x:row r="19">
      <x:c r="A19" s="19" t="str">
        <x:v>dsp1</x:v>
      </x:c>
      <x:c r="B19" s="19" t="n">
        <x:f>PI()*(1-B7^2)*B8*(B9-1.5*B10)/(4*B6*1000)</x:f>
        <x:v>0.004288273972150069</x:v>
      </x:c>
      <x:c r="C19" s="19" t="str">
        <x:v>m</x:v>
      </x:c>
      <x:c r="D19" s="19" t="n">
        <x:f>PI()*(1-B7^2)*B8*(B9-1.5*B10)/(4*B6*1000)</x:f>
        <x:v>0.004288273972150069</x:v>
      </x:c>
    </x:row>
    <x:row r="20">
      <x:c r="A20" s="19" t="str">
        <x:v>dsp0</x:v>
      </x:c>
      <x:c r="B20" s="19" t="n">
        <x:f>(1-B7^2)*(1-B18)*B17/(B10*B6*1000)</x:f>
        <x:v>0.021840000000000002</x:v>
      </x:c>
      <x:c r="C20" s="19" t="str">
        <x:v>m</x:v>
      </x:c>
      <x:c r="D20" s="19" t="n">
        <x:f>(1-B7^2)*(1-B18)*B17/(B10*B6*1000)</x:f>
        <x:v>0.021840000000000002</x:v>
      </x:c>
    </x:row>
    <x:row r="21">
      <x:c r="A21" s="19" t="str">
        <x:v>dsp</x:v>
      </x:c>
      <x:c r="B21" s="19" t="n">
        <x:f>B19/((B19/B20)*(1-B5/B6)+B5/B6)</x:f>
        <x:v>0.005857365449888811</x:v>
      </x:c>
      <x:c r="C21" s="19" t="str">
        <x:v>m</x:v>
      </x:c>
      <x:c r="D21" s="19" t="n">
        <x:f>B19/((B19/B20)*(1-B5/B6)+B5/B6)</x:f>
        <x:v>0.005857365449888811</x:v>
      </x:c>
    </x:row>
    <x:row r="22">
      <x:c r="A22" s="19" t="str">
        <x:v>dsc</x:v>
      </x:c>
      <x:c r="B22" s="19" t="n">
        <x:f>B17*(B12-B9)/(B13*B14)/1000</x:f>
        <x:v>0.0013891166077738518</x:v>
      </x:c>
      <x:c r="C22" s="19" t="str">
        <x:v>m</x:v>
      </x:c>
      <x:c r="D22" s="19" t="n">
        <x:f>B17*(B12-B9)/(B13*B14)/1000</x:f>
        <x:v>0.0013891166077738518</x:v>
      </x:c>
    </x:row>
    <x:row r="23">
      <x:c r="A23" s="19" t="str">
        <x:v>s</x:v>
      </x:c>
      <x:c r="B23" s="19" t="n">
        <x:f>B4+B21+B22</x:f>
        <x:v>0.02224648205766266</x:v>
      </x:c>
      <x:c r="C23" s="19" t="str">
        <x:v>m</x:v>
      </x:c>
      <x:c r="D23" s="19" t="n">
        <x:f>B4+B21+B22</x:f>
        <x:v>0.02224648205766266</x:v>
      </x:c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.3799991607666" hidden="0" customWidth="1"/>
    <x:col min="2" max="2" width="10.25" hidden="0" customWidth="1"/>
    <x:col min="3" max="3" width="5.630000114440918" hidden="0" customWidth="1"/>
    <x:col min="4" max="4" width="10.25" hidden="0" customWidth="1"/>
  </x:cols>
  <x:sheetData>
    <x:row r="1">
      <x:c r="A1" s="18" t="str">
        <x:v>12_ANH_HUONG_TC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Input</x:v>
      </x:c>
      <x:c r="B3" s="20" t="str">
        <x:v>Giá trị</x:v>
      </x:c>
      <x:c r="C3" s="20" t="str">
        <x:v>Đơn vị</x:v>
      </x:c>
      <x:c r="D3" s="20" t="str">
        <x:v>Ghi chú</x:v>
      </x:c>
    </x:row>
    <x:row r="4">
      <x:c r="A4" s="19" t="str">
        <x:v>alpha</x:v>
      </x:c>
      <x:c r="B4" s="21" t="n">
        <x:v>0.02</x:v>
      </x:c>
      <x:c r="C4" s="19" t="str">
        <x:v>cm</x:v>
      </x:c>
      <x:c r="D4" s="19" t="str"/>
    </x:row>
    <x:row r="5">
      <x:c r="A5" s="19" t="str">
        <x:v>delta</x:v>
      </x:c>
      <x:c r="B5" s="21" t="n">
        <x:v>10</x:v>
      </x:c>
      <x:c r="C5" s="19" t="str">
        <x:v>Hz</x:v>
      </x:c>
      <x:c r="D5" s="19" t="str"/>
    </x:row>
    <x:row r="6">
      <x:c r="A6" s="19" t="str">
        <x:v>Va</x:v>
      </x:c>
      <x:c r="B6" s="21" t="n">
        <x:v>1.5</x:v>
      </x:c>
      <x:c r="C6" s="19" t="str">
        <x:v>cm/s</x:v>
      </x:c>
      <x:c r="D6" s="19" t="str"/>
    </x:row>
    <x:row r="7">
      <x:c r="A7" s="19" t="str">
        <x:v>Rk</x:v>
      </x:c>
      <x:c r="B7" s="21" t="n">
        <x:v>1200</x:v>
      </x:c>
      <x:c r="C7" s="19" t="str">
        <x:v>kN</x:v>
      </x:c>
      <x:c r="D7" s="19" t="str"/>
    </x:row>
    <x:row r="8">
      <x:c r="A8" s="19" t="str">
        <x:v>gc</x:v>
      </x:c>
      <x:c r="B8" s="21" t="n">
        <x:v>1.2</x:v>
      </x:c>
      <x:c r="C8" s="19" t="str">
        <x:v>-</x:v>
      </x:c>
      <x:c r="D8" s="19" t="str"/>
    </x:row>
    <x:row r="9">
      <x:c r="A9" s="19"/>
      <x:c r="B9" s="19"/>
      <x:c r="C9" s="19"/>
      <x:c r="D9" s="19"/>
    </x:row>
    <x:row r="10">
      <x:c r="A10" s="22" t="str">
        <x:v>Bước</x:v>
      </x:c>
      <x:c r="B10" s="22" t="str">
        <x:v>Kết quả</x:v>
      </x:c>
      <x:c r="C10" s="22" t="str">
        <x:v>Đơn vị</x:v>
      </x:c>
      <x:c r="D10" s="22" t="str">
        <x:v>Công thức</x:v>
      </x:c>
    </x:row>
    <x:row r="11">
      <x:c r="A11" s="19" t="str">
        <x:v>V</x:v>
      </x:c>
      <x:c r="B11" s="19" t="n">
        <x:f>2*PI()*B4*B5</x:f>
        <x:v>1.2566370614359172</x:v>
      </x:c>
      <x:c r="C11" s="19" t="str">
        <x:v>cm/s</x:v>
      </x:c>
      <x:c r="D11" s="19" t="n">
        <x:f>2*PI()*B4*B5</x:f>
        <x:v>1.2566370614359172</x:v>
      </x:c>
    </x:row>
    <x:row r="12">
      <x:c r="A12" s="19" t="str">
        <x:v>Fcmin</x:v>
      </x:c>
      <x:c r="B12" s="19" t="n">
        <x:f>B8*B7</x:f>
        <x:v>1440</x:v>
      </x:c>
      <x:c r="C12" s="19" t="str">
        <x:v>kN</x:v>
      </x:c>
      <x:c r="D12" s="19" t="n">
        <x:f>B8*B7</x:f>
        <x:v>1440</x:v>
      </x:c>
    </x:row>
    <x:row r="13">
      <x:c r="A13" s="19"/>
      <x:c r="B13" s="19"/>
      <x:c r="C13" s="19"/>
      <x:c r="D13" s="19"/>
    </x:row>
    <x:row r="14">
      <x:c r="A14" s="19"/>
      <x:c r="B14" s="19"/>
      <x:c r="C14" s="19"/>
      <x:c r="D14" s="19"/>
    </x:row>
    <x:row r="15">
      <x:c r="A15" s="19"/>
      <x:c r="B15" s="19"/>
      <x:c r="C15" s="19"/>
      <x:c r="D15" s="19"/>
    </x:row>
    <x:row r="16">
      <x:c r="A16" s="19"/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mergeCells>
    <x:mergeCell ref="A1:D1"/>
  </x:mergeCells>
  <x:pageMargins left="0.7" right="0.7" top="0.75" bottom="0.75" header="0.3" footer="0.3"/>
</x:worksheet>
</file>