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7e293d6cc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ƯỚNG_DẪN" sheetId="1" r:id="R4bb40c1fbd874742"/>
    <x:sheet xmlns:r="http://schemas.openxmlformats.org/officeDocument/2006/relationships" name="01_TỔNG_QUAN" sheetId="2" r:id="R3a124f6f83ab405c"/>
    <x:sheet xmlns:r="http://schemas.openxmlformats.org/officeDocument/2006/relationships" name="10_TCVN7888" sheetId="3" r:id="R6f68d54b17754228"/>
    <x:sheet xmlns:r="http://schemas.openxmlformats.org/officeDocument/2006/relationships" name="20_10304_ĐẦU_VÀO" sheetId="4" r:id="R49e470ea8fef41ea"/>
    <x:sheet xmlns:r="http://schemas.openxmlformats.org/officeDocument/2006/relationships" name="21_10304_SỨC_CHỊU_TẢI" sheetId="5" r:id="R8aff5bdfee20434d"/>
    <x:sheet xmlns:r="http://schemas.openxmlformats.org/officeDocument/2006/relationships" name="22_10304_THỬ_CPT_SPT" sheetId="6" r:id="R4f6bb187309140d5"/>
    <x:sheet xmlns:r="http://schemas.openxmlformats.org/officeDocument/2006/relationships" name="23_10304_LÚN_KHỐI_BÈ" sheetId="7" r:id="Rf7951e1e7fd94ac9"/>
    <x:sheet xmlns:r="http://schemas.openxmlformats.org/officeDocument/2006/relationships" name="24_10304_THI_CÔNG" sheetId="8" r:id="Rd852bf95142c4376"/>
    <x:sheet xmlns:r="http://schemas.openxmlformats.org/officeDocument/2006/relationships" name="30_5574_VẬT_LIỆU" sheetId="9" r:id="R1319f58df68f49f7"/>
    <x:sheet xmlns:r="http://schemas.openxmlformats.org/officeDocument/2006/relationships" name="31_5574_UỐN_NÉN" sheetId="10" r:id="Rcd0adbd540c4421e"/>
    <x:sheet xmlns:r="http://schemas.openxmlformats.org/officeDocument/2006/relationships" name="32_5574_CẮT_XOẮN" sheetId="11" r:id="Rb7b8fd2ac0f94f2f"/>
    <x:sheet xmlns:r="http://schemas.openxmlformats.org/officeDocument/2006/relationships" name="33_5574_CỤC_BỘ_CHỌC" sheetId="12" r:id="Re42e3df45c9a4daf"/>
    <x:sheet xmlns:r="http://schemas.openxmlformats.org/officeDocument/2006/relationships" name="34_5574_NỨT" sheetId="13" r:id="Recc0f5ee0c43436b"/>
    <x:sheet xmlns:r="http://schemas.openxmlformats.org/officeDocument/2006/relationships" name="35_5574_BIẾN_DẠNG" sheetId="14" r:id="R77cba7277fa9480b"/>
    <x:sheet xmlns:r="http://schemas.openxmlformats.org/officeDocument/2006/relationships" name="36_5574_ỨNG_SUẤT_TRƯỚC" sheetId="15" r:id="Rbd8444b655f44492"/>
    <x:sheet xmlns:r="http://schemas.openxmlformats.org/officeDocument/2006/relationships" name="37_5574_NEO_NỐI" sheetId="16" r:id="Re25c6095ab944922"/>
    <x:sheet xmlns:r="http://schemas.openxmlformats.org/officeDocument/2006/relationships" name="38_5574_PHỤ_LỤC_FGH" sheetId="17" r:id="Rf664c85e3cb54bc0"/>
    <x:sheet xmlns:r="http://schemas.openxmlformats.org/officeDocument/2006/relationships" name="39_5574_PHỤ_LỤC_DLM" sheetId="18" r:id="Rce33b3ade28d4a15"/>
    <x:sheet xmlns:r="http://schemas.openxmlformats.org/officeDocument/2006/relationships" name="70_DỮ_LIỆU_ẢNH" sheetId="19" r:id="R67c82c1f65774a6e"/>
    <x:sheet xmlns:r="http://schemas.openxmlformats.org/officeDocument/2006/relationships" name="80_GOLDEN_TEST" sheetId="20" r:id="Rb930b0c1d2e349f4"/>
    <x:sheet xmlns:r="http://schemas.openxmlformats.org/officeDocument/2006/relationships" name="90_NGUỒN" sheetId="21" r:id="R9da9288aaf05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C6E0B4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76702f48148b5" /><Relationship Type="http://schemas.openxmlformats.org/officeDocument/2006/relationships/theme" Target="/xl/theme/theme1.xml" Id="R7dcb9bf4cf744def" /><Relationship Type="http://schemas.openxmlformats.org/officeDocument/2006/relationships/sharedStrings" Target="/xl/sharedStrings.xml" Id="R23c9479817f8453d" /><Relationship Type="http://schemas.openxmlformats.org/officeDocument/2006/relationships/worksheet" Target="/xl/worksheets/sheet1.xml" Id="R4bb40c1fbd874742" /><Relationship Type="http://schemas.openxmlformats.org/officeDocument/2006/relationships/worksheet" Target="/xl/worksheets/sheet2.xml" Id="R3a124f6f83ab405c" /><Relationship Type="http://schemas.openxmlformats.org/officeDocument/2006/relationships/worksheet" Target="/xl/worksheets/sheet3.xml" Id="R6f68d54b17754228" /><Relationship Type="http://schemas.openxmlformats.org/officeDocument/2006/relationships/worksheet" Target="/xl/worksheets/sheet4.xml" Id="R49e470ea8fef41ea" /><Relationship Type="http://schemas.openxmlformats.org/officeDocument/2006/relationships/worksheet" Target="/xl/worksheets/sheet5.xml" Id="R8aff5bdfee20434d" /><Relationship Type="http://schemas.openxmlformats.org/officeDocument/2006/relationships/worksheet" Target="/xl/worksheets/sheet6.xml" Id="R4f6bb187309140d5" /><Relationship Type="http://schemas.openxmlformats.org/officeDocument/2006/relationships/worksheet" Target="/xl/worksheets/sheet7.xml" Id="Rf7951e1e7fd94ac9" /><Relationship Type="http://schemas.openxmlformats.org/officeDocument/2006/relationships/worksheet" Target="/xl/worksheets/sheet8.xml" Id="Rd852bf95142c4376" /><Relationship Type="http://schemas.openxmlformats.org/officeDocument/2006/relationships/worksheet" Target="/xl/worksheets/sheet9.xml" Id="R1319f58df68f49f7" /><Relationship Type="http://schemas.openxmlformats.org/officeDocument/2006/relationships/worksheet" Target="/xl/worksheets/sheet10.xml" Id="Rcd0adbd540c4421e" /><Relationship Type="http://schemas.openxmlformats.org/officeDocument/2006/relationships/worksheet" Target="/xl/worksheets/sheet11.xml" Id="Rb7b8fd2ac0f94f2f" /><Relationship Type="http://schemas.openxmlformats.org/officeDocument/2006/relationships/worksheet" Target="/xl/worksheets/sheet12.xml" Id="Re42e3df45c9a4daf" /><Relationship Type="http://schemas.openxmlformats.org/officeDocument/2006/relationships/worksheet" Target="/xl/worksheets/sheet13.xml" Id="Recc0f5ee0c43436b" /><Relationship Type="http://schemas.openxmlformats.org/officeDocument/2006/relationships/worksheet" Target="/xl/worksheets/sheet14.xml" Id="R77cba7277fa9480b" /><Relationship Type="http://schemas.openxmlformats.org/officeDocument/2006/relationships/worksheet" Target="/xl/worksheets/sheet15.xml" Id="Rbd8444b655f44492" /><Relationship Type="http://schemas.openxmlformats.org/officeDocument/2006/relationships/worksheet" Target="/xl/worksheets/sheet16.xml" Id="Re25c6095ab944922" /><Relationship Type="http://schemas.openxmlformats.org/officeDocument/2006/relationships/worksheet" Target="/xl/worksheets/sheet17.xml" Id="Rf664c85e3cb54bc0" /><Relationship Type="http://schemas.openxmlformats.org/officeDocument/2006/relationships/worksheet" Target="/xl/worksheets/sheet18.xml" Id="Rce33b3ade28d4a15" /><Relationship Type="http://schemas.openxmlformats.org/officeDocument/2006/relationships/worksheet" Target="/xl/worksheets/sheet19.xml" Id="R67c82c1f65774a6e" /><Relationship Type="http://schemas.openxmlformats.org/officeDocument/2006/relationships/worksheet" Target="/xl/worksheets/sheet20.xml" Id="Rb930b0c1d2e349f4" /><Relationship Type="http://schemas.openxmlformats.org/officeDocument/2006/relationships/worksheet" Target="/xl/worksheets/sheet21.xml" Id="R9da9288aaf0540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967c6b85ba4cd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923f4827bdb435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d608463b0ee401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e273f7816ad47f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f4630befc774e6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dce8244dacdf40c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kN</c:v>
          </c:tx>
          <c:cat>
            <c:strRef>
              <c:f>'10_TCVN7888'!$J$4:$J$6</c:f>
              <c:strCache>
                <c:ptCount val="0"/>
              </c:strCache>
            </c:strRef>
          </c:cat>
          <c:val>
            <c:numRef>
              <c:f>'10_TCVN7888'!$K$4:$K$6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kN</c:v>
          </c:tx>
          <c:cat>
            <c:strRef>
              <c:f>'21_10304_SỨC_CHỊU_TẢI'!$A$11:$A$14</c:f>
              <c:strCache>
                <c:ptCount val="0"/>
              </c:strCache>
            </c:strRef>
          </c:cat>
          <c:val>
            <c:numRef>
              <c:f>'21_10304_SỨC_CHỊU_TẢI'!$B$11:$B$14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</c:v>
          </c:tx>
          <c:cat>
            <c:strRef>
              <c:f>'23_10304_LÚN_KHỐI_BÈ'!$A$11:$A$13</c:f>
              <c:strCache>
                <c:ptCount val="0"/>
              </c:strCache>
            </c:strRef>
          </c:cat>
          <c:val>
            <c:numRef>
              <c:f>'23_10304_LÚN_KHỐI_BÈ'!$B$11:$B$13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kN.m</c:v>
          </c:tx>
          <c:cat>
            <c:strRef>
              <c:f>'31_5574_UỐN_NÉN'!$K$4:$K$5</c:f>
              <c:strCache>
                <c:ptCount val="0"/>
              </c:strCache>
            </c:strRef>
          </c:cat>
          <c:val>
            <c:numRef>
              <c:f>'31_5574_UỐN_NÉN'!$L$4:$L$5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mm</c:v>
          </c:tx>
          <c:cat>
            <c:strRef>
              <c:f>'35_5574_BIẾN_DẠNG'!$I$4:$I$5</c:f>
              <c:strCache>
                <c:ptCount val="0"/>
              </c:strCache>
            </c:strRef>
          </c:cat>
          <c:val>
            <c:numRef>
              <c:f>'35_5574_BIẾN_DẠNG'!$J$4:$J$5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MPa</c:v>
          </c:tx>
          <c:cat>
            <c:strRef>
              <c:f>'36_5574_ỨNG_SUẤT_TRƯỚC'!$I$4:$I$6</c:f>
              <c:strCache>
                <c:ptCount val="0"/>
              </c:strCache>
            </c:strRef>
          </c:cat>
          <c:val>
            <c:numRef>
              <c:f>'36_5574_ỨNG_SUẤT_TRƯỚC'!$J$4:$J$6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967c6b85ba4cd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23f4827bdb435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608463b0ee40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273f7816ad47f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4630befc774e6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e8244dacdf40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70dd40f96144a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0d841b89161047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974500ed9a8242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3aeeb4d79c84470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5.xml" Id="Rb12d1c9a81524e8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6.xml" Id="R9ccba5ea88b44df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 ht="30" customHeight="1">
      <x:c r="A1" s="40" t="str">
        <x:v>HNL ENGINEERING CALCULATOR – PRODUCTION DUY NHẤT v1.25.0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Mục</x:v>
      </x:c>
      <x:c r="B3" s="42" t="str">
        <x:v>Nội dung</x:v>
      </x:c>
      <x:c r="C3" s="42" t="str"/>
      <x:c r="D3" s="42" t="str"/>
      <x:c r="E3" s="42" t="str"/>
      <x:c r="F3" s="42" t="str"/>
      <x:c r="G3" s="42" t="str"/>
      <x:c r="H3" s="42" t="str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3" t="str">
        <x:v>Phạm vi</x:v>
      </x:c>
      <x:c r="B4" s="41" t="str">
        <x:v>TCVN 7888:2014 + TCVN 10304:2025 + TCVN 5574:2018 trong một workbook.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3" t="str">
        <x:v>Cách dùng</x:v>
      </x:c>
      <x:c r="B5" s="41" t="str">
        <x:v>Nhập ô vàng → kiểm tra bảng/nguồn → xem các bước tính → xem kết quả/biểu đồ → xem Golden Test.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3" t="str">
        <x:v>Ô vàng</x:v>
      </x:c>
      <x:c r="B6" s="41" t="str">
        <x:v>Dữ liệu người dùng nhập hoặc dữ liệu ảnh đã xác nhận.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3" t="str">
        <x:v>Ô xanh nhạt</x:v>
      </x:c>
      <x:c r="B7" s="41" t="str">
        <x:v>Công thức Excel thật.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3" t="str">
        <x:v>Ô xanh dương</x:v>
      </x:c>
      <x:c r="B8" s="41" t="str">
        <x:v>Kết quả chính.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3" t="str">
        <x:v>VERIFIED</x:v>
      </x:c>
      <x:c r="B9" s="41" t="str">
        <x:v>Được Calculation Engine tính số.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3" t="str">
        <x:v>VERIFIED BRANCH</x:v>
      </x:c>
      <x:c r="B10" s="41" t="str">
        <x:v>Chỉ nhánh đã kiểm chứng được tính.</x:v>
      </x:c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3" t="str">
        <x:v>VERIFIED METHOD</x:v>
      </x:c>
      <x:c r="B11" s="41" t="str">
        <x:v>Phương pháp đã xác minh nhưng cần mô hình ngoài.</x:v>
      </x:c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3" t="str">
        <x:v>REVIEW / INDEXED</x:v>
      </x:c>
      <x:c r="B12" s="41" t="str">
        <x:v>Chỉ tra cứu/giải thích, không tự tính.</x:v>
      </x:c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3" t="str">
        <x:v>Nguồn</x:v>
      </x:c>
      <x:c r="B13" s="41" t="str">
        <x:v>Mỗi workflow có Điều/Bảng/Công thức/trang/trạng thái.</x:v>
      </x:c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3" t="str">
        <x:v>Image-to-Engineering</x:v>
      </x:c>
      <x:c r="B14" s="41" t="str">
        <x:v>Ảnh → AI đọc → người dùng xác nhận → mới đưa vào tính.</x:v>
      </x:c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3" t="str">
        <x:v>Mục tiêu</x:v>
      </x:c>
      <x:c r="B15" s="41" t="str">
        <x:v>Workbook này là mẫu xuất Excel duy nhất cho HNL Web và EXE.</x:v>
      </x:c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14" hidden="0" customWidth="1"/>
    <x:col min="4" max="4" width="30" hidden="0" customWidth="1"/>
    <x:col min="5" max="5" width="22" hidden="0" customWidth="1"/>
    <x:col min="6" max="6" width="55" hidden="0" customWidth="1"/>
  </x:cols>
  <x:sheetData>
    <x:row r="1" ht="30" customHeight="1">
      <x:c r="A1" s="40" t="str">
        <x:v>01 · TỔNG QUAN HỒ SƠ TÍNH TOÁN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Thông tin</x:v>
      </x:c>
      <x:c r="B3" s="42" t="str">
        <x:v>Giá trị</x:v>
      </x:c>
      <x:c r="C3" s="42" t="str">
        <x:v>Đơn vị</x:v>
      </x:c>
      <x:c r="D3" s="42" t="str">
        <x:v>Nguồn</x:v>
      </x:c>
      <x:c r="E3" s="42" t="str">
        <x:v>Trạng thái</x:v>
      </x:c>
      <x:c r="F3" s="42" t="str">
        <x:v>Ghi chú</x:v>
      </x:c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Tên công trình</x:v>
      </x:c>
      <x:c r="B4" s="50" t="str"/>
      <x:c r="C4" s="41" t="str"/>
      <x:c r="D4" s="41" t="str"/>
      <x:c r="E4" s="41" t="str">
        <x:v>INPUT</x:v>
      </x:c>
      <x:c r="F4" s="41" t="str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Hạng mục</x:v>
      </x:c>
      <x:c r="B5" s="50" t="str"/>
      <x:c r="C5" s="41" t="str"/>
      <x:c r="D5" s="41" t="str"/>
      <x:c r="E5" s="41" t="str">
        <x:v>INPUT</x:v>
      </x:c>
      <x:c r="F5" s="41" t="str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Người tính</x:v>
      </x:c>
      <x:c r="B6" s="50" t="str"/>
      <x:c r="C6" s="41" t="str"/>
      <x:c r="D6" s="41" t="str"/>
      <x:c r="E6" s="41" t="str">
        <x:v>INPUT</x:v>
      </x:c>
      <x:c r="F6" s="41" t="str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Ngày tính</x:v>
      </x:c>
      <x:c r="B7" s="50" t="str"/>
      <x:c r="C7" s="41" t="str"/>
      <x:c r="D7" s="41" t="str"/>
      <x:c r="E7" s="41" t="str">
        <x:v>INPUT</x:v>
      </x:c>
      <x:c r="F7" s="41" t="str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Nguồn đầu vào</x:v>
      </x:c>
      <x:c r="B8" s="41" t="str">
        <x:v>Nhập tay / Ảnh / PDF</x:v>
      </x:c>
      <x:c r="C8" s="41" t="str"/>
      <x:c r="D8" s="41" t="str">
        <x:v>HNL</x:v>
      </x:c>
      <x:c r="E8" s="41" t="str">
        <x:v>AUTO</x:v>
      </x:c>
      <x:c r="F8" s="41" t="str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>
        <x:v>Phiên bản</x:v>
      </x:c>
      <x:c r="B9" s="41" t="str">
        <x:v>v1.25.0</x:v>
      </x:c>
      <x:c r="C9" s="41" t="str"/>
      <x:c r="D9" s="41" t="str">
        <x:v>HNL</x:v>
      </x:c>
      <x:c r="E9" s="41" t="str">
        <x:v>VERIFIED</x:v>
      </x:c>
      <x:c r="F9" s="41" t="str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 t="str">
        <x:v>TCVN 7888</x:v>
      </x:c>
      <x:c r="B10" s="41" t="str">
        <x:v>Đã tích hợp toàn workflow Verified</x:v>
      </x:c>
      <x:c r="C10" s="41" t="str"/>
      <x:c r="D10" s="41" t="str">
        <x:v>Code Pack</x:v>
      </x:c>
      <x:c r="E10" s="41" t="str">
        <x:v>VERIFIED</x:v>
      </x:c>
      <x:c r="F10" s="41" t="str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 t="str">
        <x:v>TCVN 10304</x:v>
      </x:c>
      <x:c r="B11" s="41" t="str">
        <x:v>Đã tích hợp workflow Verified/Method</x:v>
      </x:c>
      <x:c r="C11" s="41" t="str"/>
      <x:c r="D11" s="41" t="str">
        <x:v>Code Pack</x:v>
      </x:c>
      <x:c r="E11" s="41" t="str">
        <x:v>VERIFIED/METHOD</x:v>
      </x:c>
      <x:c r="F11" s="41" t="str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 t="str">
        <x:v>TCVN 5574</x:v>
      </x:c>
      <x:c r="B12" s="41" t="str">
        <x:v>Đã tích hợp workflow Verified/Branch/Partial</x:v>
      </x:c>
      <x:c r="C12" s="41" t="str"/>
      <x:c r="D12" s="41" t="str">
        <x:v>Code Pack</x:v>
      </x:c>
      <x:c r="E12" s="41" t="str">
        <x:v>VERIFIED/BRANCH</x:v>
      </x:c>
      <x:c r="F12" s="41" t="str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55" hidden="0" customWidth="1"/>
    <x:col min="5" max="5" width="42" hidden="0" customWidth="1"/>
    <x:col min="6" max="6" width="24" hidden="0" customWidth="1"/>
    <x:col min="7" max="7" width="26" hidden="0" customWidth="1"/>
    <x:col min="8" max="8" width="18" hidden="0" customWidth="1"/>
    <x:col min="10" max="10" width="22" hidden="0" customWidth="1"/>
    <x:col min="11" max="11" width="16" hidden="0" customWidth="1"/>
  </x:cols>
  <x:sheetData>
    <x:row r="1" ht="30" customHeight="1">
      <x:c r="A1" s="40" t="str">
        <x:v>10 · TCVN 7888:2014 – PC / PHC / NPH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Thông số</x:v>
      </x:c>
      <x:c r="B3" s="42" t="str">
        <x:v>Giá trị</x:v>
      </x:c>
      <x:c r="C3" s="42" t="str">
        <x:v>Đơn vị</x:v>
      </x:c>
      <x:c r="D3" s="42" t="str">
        <x:v>Diễn giải</x:v>
      </x:c>
      <x:c r="E3" s="42" t="str">
        <x:v>Công thức/Tra</x:v>
      </x:c>
      <x:c r="F3" s="42" t="str">
        <x:v>Kiểm tra</x:v>
      </x:c>
      <x:c r="G3" s="42" t="str">
        <x:v>Nguồn</x:v>
      </x:c>
      <x:c r="H3" s="42" t="str">
        <x:v>Trạng thái</x:v>
      </x:c>
      <x:c r="I3" s="41"/>
      <x:c r="J3" s="42" t="str">
        <x:v>Chỉ tiêu</x:v>
      </x:c>
      <x:c r="K3" s="42" t="str">
        <x:v>kN</x:v>
      </x:c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Loại cọc</x:v>
      </x:c>
      <x:c r="B4" s="50" t="str">
        <x:v>PHC</x:v>
      </x:c>
      <x:c r="C4" s="41" t="str">
        <x:v>-</x:v>
      </x:c>
      <x:c r="D4" s="41" t="str">
        <x:v>PC / PHC / NPH</x:v>
      </x:c>
      <x:c r="E4" s="41" t="str">
        <x:v>Nhập</x:v>
      </x:c>
      <x:c r="F4" s="41" t="str"/>
      <x:c r="G4" s="41" t="str">
        <x:v>TCVN 7888</x:v>
      </x:c>
      <x:c r="H4" s="41" t="str">
        <x:v>INPUT</x:v>
      </x:c>
      <x:c r="I4" s="41"/>
      <x:c r="J4" s="41" t="str">
        <x:v>Ra dài hạn</x:v>
      </x:c>
      <x:c r="K4" s="41" t="n">
        <x:f>B13</x:f>
        <x:v>51.49967957134704</x:v>
      </x:c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Cấp tải</x:v>
      </x:c>
      <x:c r="B5" s="50" t="str">
        <x:v>B</x:v>
      </x:c>
      <x:c r="C5" s="41" t="str">
        <x:v>-</x:v>
      </x:c>
      <x:c r="D5" s="41" t="str">
        <x:v>A/AB/B/C; NPH không có AB</x:v>
      </x:c>
      <x:c r="E5" s="41" t="str">
        <x:v>Nhập</x:v>
      </x:c>
      <x:c r="F5" s="41" t="str"/>
      <x:c r="G5" s="41" t="str">
        <x:v>Bảng 1/2</x:v>
      </x:c>
      <x:c r="H5" s="41" t="str">
        <x:v>INPUT</x:v>
      </x:c>
      <x:c r="I5" s="41"/>
      <x:c r="J5" s="41" t="str">
        <x:v>Ra ngắn hạn</x:v>
      </x:c>
      <x:c r="K5" s="41" t="n">
        <x:f>B14</x:f>
        <x:v>102.99935914269408</x:v>
      </x:c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D</x:v>
      </x:c>
      <x:c r="B6" s="50" t="n">
        <x:v>600</x:v>
      </x:c>
      <x:c r="C6" s="41" t="str">
        <x:v>mm</x:v>
      </x:c>
      <x:c r="D6" s="41" t="str">
        <x:v>Đường kính ngoài</x:v>
      </x:c>
      <x:c r="E6" s="41" t="str">
        <x:v>Nhập</x:v>
      </x:c>
      <x:c r="F6" s="41" t="str"/>
      <x:c r="G6" s="41" t="str">
        <x:v>Bảng 1/2</x:v>
      </x:c>
      <x:c r="H6" s="41" t="str">
        <x:v>INPUT</x:v>
      </x:c>
      <x:c r="I6" s="41"/>
      <x:c r="J6" s="41" t="str">
        <x:v>Pmax</x:v>
      </x:c>
      <x:c r="K6" s="41" t="n">
        <x:f>B15</x:f>
        <x:v>82.39948731415527</x:v>
      </x:c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t</x:v>
      </x:c>
      <x:c r="B7" s="50" t="n">
        <x:v>90</x:v>
      </x:c>
      <x:c r="C7" s="41" t="str">
        <x:v>mm</x:v>
      </x:c>
      <x:c r="D7" s="41" t="str">
        <x:v>Chiều dày thành cọc</x:v>
      </x:c>
      <x:c r="E7" s="41" t="str">
        <x:v>Tra bảng</x:v>
      </x:c>
      <x:c r="F7" s="41" t="str"/>
      <x:c r="G7" s="41" t="str">
        <x:v>Bảng 1/2</x:v>
      </x:c>
      <x:c r="H7" s="41" t="str">
        <x:v>INPUT/AUTO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L</x:v>
      </x:c>
      <x:c r="B8" s="50" t="n">
        <x:v>20</x:v>
      </x:c>
      <x:c r="C8" s="41" t="str">
        <x:v>m</x:v>
      </x:c>
      <x:c r="D8" s="41" t="str">
        <x:v>Chiều dài cọc</x:v>
      </x:c>
      <x:c r="E8" s="41" t="str">
        <x:v>Nhập</x:v>
      </x:c>
      <x:c r="F8" s="41" t="str"/>
      <x:c r="G8" s="41" t="str">
        <x:v>Bảng 1/2</x:v>
      </x:c>
      <x:c r="H8" s="41" t="str">
        <x:v>INPUT</x:v>
      </x:c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>
        <x:v>σcu</x:v>
      </x:c>
      <x:c r="B9" s="50" t="n">
        <x:v>80</x:v>
      </x:c>
      <x:c r="C9" s="41" t="str">
        <x:v>MPa</x:v>
      </x:c>
      <x:c r="D9" s="41" t="str">
        <x:v>Cường độ bê tông</x:v>
      </x:c>
      <x:c r="E9" s="41" t="str">
        <x:v>Nhập</x:v>
      </x:c>
      <x:c r="F9" s="41" t="str">
        <x:v>PC≥60; PHC/NPH≥80</x:v>
      </x:c>
      <x:c r="G9" s="41" t="str">
        <x:v>Điều 6.2</x:v>
      </x:c>
      <x:c r="H9" s="41" t="str">
        <x:v>INPUT</x:v>
      </x:c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2" t="str">
        <x:v>Bước</x:v>
      </x:c>
      <x:c r="B11" s="42" t="str">
        <x:v>Kết quả</x:v>
      </x:c>
      <x:c r="C11" s="42" t="str">
        <x:v>Đơn vị</x:v>
      </x:c>
      <x:c r="D11" s="42" t="str">
        <x:v>Diễn giải</x:v>
      </x:c>
      <x:c r="E11" s="42" t="str">
        <x:v>Công thức</x:v>
      </x:c>
      <x:c r="F11" s="42" t="str">
        <x:v>Kiểm tra</x:v>
      </x:c>
      <x:c r="G11" s="42" t="str">
        <x:v>Nguồn</x:v>
      </x:c>
      <x:c r="H11" s="42" t="str">
        <x:v>Trạng thái</x:v>
      </x:c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 t="str">
        <x:v>A0</x:v>
      </x:c>
      <x:c r="B12" s="56" t="n">
        <x:f>PI()/4*(B6^2-(B6-2*B7)^2)</x:f>
        <x:v>144199.1027997715</x:v>
      </x:c>
      <x:c r="C12" s="41" t="str">
        <x:v>mm²</x:v>
      </x:c>
      <x:c r="D12" s="41" t="str">
        <x:v>Diện tích vành khuyên</x:v>
      </x:c>
      <x:c r="E12" s="41" t="str"/>
      <x:c r="F12" s="41" t="str"/>
      <x:c r="G12" s="41" t="str">
        <x:v>Hình học</x:v>
      </x:c>
      <x:c r="H12" s="41" t="str">
        <x:v>FORMULA</x:v>
      </x:c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 t="str">
        <x:v>Ra dài hạn</x:v>
      </x:c>
      <x:c r="B13" s="57" t="n">
        <x:f>IF(B4="PC",0.25*(B9-4)*B12/1000,(B9/3.5-B7/4)*B12/1000)</x:f>
        <x:v>51.49967957134704</x:v>
      </x:c>
      <x:c r="C13" s="41" t="str">
        <x:v>kN</x:v>
      </x:c>
      <x:c r="D13" s="41" t="str">
        <x:v>PC: B.2; PHC/NPH: B.4</x:v>
      </x:c>
      <x:c r="E13" s="41" t="str"/>
      <x:c r="F13" s="41" t="str"/>
      <x:c r="G13" s="41" t="str">
        <x:v>Phụ lục B</x:v>
      </x:c>
      <x:c r="H13" s="41" t="str">
        <x:v>VERIFIED</x:v>
      </x:c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 t="str">
        <x:v>Ra ngắn hạn</x:v>
      </x:c>
      <x:c r="B14" s="57" t="n">
        <x:f>2*B13</x:f>
        <x:v>102.99935914269408</x:v>
      </x:c>
      <x:c r="C14" s="41" t="str">
        <x:v>kN</x:v>
      </x:c>
      <x:c r="D14" s="41" t="str">
        <x:v>2× dài hạn</x:v>
      </x:c>
      <x:c r="E14" s="41" t="str"/>
      <x:c r="F14" s="41" t="str"/>
      <x:c r="G14" s="41" t="str">
        <x:v>B.3/B.5</x:v>
      </x:c>
      <x:c r="H14" s="41" t="str">
        <x:v>VERIFIED</x:v>
      </x:c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 t="str">
        <x:v>Pmax</x:v>
      </x:c>
      <x:c r="B15" s="57" t="n">
        <x:f>0.8*B14</x:f>
        <x:v>82.39948731415527</x:v>
      </x:c>
      <x:c r="C15" s="41" t="str">
        <x:v>kN</x:v>
      </x:c>
      <x:c r="D15" s="41" t="str">
        <x:v>0,8× ngắn hạn</x:v>
      </x:c>
      <x:c r="E15" s="41" t="str"/>
      <x:c r="F15" s="41" t="str"/>
      <x:c r="G15" s="41" t="str">
        <x:v>Phụ lục B</x:v>
      </x:c>
      <x:c r="H15" s="41" t="str">
        <x:v>VERIFIED</x:v>
      </x:c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 t="str">
        <x:v>Kiểm σcu</x:v>
      </x:c>
      <x:c r="B16" s="56" t="str">
        <x:f>IF(OR(AND(B4="PC",B9&gt;=60),AND(OR(B4="PHC",B4="NPH"),B9&gt;=80)),"ĐẠT","KHÔNG ĐẠT")</x:f>
        <x:v>ĐẠT</x:v>
      </x:c>
      <x:c r="C16" s="41" t="str"/>
      <x:c r="D16" s="41" t="str">
        <x:v>Khóa nếu dưới ngưỡng</x:v>
      </x:c>
      <x:c r="E16" s="41" t="str"/>
      <x:c r="F16" s="41" t="str"/>
      <x:c r="G16" s="41" t="str">
        <x:v>6.2</x:v>
      </x:c>
      <x:c r="H16" s="41" t="str">
        <x:v>SAFE-GATE</x:v>
      </x:c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 t="str">
        <x:v>Kiểm NPH-AB</x:v>
      </x:c>
      <x:c r="B17" s="56" t="str">
        <x:f>IF(AND(B4="NPH",B5="AB"),"KHÔNG HỢP LỆ","OK")</x:f>
        <x:v>OK</x:v>
      </x:c>
      <x:c r="C17" s="41" t="str"/>
      <x:c r="D17" s="41" t="str">
        <x:v>NPH không có AB</x:v>
      </x:c>
      <x:c r="E17" s="41" t="str"/>
      <x:c r="F17" s="41" t="str"/>
      <x:c r="G17" s="41" t="str">
        <x:v>4.2/Bảng 2</x:v>
      </x:c>
      <x:c r="H17" s="41" t="str">
        <x:v>SAFE-GATE</x:v>
      </x:c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N1"/>
  </x:mergeCells>
  <x:dataValidations count="2">
    <x:dataValidation type="list" sqref="B4">
      <x:formula1>"PC,PHC,NPH"</x:formula1>
    </x:dataValidation>
    <x:dataValidation type="list" sqref="B5">
      <x:formula1>"A,AB,B,C"</x:formula1>
    </x:dataValidation>
  </x:dataValidations>
  <x:pageMargins left="0.7" right="0.7" top="0.75" bottom="0.75" header="0.3" footer="0.3"/>
  <x:drawing xmlns:r="http://schemas.openxmlformats.org/officeDocument/2006/relationships" r:id="R470dd40f96144aed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3" hidden="0" customWidth="1"/>
    <x:col min="5" max="5" width="20" hidden="0" customWidth="1"/>
    <x:col min="6" max="6" width="12" hidden="0" customWidth="1"/>
    <x:col min="7" max="7" width="14" hidden="0" customWidth="1"/>
    <x:col min="8" max="8" width="14" hidden="0" customWidth="1"/>
    <x:col min="9" max="9" width="28" hidden="0" customWidth="1"/>
    <x:col min="10" max="10" width="18" hidden="0" customWidth="1"/>
  </x:cols>
  <x:sheetData>
    <x:row r="1" ht="30" customHeight="1">
      <x:c r="A1" s="40" t="str">
        <x:v>20 · TCVN 10304:2025 – CỌC &amp; ĐỊA CHẤT NHIỀU LỚP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Thông số/Lớp</x:v>
      </x:c>
      <x:c r="B3" s="42" t="str">
        <x:v>Từ m</x:v>
      </x:c>
      <x:c r="C3" s="42" t="str">
        <x:v>Đến m</x:v>
      </x:c>
      <x:c r="D3" s="42" t="str">
        <x:v>h m</x:v>
      </x:c>
      <x:c r="E3" s="42" t="str">
        <x:v>Loại đất</x:v>
      </x:c>
      <x:c r="F3" s="42" t="str">
        <x:v>IL</x:v>
      </x:c>
      <x:c r="G3" s="42" t="str">
        <x:v>N-SPT</x:v>
      </x:c>
      <x:c r="H3" s="42" t="str">
        <x:v>qc</x:v>
      </x:c>
      <x:c r="I3" s="42" t="str">
        <x:v>Nguồn</x:v>
      </x:c>
      <x:c r="J3" s="42" t="str">
        <x:v>Trạng thái</x:v>
      </x:c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Hình cọc</x:v>
      </x:c>
      <x:c r="B4" s="50" t="n">
        <x:v>400</x:v>
      </x:c>
      <x:c r="C4" s="50" t="str">
        <x:v>mm</x:v>
      </x:c>
      <x:c r="D4" s="50" t="str"/>
      <x:c r="E4" s="50" t="str">
        <x:v>Vuông</x:v>
      </x:c>
      <x:c r="F4" s="50" t="str"/>
      <x:c r="G4" s="50" t="str"/>
      <x:c r="H4" s="50" t="str"/>
      <x:c r="I4" s="41" t="str">
        <x:v>Đề bài</x:v>
      </x:c>
      <x:c r="J4" s="41" t="str">
        <x:v>INPUT</x:v>
      </x:c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L cọc</x:v>
      </x:c>
      <x:c r="B5" s="50" t="n">
        <x:v>12</x:v>
      </x:c>
      <x:c r="C5" s="50" t="str">
        <x:v>m</x:v>
      </x:c>
      <x:c r="D5" s="50" t="str"/>
      <x:c r="E5" s="50" t="str"/>
      <x:c r="F5" s="50" t="str"/>
      <x:c r="G5" s="50" t="str"/>
      <x:c r="H5" s="50" t="str"/>
      <x:c r="I5" s="41" t="str">
        <x:v>Đề bài</x:v>
      </x:c>
      <x:c r="J5" s="41" t="str">
        <x:v>INPUT</x:v>
      </x:c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Thi công</x:v>
      </x:c>
      <x:c r="B6" s="50" t="str"/>
      <x:c r="C6" s="50" t="str"/>
      <x:c r="D6" s="50" t="str"/>
      <x:c r="E6" s="50" t="str">
        <x:v>Đóng</x:v>
      </x:c>
      <x:c r="F6" s="50" t="str"/>
      <x:c r="G6" s="50" t="str"/>
      <x:c r="H6" s="50" t="str"/>
      <x:c r="I6" s="41" t="str">
        <x:v>Đề bài</x:v>
      </x:c>
      <x:c r="J6" s="41" t="str">
        <x:v>INPUT</x:v>
      </x:c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Lớp 1</x:v>
      </x:c>
      <x:c r="B7" s="50" t="n">
        <x:v>0</x:v>
      </x:c>
      <x:c r="C7" s="50" t="n">
        <x:v>3</x:v>
      </x:c>
      <x:c r="D7" s="50" t="n">
        <x:v>3</x:v>
      </x:c>
      <x:c r="E7" s="50" t="str">
        <x:v>Sét</x:v>
      </x:c>
      <x:c r="F7" s="50" t="n">
        <x:v>0.7</x:v>
      </x:c>
      <x:c r="G7" s="50" t="str"/>
      <x:c r="H7" s="50" t="str"/>
      <x:c r="I7" s="41" t="str">
        <x:v>Bảng 3</x:v>
      </x:c>
      <x:c r="J7" s="41" t="str">
        <x:v>INPUT</x:v>
      </x:c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Lớp 2</x:v>
      </x:c>
      <x:c r="B8" s="50" t="n">
        <x:v>3</x:v>
      </x:c>
      <x:c r="C8" s="50" t="n">
        <x:v>8</x:v>
      </x:c>
      <x:c r="D8" s="50" t="n">
        <x:v>5</x:v>
      </x:c>
      <x:c r="E8" s="50" t="str">
        <x:v>Sét</x:v>
      </x:c>
      <x:c r="F8" s="50" t="n">
        <x:v>0.5</x:v>
      </x:c>
      <x:c r="G8" s="50" t="str"/>
      <x:c r="H8" s="50" t="str"/>
      <x:c r="I8" s="41" t="str">
        <x:v>Bảng 3</x:v>
      </x:c>
      <x:c r="J8" s="41" t="str">
        <x:v>INPUT</x:v>
      </x:c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>
        <x:v>Lớp 3</x:v>
      </x:c>
      <x:c r="B9" s="50" t="n">
        <x:v>8</x:v>
      </x:c>
      <x:c r="C9" s="50" t="n">
        <x:v>15</x:v>
      </x:c>
      <x:c r="D9" s="50" t="n">
        <x:v>7</x:v>
      </x:c>
      <x:c r="E9" s="50" t="str">
        <x:v>Sét</x:v>
      </x:c>
      <x:c r="F9" s="50" t="n">
        <x:v>0.3</x:v>
      </x:c>
      <x:c r="G9" s="50" t="str"/>
      <x:c r="H9" s="50" t="str"/>
      <x:c r="I9" s="41" t="str">
        <x:v>Bảng 3</x:v>
      </x:c>
      <x:c r="J9" s="41" t="str">
        <x:v>INPUT</x:v>
      </x:c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2" t="str">
        <x:v>Giá trị hình học</x:v>
      </x:c>
      <x:c r="B12" s="42" t="str">
        <x:v>Kết quả</x:v>
      </x:c>
      <x:c r="C12" s="42" t="str">
        <x:v>Đơn vị</x:v>
      </x:c>
      <x:c r="D12" s="42" t="str">
        <x:v>Diễn giải</x:v>
      </x:c>
      <x:c r="E12" s="42" t="str">
        <x:v>Nguồn</x:v>
      </x:c>
      <x:c r="F12" s="42" t="str"/>
      <x:c r="G12" s="42" t="str"/>
      <x:c r="H12" s="42" t="str"/>
      <x:c r="I12" s="42" t="str"/>
      <x:c r="J12" s="42" t="str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 t="str">
        <x:v>A</x:v>
      </x:c>
      <x:c r="B13" s="41" t="n">
        <x:v>0.16</x:v>
      </x:c>
      <x:c r="C13" s="41" t="str">
        <x:v>m²</x:v>
      </x:c>
      <x:c r="D13" s="41" t="str">
        <x:v>Cọc vuông 400×400</x:v>
      </x:c>
      <x:c r="E13" s="41" t="str">
        <x:v>Hình học</x:v>
      </x:c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 t="str">
        <x:v>u</x:v>
      </x:c>
      <x:c r="B14" s="41" t="n">
        <x:v>1.6</x:v>
      </x:c>
      <x:c r="C14" s="41" t="str">
        <x:v>m</x:v>
      </x:c>
      <x:c r="D14" s="41" t="str">
        <x:v>Chu vi 4×0,4</x:v>
      </x:c>
      <x:c r="E14" s="41" t="str">
        <x:v>Hình học</x:v>
      </x:c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13" hidden="0" customWidth="1"/>
    <x:col min="5" max="5" width="54" hidden="0" customWidth="1"/>
    <x:col min="6" max="6" width="20" hidden="0" customWidth="1"/>
    <x:col min="7" max="7" width="14" hidden="0" customWidth="1"/>
    <x:col min="8" max="8" width="30" hidden="0" customWidth="1"/>
    <x:col min="9" max="9" width="18" hidden="0" customWidth="1"/>
    <x:col min="10" max="10" width="42" hidden="0" customWidth="1"/>
    <x:col min="12" max="12" width="18" hidden="0" customWidth="1"/>
    <x:col min="13" max="13" width="16" hidden="0" customWidth="1"/>
  </x:cols>
  <x:sheetData>
    <x:row r="1" ht="30" customHeight="1">
      <x:c r="A1" s="40" t="str">
        <x:v>21 · TCVN 10304 – CỌC CHỐNG / ĐÓNG / NHỒI / VÍT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Workflow</x:v>
      </x:c>
      <x:c r="B3" s="42" t="str">
        <x:v>Input chính</x:v>
      </x:c>
      <x:c r="C3" s="42" t="str">
        <x:v>Giá trị</x:v>
      </x:c>
      <x:c r="D3" s="42" t="str">
        <x:v>Đơn vị</x:v>
      </x:c>
      <x:c r="E3" s="42" t="str">
        <x:v>Công thức/Logic</x:v>
      </x:c>
      <x:c r="F3" s="42" t="str">
        <x:v>Kết quả</x:v>
      </x:c>
      <x:c r="G3" s="42" t="str">
        <x:v>Đơn vị KQ</x:v>
      </x:c>
      <x:c r="H3" s="42" t="str">
        <x:v>Nguồn</x:v>
      </x:c>
      <x:c r="I3" s="42" t="str">
        <x:v>Trạng thái</x:v>
      </x:c>
      <x:c r="J3" s="42" t="str">
        <x:v>Ghi chú</x:v>
      </x:c>
      <x:c r="K3" s="41"/>
      <x:c r="L3" s="41" t="str">
        <x:v>Thông số</x:v>
      </x:c>
      <x:c r="M3" s="41" t="str">
        <x:v>Giá trị</x:v>
      </x:c>
      <x:c r="N3" s="41"/>
      <x:c r="O3" s="41"/>
      <x:c r="P3" s="41"/>
      <x:c r="Q3" s="41"/>
      <x:c r="R3" s="41"/>
      <x:c r="S3" s="41"/>
      <x:c r="T3" s="41"/>
    </x:row>
    <x:row r="4">
      <x:c r="A4" s="41" t="str">
        <x:v>Cọc chống</x:v>
      </x:c>
      <x:c r="B4" s="41" t="str">
        <x:v>qb</x:v>
      </x:c>
      <x:c r="C4" s="41" t="n">
        <x:v>5000</x:v>
      </x:c>
      <x:c r="D4" s="41" t="str">
        <x:v>kPa</x:v>
      </x:c>
      <x:c r="E4" s="41" t="str">
        <x:v>Rk=γc·qb·A</x:v>
      </x:c>
      <x:c r="F4" s="56" t="n">
        <x:f>$M$6*C4*$M$4</x:f>
        <x:v>800</x:v>
      </x:c>
      <x:c r="G4" s="41" t="str">
        <x:v>kN</x:v>
      </x:c>
      <x:c r="H4" s="41" t="str">
        <x:v>CT (5)–(8)</x:v>
      </x:c>
      <x:c r="I4" s="41" t="str">
        <x:v>VERIFIED</x:v>
      </x:c>
      <x:c r="J4" s="41" t="str"/>
      <x:c r="K4" s="41"/>
      <x:c r="L4" s="41" t="str">
        <x:v>A</x:v>
      </x:c>
      <x:c r="M4" s="50" t="n">
        <x:v>0.16</x:v>
      </x:c>
      <x:c r="N4" s="41"/>
      <x:c r="O4" s="41"/>
      <x:c r="P4" s="41"/>
      <x:c r="Q4" s="41"/>
      <x:c r="R4" s="41"/>
      <x:c r="S4" s="41"/>
      <x:c r="T4" s="41"/>
    </x:row>
    <x:row r="5">
      <x:c r="A5" s="41" t="str">
        <x:v>Cọc đóng/ép</x:v>
      </x:c>
      <x:c r="B5" s="41" t="str">
        <x:v>qb</x:v>
      </x:c>
      <x:c r="C5" s="41" t="n">
        <x:v>3700</x:v>
      </x:c>
      <x:c r="D5" s="41" t="str">
        <x:v>kPa</x:v>
      </x:c>
      <x:c r="E5" s="41" t="str">
        <x:v>Rk=γc(γRR·qb·A+uΣfi·hi)</x:v>
      </x:c>
      <x:c r="F5" s="56" t="n">
        <x:f>$M$6*($M$7*C5*$M$4+$M$5*($M$12*$M$13+$M$14*8))</x:f>
        <x:v>1264</x:v>
      </x:c>
      <x:c r="G5" s="41" t="str">
        <x:v>kN</x:v>
      </x:c>
      <x:c r="H5" s="41" t="str">
        <x:v>CT (9), Bảng 2–4</x:v>
      </x:c>
      <x:c r="I5" s="41" t="str">
        <x:v>VERIFIED</x:v>
      </x:c>
      <x:c r="J5" s="41" t="str"/>
      <x:c r="K5" s="41"/>
      <x:c r="L5" s="41" t="str">
        <x:v>u</x:v>
      </x:c>
      <x:c r="M5" s="50" t="n">
        <x:v>1.6</x:v>
      </x:c>
      <x:c r="N5" s="41"/>
      <x:c r="O5" s="41"/>
      <x:c r="P5" s="41"/>
      <x:c r="Q5" s="41"/>
      <x:c r="R5" s="41"/>
      <x:c r="S5" s="41"/>
      <x:c r="T5" s="41"/>
    </x:row>
    <x:row r="6">
      <x:c r="A6" s="41" t="str">
        <x:v>Cọc nhồi/khoan</x:v>
      </x:c>
      <x:c r="B6" s="41" t="str">
        <x:v>qb</x:v>
      </x:c>
      <x:c r="C6" s="41" t="n">
        <x:v>1500</x:v>
      </x:c>
      <x:c r="D6" s="41" t="str">
        <x:v>kPa</x:v>
      </x:c>
      <x:c r="E6" s="41" t="str">
        <x:v>Rk=γc(γRR·qb·A+γRf·uΣfi·hi)</x:v>
      </x:c>
      <x:c r="F6" s="56" t="n">
        <x:f>$M$6*($M$7*C6*$M$4+$M$8*$M$5*$M$9)</x:f>
        <x:v>777.6000000000001</x:v>
      </x:c>
      <x:c r="G6" s="41" t="str">
        <x:v>kN</x:v>
      </x:c>
      <x:c r="H6" s="41" t="str">
        <x:v>CT (13)</x:v>
      </x:c>
      <x:c r="I6" s="41" t="str">
        <x:v>VERIFIED</x:v>
      </x:c>
      <x:c r="J6" s="41" t="str"/>
      <x:c r="K6" s="41"/>
      <x:c r="L6" s="41" t="str">
        <x:v>γc</x:v>
      </x:c>
      <x:c r="M6" s="50" t="n">
        <x:v>1</x:v>
      </x:c>
      <x:c r="N6" s="41"/>
      <x:c r="O6" s="41"/>
      <x:c r="P6" s="41"/>
      <x:c r="Q6" s="41"/>
      <x:c r="R6" s="41"/>
      <x:c r="S6" s="41"/>
      <x:c r="T6" s="41"/>
    </x:row>
    <x:row r="7">
      <x:c r="A7" s="41" t="str">
        <x:v>Cọc vít</x:v>
      </x:c>
      <x:c r="B7" s="41" t="str">
        <x:v>R0/Rf</x:v>
      </x:c>
      <x:c r="C7" s="41" t="str"/>
      <x:c r="D7" s="41" t="str">
        <x:v>kN</x:v>
      </x:c>
      <x:c r="E7" s="41" t="str">
        <x:v>Rk=γc(γRR·R0+γRf·Rf)</x:v>
      </x:c>
      <x:c r="F7" s="56" t="n">
        <x:f>$M$6*($M$7*$M$10+$M$8*$M$11)</x:f>
        <x:v>1920</x:v>
      </x:c>
      <x:c r="G7" s="41" t="str">
        <x:v>kN</x:v>
      </x:c>
      <x:c r="H7" s="41" t="str">
        <x:v>CT (17)–(19)</x:v>
      </x:c>
      <x:c r="I7" s="41" t="str">
        <x:v>VERIFIED</x:v>
      </x:c>
      <x:c r="J7" s="41" t="str"/>
      <x:c r="K7" s="41"/>
      <x:c r="L7" s="41" t="str">
        <x:v>γRR</x:v>
      </x:c>
      <x:c r="M7" s="50" t="n">
        <x:v>1</x:v>
      </x:c>
      <x:c r="N7" s="41"/>
      <x:c r="O7" s="41"/>
      <x:c r="P7" s="41"/>
      <x:c r="Q7" s="41"/>
      <x:c r="R7" s="41"/>
      <x:c r="S7" s="41"/>
      <x:c r="T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 t="str">
        <x:v>γRf</x:v>
      </x:c>
      <x:c r="M8" s="50" t="n">
        <x:v>0.8</x:v>
      </x:c>
      <x:c r="N8" s="41"/>
      <x:c r="O8" s="41"/>
      <x:c r="P8" s="41"/>
      <x:c r="Q8" s="41"/>
      <x:c r="R8" s="41"/>
      <x:c r="S8" s="41"/>
      <x:c r="T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 t="str">
        <x:v>Σfi·hi</x:v>
      </x:c>
      <x:c r="M9" s="50" t="n">
        <x:v>420</x:v>
      </x:c>
      <x:c r="N9" s="41"/>
      <x:c r="O9" s="41"/>
      <x:c r="P9" s="41"/>
      <x:c r="Q9" s="41"/>
      <x:c r="R9" s="41"/>
      <x:c r="S9" s="41"/>
      <x:c r="T9" s="41"/>
    </x:row>
    <x:row r="10">
      <x:c r="A10" s="42" t="str">
        <x:v>Cọc đóng – thành phần</x:v>
      </x:c>
      <x:c r="B10" s="42" t="str">
        <x:v>kN</x:v>
      </x:c>
      <x:c r="C10" s="41"/>
      <x:c r="D10" s="41"/>
      <x:c r="E10" s="41"/>
      <x:c r="F10" s="41"/>
      <x:c r="G10" s="41"/>
      <x:c r="H10" s="41"/>
      <x:c r="I10" s="41"/>
      <x:c r="J10" s="41"/>
      <x:c r="K10" s="41"/>
      <x:c r="L10" s="41" t="str">
        <x:v>R0</x:v>
      </x:c>
      <x:c r="M10" s="50" t="n">
        <x:v>1200</x:v>
      </x:c>
      <x:c r="N10" s="41"/>
      <x:c r="O10" s="41"/>
      <x:c r="P10" s="41"/>
      <x:c r="Q10" s="41"/>
      <x:c r="R10" s="41"/>
      <x:c r="S10" s="41"/>
      <x:c r="T10" s="41"/>
    </x:row>
    <x:row r="11">
      <x:c r="A11" s="41" t="str">
        <x:v>Mũi</x:v>
      </x:c>
      <x:c r="B11" s="41" t="n">
        <x:f>$M$6*$M$7*C5*$M$4</x:f>
        <x:v>592</x:v>
      </x:c>
      <x:c r="C11" s="41"/>
      <x:c r="D11" s="41"/>
      <x:c r="E11" s="41"/>
      <x:c r="F11" s="41"/>
      <x:c r="G11" s="41"/>
      <x:c r="H11" s="41"/>
      <x:c r="I11" s="41"/>
      <x:c r="J11" s="41"/>
      <x:c r="K11" s="41"/>
      <x:c r="L11" s="41" t="str">
        <x:v>Rf</x:v>
      </x:c>
      <x:c r="M11" s="50" t="n">
        <x:v>900</x:v>
      </x:c>
      <x:c r="N11" s="41"/>
      <x:c r="O11" s="41"/>
      <x:c r="P11" s="41"/>
      <x:c r="Q11" s="41"/>
      <x:c r="R11" s="41"/>
      <x:c r="S11" s="41"/>
      <x:c r="T11" s="41"/>
    </x:row>
    <x:row r="12">
      <x:c r="A12" s="41" t="str">
        <x:v>Ma sát lớp 1</x:v>
      </x:c>
      <x:c r="B12" s="41" t="n">
        <x:f>$M$6*$M$5*$M$12*$M$13</x:f>
        <x:v>108.80000000000001</x:v>
      </x:c>
      <x:c r="C12" s="41"/>
      <x:c r="D12" s="41"/>
      <x:c r="E12" s="41"/>
      <x:c r="F12" s="41"/>
      <x:c r="G12" s="41"/>
      <x:c r="H12" s="41"/>
      <x:c r="I12" s="41"/>
      <x:c r="J12" s="41"/>
      <x:c r="K12" s="41"/>
      <x:c r="L12" s="41" t="str">
        <x:v>fi1</x:v>
      </x:c>
      <x:c r="M12" s="50" t="n">
        <x:v>17</x:v>
      </x:c>
      <x:c r="N12" s="41"/>
      <x:c r="O12" s="41"/>
      <x:c r="P12" s="41"/>
      <x:c r="Q12" s="41"/>
      <x:c r="R12" s="41"/>
      <x:c r="S12" s="41"/>
      <x:c r="T12" s="41"/>
    </x:row>
    <x:row r="13">
      <x:c r="A13" s="41" t="str">
        <x:v>Ma sát lớp 2</x:v>
      </x:c>
      <x:c r="B13" s="41" t="n">
        <x:f>$M$6*$M$5*$M$14*8</x:f>
        <x:v>563.2</x:v>
      </x:c>
      <x:c r="C13" s="41"/>
      <x:c r="D13" s="41"/>
      <x:c r="E13" s="41"/>
      <x:c r="F13" s="41"/>
      <x:c r="G13" s="41"/>
      <x:c r="H13" s="41"/>
      <x:c r="I13" s="41"/>
      <x:c r="J13" s="41"/>
      <x:c r="K13" s="41"/>
      <x:c r="L13" s="41" t="str">
        <x:v>h1</x:v>
      </x:c>
      <x:c r="M13" s="50" t="n">
        <x:v>4</x:v>
      </x:c>
      <x:c r="N13" s="41"/>
      <x:c r="O13" s="41"/>
      <x:c r="P13" s="41"/>
      <x:c r="Q13" s="41"/>
      <x:c r="R13" s="41"/>
      <x:c r="S13" s="41"/>
      <x:c r="T13" s="41"/>
    </x:row>
    <x:row r="14">
      <x:c r="A14" s="41" t="str">
        <x:v>Tổng</x:v>
      </x:c>
      <x:c r="B14" s="41" t="n">
        <x:f>SUM(B11:B13)</x:f>
        <x:v>1264</x:v>
      </x:c>
      <x:c r="C14" s="41"/>
      <x:c r="D14" s="41"/>
      <x:c r="E14" s="41"/>
      <x:c r="F14" s="41"/>
      <x:c r="G14" s="41"/>
      <x:c r="H14" s="41"/>
      <x:c r="I14" s="41"/>
      <x:c r="J14" s="41"/>
      <x:c r="K14" s="41"/>
      <x:c r="L14" s="41" t="str">
        <x:v>fi2</x:v>
      </x:c>
      <x:c r="M14" s="50" t="n">
        <x:v>44</x:v>
      </x:c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0d841b8916104718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3" hidden="0" customWidth="1"/>
    <x:col min="5" max="5" width="52" hidden="0" customWidth="1"/>
    <x:col min="6" max="6" width="20" hidden="0" customWidth="1"/>
    <x:col min="7" max="7" width="14" hidden="0" customWidth="1"/>
    <x:col min="8" max="8" width="28" hidden="0" customWidth="1"/>
    <x:col min="9" max="9" width="18" hidden="0" customWidth="1"/>
    <x:col min="10" max="10" width="42" hidden="0" customWidth="1"/>
    <x:col min="12" max="12" width="18" hidden="0" customWidth="1"/>
    <x:col min="13" max="13" width="16" hidden="0" customWidth="1"/>
  </x:cols>
  <x:sheetData>
    <x:row r="1" ht="30" customHeight="1">
      <x:c r="A1" s="40" t="str">
        <x:v>22 · TCVN 10304 – TẢI TĨNH / THỬ ĐỘNG / CPT / SPT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Workflow</x:v>
      </x:c>
      <x:c r="B3" s="42" t="str">
        <x:v>Input</x:v>
      </x:c>
      <x:c r="C3" s="42" t="str">
        <x:v>Giá trị</x:v>
      </x:c>
      <x:c r="D3" s="42" t="str">
        <x:v>Đơn vị</x:v>
      </x:c>
      <x:c r="E3" s="42" t="str">
        <x:v>Công thức</x:v>
      </x:c>
      <x:c r="F3" s="42" t="str">
        <x:v>Kết quả</x:v>
      </x:c>
      <x:c r="G3" s="42" t="str">
        <x:v>Đơn vị</x:v>
      </x:c>
      <x:c r="H3" s="42" t="str">
        <x:v>Nguồn</x:v>
      </x:c>
      <x:c r="I3" s="42" t="str">
        <x:v>Trạng thái</x:v>
      </x:c>
      <x:c r="J3" s="42" t="str">
        <x:v>Ghi chú</x:v>
      </x:c>
      <x:c r="K3" s="41"/>
      <x:c r="L3" s="41" t="str">
        <x:v>Thông số</x:v>
      </x:c>
      <x:c r="M3" s="41" t="str">
        <x:v>Giá trị</x:v>
      </x:c>
      <x:c r="N3" s="41"/>
      <x:c r="O3" s="41"/>
      <x:c r="P3" s="41"/>
      <x:c r="Q3" s="41"/>
      <x:c r="R3" s="41"/>
      <x:c r="S3" s="41"/>
      <x:c r="T3" s="41"/>
    </x:row>
    <x:row r="4">
      <x:c r="A4" s="41" t="str">
        <x:v>Tải tĩnh</x:v>
      </x:c>
      <x:c r="B4" s="41" t="str">
        <x:v>Ru,k</x:v>
      </x:c>
      <x:c r="C4" s="41" t="n">
        <x:v>1200</x:v>
      </x:c>
      <x:c r="D4" s="41" t="str">
        <x:v>kN</x:v>
      </x:c>
      <x:c r="E4" s="41" t="str">
        <x:v>Rk=γcRu,k/γcg1</x:v>
      </x:c>
      <x:c r="F4" s="56" t="n">
        <x:f>$M$4*C4/$M$5</x:f>
        <x:v>1090.9090909090908</x:v>
      </x:c>
      <x:c r="G4" s="41" t="str">
        <x:v>kN</x:v>
      </x:c>
      <x:c r="H4" s="41" t="str">
        <x:v>CT20</x:v>
      </x:c>
      <x:c r="I4" s="41" t="str">
        <x:v>VERIFIED</x:v>
      </x:c>
      <x:c r="J4" s="41" t="str"/>
      <x:c r="K4" s="41"/>
      <x:c r="L4" s="41" t="str">
        <x:v>γc</x:v>
      </x:c>
      <x:c r="M4" s="50" t="n">
        <x:v>1</x:v>
      </x:c>
      <x:c r="N4" s="41"/>
      <x:c r="O4" s="41"/>
      <x:c r="P4" s="41"/>
      <x:c r="Q4" s="41"/>
      <x:c r="R4" s="41"/>
      <x:c r="S4" s="41"/>
      <x:c r="T4" s="41"/>
    </x:row>
    <x:row r="5">
      <x:c r="A5" s="41" t="str">
        <x:v>Thử động</x:v>
      </x:c>
      <x:c r="B5" s="41" t="str">
        <x:v>sa</x:v>
      </x:c>
      <x:c r="C5" s="41" t="n">
        <x:v>0.003</x:v>
      </x:c>
      <x:c r="D5" s="41" t="str">
        <x:v>m</x:v>
      </x:c>
      <x:c r="E5" s="41" t="str">
        <x:v>CT22</x:v>
      </x:c>
      <x:c r="F5" s="56" t="n">
        <x:v>1449.2036196746424</x:v>
      </x:c>
      <x:c r="G5" s="41" t="str">
        <x:v>kN</x:v>
      </x:c>
      <x:c r="H5" s="41" t="str">
        <x:v>CT22</x:v>
      </x:c>
      <x:c r="I5" s="41" t="str">
        <x:v>VERIFIED</x:v>
      </x:c>
      <x:c r="J5" s="41" t="str"/>
      <x:c r="K5" s="41"/>
      <x:c r="L5" s="41" t="str">
        <x:v>γcg1</x:v>
      </x:c>
      <x:c r="M5" s="50" t="n">
        <x:v>1.1</x:v>
      </x:c>
      <x:c r="N5" s="41"/>
      <x:c r="O5" s="41"/>
      <x:c r="P5" s="41"/>
      <x:c r="Q5" s="41"/>
      <x:c r="R5" s="41"/>
      <x:c r="S5" s="41"/>
      <x:c r="T5" s="41"/>
    </x:row>
    <x:row r="6">
      <x:c r="A6" s="41" t="str">
        <x:v>CPT</x:v>
      </x:c>
      <x:c r="B6" s="41" t="str">
        <x:v>qs</x:v>
      </x:c>
      <x:c r="C6" s="41" t="n">
        <x:v>5000</x:v>
      </x:c>
      <x:c r="D6" s="41" t="str">
        <x:v>kPa</x:v>
      </x:c>
      <x:c r="E6" s="41" t="str">
        <x:v>Ru=β1qsA+β2fs·h·u</x:v>
      </x:c>
      <x:c r="F6" s="56" t="n">
        <x:f>$M$13*C6*$M$7+$M$14*$M$12*$M$9*$M$8</x:f>
        <x:v>1525</x:v>
      </x:c>
      <x:c r="G6" s="41" t="str">
        <x:v>kN</x:v>
      </x:c>
      <x:c r="H6" s="41" t="str">
        <x:v>CT25–28</x:v>
      </x:c>
      <x:c r="I6" s="41" t="str">
        <x:v>VERIFIED</x:v>
      </x:c>
      <x:c r="J6" s="41" t="str"/>
      <x:c r="K6" s="41"/>
      <x:c r="L6" s="41" t="str">
        <x:v>η</x:v>
      </x:c>
      <x:c r="M6" s="50" t="n">
        <x:v>1500</x:v>
      </x:c>
      <x:c r="N6" s="41"/>
      <x:c r="O6" s="41"/>
      <x:c r="P6" s="41"/>
      <x:c r="Q6" s="41"/>
      <x:c r="R6" s="41"/>
      <x:c r="S6" s="41"/>
      <x:c r="T6" s="41"/>
    </x:row>
    <x:row r="7">
      <x:c r="A7" s="41" t="str">
        <x:v>SPT</x:v>
      </x:c>
      <x:c r="B7" s="41" t="str">
        <x:v>qb</x:v>
      </x:c>
      <x:c r="C7" s="41" t="n">
        <x:v>1000</x:v>
      </x:c>
      <x:c r="D7" s="41" t="str">
        <x:v>kPa</x:v>
      </x:c>
      <x:c r="E7" s="41" t="str">
        <x:v>Ru=qbA+u(fsLs+fcLc)</x:v>
      </x:c>
      <x:c r="F7" s="56" t="n">
        <x:f>C7*$M$7+(20*6+15*6)*$M$8</x:f>
        <x:v>370</x:v>
      </x:c>
      <x:c r="G7" s="41" t="str">
        <x:v>kN</x:v>
      </x:c>
      <x:c r="H7" s="41" t="str">
        <x:v>Phụ lục D</x:v>
      </x:c>
      <x:c r="I7" s="41" t="str">
        <x:v>VERIFIED</x:v>
      </x:c>
      <x:c r="J7" s="41" t="str"/>
      <x:c r="K7" s="41"/>
      <x:c r="L7" s="41" t="str">
        <x:v>A</x:v>
      </x:c>
      <x:c r="M7" s="50" t="n">
        <x:v>0.16</x:v>
      </x:c>
      <x:c r="N7" s="41"/>
      <x:c r="O7" s="41"/>
      <x:c r="P7" s="41"/>
      <x:c r="Q7" s="41"/>
      <x:c r="R7" s="41"/>
      <x:c r="S7" s="41"/>
      <x:c r="T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 t="str">
        <x:v>M</x:v>
      </x:c>
      <x:c r="M8" s="50" t="n">
        <x:v>1</x:v>
      </x:c>
      <x:c r="N8" s="41"/>
      <x:c r="O8" s="41"/>
      <x:c r="P8" s="41"/>
      <x:c r="Q8" s="41"/>
      <x:c r="R8" s="41"/>
      <x:c r="S8" s="41"/>
      <x:c r="T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 t="str">
        <x:v>Ed</x:v>
      </x:c>
      <x:c r="M9" s="50" t="n">
        <x:v>45</x:v>
      </x:c>
      <x:c r="N9" s="41"/>
      <x:c r="O9" s="41"/>
      <x:c r="P9" s="41"/>
      <x:c r="Q9" s="41"/>
      <x:c r="R9" s="41"/>
      <x:c r="S9" s="41"/>
      <x:c r="T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 t="str">
        <x:v>u</x:v>
      </x:c>
      <x:c r="M10" s="50" t="n">
        <x:v>1.6</x:v>
      </x:c>
      <x:c r="N10" s="41"/>
      <x:c r="O10" s="41"/>
      <x:c r="P10" s="41"/>
      <x:c r="Q10" s="41"/>
      <x:c r="R10" s="41"/>
      <x:c r="S10" s="41"/>
      <x:c r="T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 t="str">
        <x:v>h</x:v>
      </x:c>
      <x:c r="M11" s="50" t="n">
        <x:v>12</x:v>
      </x:c>
      <x:c r="N11" s="41"/>
      <x:c r="O11" s="41"/>
      <x:c r="P11" s="41"/>
      <x:c r="Q11" s="41"/>
      <x:c r="R11" s="41"/>
      <x:c r="S11" s="41"/>
      <x:c r="T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 t="str">
        <x:v>fs</x:v>
      </x:c>
      <x:c r="M12" s="50" t="n">
        <x:v>50</x:v>
      </x:c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 t="str">
        <x:v>β1</x:v>
      </x:c>
      <x:c r="M13" s="50" t="n">
        <x:v>0.5</x:v>
      </x:c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 t="str">
        <x:v>β2</x:v>
      </x:c>
      <x:c r="M14" s="50" t="n">
        <x:v>0.5</x:v>
      </x:c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3" hidden="0" customWidth="1"/>
    <x:col min="4" max="4" width="46" hidden="0" customWidth="1"/>
    <x:col min="5" max="5" width="30" hidden="0" customWidth="1"/>
    <x:col min="6" max="6" width="22" hidden="0" customWidth="1"/>
    <x:col min="7" max="7" width="48" hidden="0" customWidth="1"/>
    <x:col min="8" max="8" width="22" hidden="0" customWidth="1"/>
    <x:col min="9" max="9" width="22" hidden="0" customWidth="1"/>
    <x:col min="10" max="10" width="18" hidden="0" customWidth="1"/>
  </x:cols>
  <x:sheetData>
    <x:row r="1" ht="30" customHeight="1">
      <x:c r="A1" s="40" t="str">
        <x:v>23 · TCVN 10304 – LÚN / KHỐI QUY ƯỚC / BÈ-CỌC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Workflow</x:v>
      </x:c>
      <x:c r="B3" s="42" t="str">
        <x:v>Kết quả</x:v>
      </x:c>
      <x:c r="C3" s="42" t="str">
        <x:v>Đơn vị</x:v>
      </x:c>
      <x:c r="D3" s="42" t="str">
        <x:v>Công thức/Logic</x:v>
      </x:c>
      <x:c r="E3" s="42" t="str">
        <x:v>Nguồn</x:v>
      </x:c>
      <x:c r="F3" s="42" t="str">
        <x:v>Trạng thái</x:v>
      </x:c>
      <x:c r="G3" s="42" t="str">
        <x:v>Safety gate</x:v>
      </x:c>
      <x:c r="H3" s="42" t="str">
        <x:v>HNL benchmark</x:v>
      </x:c>
      <x:c r="I3" s="42" t="str">
        <x:v>Excel</x:v>
      </x:c>
      <x:c r="J3" s="42" t="str">
        <x:v>Sai lệch</x:v>
      </x:c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Lún cọc đơn</x:v>
      </x:c>
      <x:c r="B4" s="41" t="n">
        <x:v>0.0025903059797355065</x:v>
      </x:c>
      <x:c r="C4" s="41" t="str">
        <x:v>m</x:v>
      </x:c>
      <x:c r="D4" s="41" t="str">
        <x:v>CT30–35</x:v>
      </x:c>
      <x:c r="E4" s="41" t="str">
        <x:v>CT30–35+Bảng17</x:v>
      </x:c>
      <x:c r="F4" s="41" t="str">
        <x:v>VERIFIED</x:v>
      </x:c>
      <x:c r="G4" s="41" t="str">
        <x:v>L/d&gt;5, k&gt;1</x:v>
      </x:c>
      <x:c r="H4" s="41" t="n">
        <x:v>0.0025903059797355065</x:v>
      </x:c>
      <x:c r="I4" s="41" t="n">
        <x:v>0.0025903059797355065</x:v>
      </x:c>
      <x:c r="J4" s="41" t="n">
        <x:v>0</x:v>
      </x:c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Lún nhóm</x:v>
      </x:c>
      <x:c r="B5" s="41" t="n">
        <x:v>0.010997576886752153</x:v>
      </x:c>
      <x:c r="C5" s="41" t="str">
        <x:v>m</x:v>
      </x:c>
      <x:c r="D5" s="41" t="str">
        <x:v>CT36–40</x:v>
      </x:c>
      <x:c r="E5" s="41" t="str">
        <x:v>CT36–40</x:v>
      </x:c>
      <x:c r="F5" s="41" t="str">
        <x:v>VERIFIED</x:v>
      </x:c>
      <x:c r="G5" s="41" t="str"/>
      <x:c r="H5" s="41" t="n">
        <x:v>0.010997576886752153</x:v>
      </x:c>
      <x:c r="I5" s="41" t="n">
        <x:v>0.010997576886752153</x:v>
      </x:c>
      <x:c r="J5" s="41" t="n">
        <x:v>0</x:v>
      </x:c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Khối quy ước</x:v>
      </x:c>
      <x:c r="B6" s="41" t="n">
        <x:v>0.02224648205766266</x:v>
      </x:c>
      <x:c r="C6" s="41" t="str">
        <x:v>m</x:v>
      </x:c>
      <x:c r="D6" s="41" t="str">
        <x:v>CT41–46</x:v>
      </x:c>
      <x:c r="E6" s="41" t="str">
        <x:v>CT41–46</x:v>
      </x:c>
      <x:c r="F6" s="41" t="str">
        <x:v>VERIFIED</x:v>
      </x:c>
      <x:c r="G6" s="41" t="str">
        <x:v>sef từ TCVN 9362</x:v>
      </x:c>
      <x:c r="H6" s="41" t="n">
        <x:v>0.02224648205766266</x:v>
      </x:c>
      <x:c r="I6" s="41" t="n">
        <x:v>0.02224648205766266</x:v>
      </x:c>
      <x:c r="J6" s="41" t="n">
        <x:v>0</x:v>
      </x:c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Bè-cọc</x:v>
      </x:c>
      <x:c r="B7" s="41" t="str">
        <x:v>N/A</x:v>
      </x:c>
      <x:c r="C7" s="41" t="str">
        <x:v>-</x:v>
      </x:c>
      <x:c r="D7" s="41" t="str">
        <x:v>Mô hình tương tác</x:v>
      </x:c>
      <x:c r="E7" s="41" t="str">
        <x:v>7.4.5</x:v>
      </x:c>
      <x:c r="F7" s="41" t="str">
        <x:v>VERIFIED METHOD</x:v>
      </x:c>
      <x:c r="G7" s="41" t="str">
        <x:v>Không sinh số đóng</x:v>
      </x:c>
      <x:c r="H7" s="41" t="str">
        <x:v>METHOD</x:v>
      </x:c>
      <x:c r="I7" s="41" t="str">
        <x:v>METHOD</x:v>
      </x:c>
      <x:c r="J7" s="41" t="str">
        <x:v>N/A</x:v>
      </x:c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2" t="str">
        <x:v>Trường hợp</x:v>
      </x:c>
      <x:c r="B10" s="42" t="str">
        <x:v>Độ lún m</x:v>
      </x:c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 t="str">
        <x:v>Cọc đơn</x:v>
      </x:c>
      <x:c r="B11" s="41" t="n">
        <x:v>0.0025903059797355065</x:v>
      </x:c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 t="str">
        <x:v>Nhóm</x:v>
      </x:c>
      <x:c r="B12" s="41" t="n">
        <x:v>0.010997576886752153</x:v>
      </x:c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 t="str">
        <x:v>Khối quy ước</x:v>
      </x:c>
      <x:c r="B13" s="41" t="n">
        <x:v>0.02224648205766266</x:v>
      </x:c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974500ed9a8242df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3" hidden="0" customWidth="1"/>
    <x:col min="4" max="4" width="50" hidden="0" customWidth="1"/>
    <x:col min="5" max="5" width="42" hidden="0" customWidth="1"/>
    <x:col min="6" max="6" width="20" hidden="0" customWidth="1"/>
    <x:col min="7" max="7" width="24" hidden="0" customWidth="1"/>
    <x:col min="8" max="8" width="18" hidden="0" customWidth="1"/>
  </x:cols>
  <x:sheetData>
    <x:row r="1" ht="30" customHeight="1">
      <x:c r="A1" s="40" t="str">
        <x:v>24 · TCVN 10304 – ẢNH HƯỞNG THI CÔNG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Thông số/Bước</x:v>
      </x:c>
      <x:c r="B3" s="42" t="str">
        <x:v>Giá trị</x:v>
      </x:c>
      <x:c r="C3" s="42" t="str">
        <x:v>Đơn vị</x:v>
      </x:c>
      <x:c r="D3" s="42" t="str">
        <x:v>Diễn giải</x:v>
      </x:c>
      <x:c r="E3" s="42" t="str">
        <x:v>Công thức</x:v>
      </x:c>
      <x:c r="F3" s="42" t="str">
        <x:v>Kiểm tra</x:v>
      </x:c>
      <x:c r="G3" s="42" t="str">
        <x:v>Nguồn</x:v>
      </x:c>
      <x:c r="H3" s="42" t="str">
        <x:v>Trạng thái</x:v>
      </x:c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α</x:v>
      </x:c>
      <x:c r="B4" s="50" t="n">
        <x:v>0.02</x:v>
      </x:c>
      <x:c r="C4" s="41" t="str">
        <x:v>cm</x:v>
      </x:c>
      <x:c r="D4" s="41" t="str">
        <x:v>Biên độ dao động</x:v>
      </x:c>
      <x:c r="E4" s="41" t="str">
        <x:v>Nhập</x:v>
      </x:c>
      <x:c r="F4" s="41" t="str"/>
      <x:c r="G4" s="41" t="str">
        <x:v>CT47</x:v>
      </x:c>
      <x:c r="H4" s="41" t="str">
        <x:v>INPUT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δ</x:v>
      </x:c>
      <x:c r="B5" s="50" t="n">
        <x:v>10</x:v>
      </x:c>
      <x:c r="C5" s="41" t="str">
        <x:v>Hz</x:v>
      </x:c>
      <x:c r="D5" s="41" t="str">
        <x:v>Tần số</x:v>
      </x:c>
      <x:c r="E5" s="41" t="str">
        <x:v>Nhập</x:v>
      </x:c>
      <x:c r="F5" s="41" t="str"/>
      <x:c r="G5" s="41" t="str">
        <x:v>CT47</x:v>
      </x:c>
      <x:c r="H5" s="41" t="str">
        <x:v>INPUT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Va</x:v>
      </x:c>
      <x:c r="B6" s="50" t="n">
        <x:v>1.5</x:v>
      </x:c>
      <x:c r="C6" s="41" t="str">
        <x:v>cm/s</x:v>
      </x:c>
      <x:c r="D6" s="41" t="str">
        <x:v>Bảng 18</x:v>
      </x:c>
      <x:c r="E6" s="41" t="str">
        <x:v>Tra</x:v>
      </x:c>
      <x:c r="F6" s="41" t="str"/>
      <x:c r="G6" s="41" t="str">
        <x:v>Bảng18</x:v>
      </x:c>
      <x:c r="H6" s="41" t="str">
        <x:v>VERIFIED</x:v>
      </x:c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Rk</x:v>
      </x:c>
      <x:c r="B7" s="50" t="n">
        <x:v>1200</x:v>
      </x:c>
      <x:c r="C7" s="41" t="str">
        <x:v>kN</x:v>
      </x:c>
      <x:c r="D7" s="41" t="str">
        <x:v>Sức chịu tải tiêu chuẩn</x:v>
      </x:c>
      <x:c r="E7" s="41" t="str">
        <x:v>Nhập</x:v>
      </x:c>
      <x:c r="F7" s="41" t="str"/>
      <x:c r="G7" s="41" t="str">
        <x:v>CT48</x:v>
      </x:c>
      <x:c r="H7" s="41" t="str">
        <x:v>INPUT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γc</x:v>
      </x:c>
      <x:c r="B8" s="50" t="n">
        <x:v>1.2</x:v>
      </x:c>
      <x:c r="C8" s="41" t="str">
        <x:v>-</x:v>
      </x:c>
      <x:c r="D8" s="41" t="str">
        <x:v>Tốc độ hạ ≤3 m/min</x:v>
      </x:c>
      <x:c r="E8" s="41" t="str">
        <x:v>Tra/nhập</x:v>
      </x:c>
      <x:c r="F8" s="41" t="str"/>
      <x:c r="G8" s="41" t="str">
        <x:v>7.6.7</x:v>
      </x:c>
      <x:c r="H8" s="41" t="str">
        <x:v>VERIFIED</x:v>
      </x:c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>
        <x:v>V</x:v>
      </x:c>
      <x:c r="B9" s="56" t="n">
        <x:f>2*PI()*B4*B5</x:f>
        <x:v>1.2566370614359172</x:v>
      </x:c>
      <x:c r="C9" s="41" t="str">
        <x:v>cm/s</x:v>
      </x:c>
      <x:c r="D9" s="41" t="str">
        <x:v>V=2π·α·δ</x:v>
      </x:c>
      <x:c r="E9" s="41" t="str"/>
      <x:c r="F9" s="41" t="str">
        <x:v>≤Va</x:v>
      </x:c>
      <x:c r="G9" s="41" t="str">
        <x:v>CT47</x:v>
      </x:c>
      <x:c r="H9" s="41" t="str">
        <x:v>FORMULA</x:v>
      </x:c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 t="str">
        <x:v>Fc,min</x:v>
      </x:c>
      <x:c r="B10" s="56" t="n">
        <x:f>B8*B7</x:f>
        <x:v>1440</x:v>
      </x:c>
      <x:c r="C10" s="41" t="str">
        <x:v>kN</x:v>
      </x:c>
      <x:c r="D10" s="41" t="str">
        <x:v>γc·Rk</x:v>
      </x:c>
      <x:c r="E10" s="41" t="str"/>
      <x:c r="F10" s="41" t="str"/>
      <x:c r="G10" s="41" t="str">
        <x:v>CT48</x:v>
      </x:c>
      <x:c r="H10" s="41" t="str">
        <x:v>FORMULA</x:v>
      </x:c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3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28" hidden="0" customWidth="1"/>
    <x:col min="10" max="10" width="18" hidden="0" customWidth="1"/>
  </x:cols>
  <x:sheetData>
    <x:row r="1" ht="30" customHeight="1">
      <x:c r="A1" s="40" t="str">
        <x:v>30 · TCVN 5574 – BẢNG VẬT LIỆU VERIFIED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Vật liệu</x:v>
      </x:c>
      <x:c r="B3" s="42" t="str">
        <x:v>Mác/Cấp</x:v>
      </x:c>
      <x:c r="C3" s="42" t="str">
        <x:v>Rb</x:v>
      </x:c>
      <x:c r="D3" s="42" t="str">
        <x:v>Rbt</x:v>
      </x:c>
      <x:c r="E3" s="42" t="str">
        <x:v>Eb</x:v>
      </x:c>
      <x:c r="F3" s="42" t="str">
        <x:v>Rs</x:v>
      </x:c>
      <x:c r="G3" s="42" t="str">
        <x:v>Rsc</x:v>
      </x:c>
      <x:c r="H3" s="42" t="str">
        <x:v>Rsw</x:v>
      </x:c>
      <x:c r="I3" s="42" t="str">
        <x:v>Nguồn</x:v>
      </x:c>
      <x:c r="J3" s="42" t="str">
        <x:v>Trạng thái</x:v>
      </x:c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Bê tông</x:v>
      </x:c>
      <x:c r="B4" s="41" t="str">
        <x:v>B20</x:v>
      </x:c>
      <x:c r="C4" s="41" t="n">
        <x:v>11.5</x:v>
      </x:c>
      <x:c r="D4" s="41" t="n">
        <x:v>0.9</x:v>
      </x:c>
      <x:c r="E4" s="41" t="n">
        <x:v>27500</x:v>
      </x:c>
      <x:c r="F4" s="41" t="str"/>
      <x:c r="G4" s="41" t="str"/>
      <x:c r="H4" s="41" t="str"/>
      <x:c r="I4" s="41" t="str">
        <x:v>Bảng7/10</x:v>
      </x:c>
      <x:c r="J4" s="41" t="str">
        <x:v>VERIFIED</x:v>
      </x:c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Bê tông</x:v>
      </x:c>
      <x:c r="B5" s="41" t="str">
        <x:v>B25</x:v>
      </x:c>
      <x:c r="C5" s="41" t="n">
        <x:v>14.5</x:v>
      </x:c>
      <x:c r="D5" s="41" t="n">
        <x:v>1.05</x:v>
      </x:c>
      <x:c r="E5" s="41" t="n">
        <x:v>30000</x:v>
      </x:c>
      <x:c r="F5" s="41" t="str"/>
      <x:c r="G5" s="41" t="str"/>
      <x:c r="H5" s="41" t="str"/>
      <x:c r="I5" s="41" t="str">
        <x:v>Bảng7/10</x:v>
      </x:c>
      <x:c r="J5" s="41" t="str">
        <x:v>VERIFIED</x:v>
      </x:c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Bê tông</x:v>
      </x:c>
      <x:c r="B6" s="41" t="str">
        <x:v>B30</x:v>
      </x:c>
      <x:c r="C6" s="41" t="n">
        <x:v>17</x:v>
      </x:c>
      <x:c r="D6" s="41" t="n">
        <x:v>1.15</x:v>
      </x:c>
      <x:c r="E6" s="41" t="n">
        <x:v>32500</x:v>
      </x:c>
      <x:c r="F6" s="41" t="str"/>
      <x:c r="G6" s="41" t="str"/>
      <x:c r="H6" s="41" t="str"/>
      <x:c r="I6" s="41" t="str">
        <x:v>Bảng7/10</x:v>
      </x:c>
      <x:c r="J6" s="41" t="str">
        <x:v>VERIFIED</x:v>
      </x:c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Thép</x:v>
      </x:c>
      <x:c r="B7" s="41" t="str">
        <x:v>CB300-V</x:v>
      </x:c>
      <x:c r="C7" s="41" t="str"/>
      <x:c r="D7" s="41" t="str"/>
      <x:c r="E7" s="41" t="str"/>
      <x:c r="F7" s="41" t="n">
        <x:v>260</x:v>
      </x:c>
      <x:c r="G7" s="41" t="n">
        <x:v>260</x:v>
      </x:c>
      <x:c r="H7" s="41" t="n">
        <x:v>210</x:v>
      </x:c>
      <x:c r="I7" s="41" t="str">
        <x:v>Bảng13/14</x:v>
      </x:c>
      <x:c r="J7" s="41" t="str">
        <x:v>VERIFIED</x:v>
      </x:c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Thép</x:v>
      </x:c>
      <x:c r="B8" s="41" t="str">
        <x:v>CB400-V</x:v>
      </x:c>
      <x:c r="C8" s="41" t="str"/>
      <x:c r="D8" s="41" t="str"/>
      <x:c r="E8" s="41" t="str"/>
      <x:c r="F8" s="41" t="n">
        <x:v>350</x:v>
      </x:c>
      <x:c r="G8" s="41" t="n">
        <x:v>350</x:v>
      </x:c>
      <x:c r="H8" s="41" t="n">
        <x:v>280</x:v>
      </x:c>
      <x:c r="I8" s="41" t="str">
        <x:v>Bảng13/14</x:v>
      </x:c>
      <x:c r="J8" s="41" t="str">
        <x:v>VERIFIED</x:v>
      </x:c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J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13" hidden="0" customWidth="1"/>
    <x:col min="5" max="5" width="50" hidden="0" customWidth="1"/>
    <x:col min="6" max="6" width="42" hidden="0" customWidth="1"/>
    <x:col min="7" max="7" width="20" hidden="0" customWidth="1"/>
    <x:col min="8" max="8" width="28" hidden="0" customWidth="1"/>
    <x:col min="9" max="9" width="18" hidden="0" customWidth="1"/>
  </x:cols>
  <x:sheetData>
    <x:row r="1" ht="30" customHeight="1">
      <x:c r="A1" s="40" t="str">
        <x:v>31 · TCVN 5574 – UỐN / NÉN LỆCH TÂM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Thông số/Bước</x:v>
      </x:c>
      <x:c r="B3" s="42" t="str">
        <x:v>Uốn</x:v>
      </x:c>
      <x:c r="C3" s="42" t="str">
        <x:v>Nén lệch tâm</x:v>
      </x:c>
      <x:c r="D3" s="42" t="str">
        <x:v>Đơn vị</x:v>
      </x:c>
      <x:c r="E3" s="42" t="str">
        <x:v>Diễn giải</x:v>
      </x:c>
      <x:c r="F3" s="42" t="str">
        <x:v>Công thức</x:v>
      </x:c>
      <x:c r="G3" s="42" t="str">
        <x:v>Kiểm tra</x:v>
      </x:c>
      <x:c r="H3" s="42" t="str">
        <x:v>Nguồn</x:v>
      </x:c>
      <x:c r="I3" s="42" t="str">
        <x:v>Trạng thái</x:v>
      </x:c>
      <x:c r="J3" s="41"/>
      <x:c r="K3" s="42" t="str">
        <x:v>Uốn</x:v>
      </x:c>
      <x:c r="L3" s="42" t="str">
        <x:v>kN.m</x:v>
      </x:c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b</x:v>
      </x:c>
      <x:c r="B4" s="50" t="n">
        <x:v>300</x:v>
      </x:c>
      <x:c r="C4" s="50" t="n">
        <x:v>300</x:v>
      </x:c>
      <x:c r="D4" s="41" t="str">
        <x:v>mm</x:v>
      </x:c>
      <x:c r="E4" s="41" t="str">
        <x:v>Bề rộng</x:v>
      </x:c>
      <x:c r="F4" s="41" t="str"/>
      <x:c r="G4" s="41" t="str"/>
      <x:c r="H4" s="41" t="str">
        <x:v>Đề bài</x:v>
      </x:c>
      <x:c r="I4" s="41" t="str">
        <x:v>INPUT</x:v>
      </x:c>
      <x:c r="J4" s="41"/>
      <x:c r="K4" s="41" t="str">
        <x:v>M tác dụng</x:v>
      </x:c>
      <x:c r="L4" s="41" t="n">
        <x:f>B8</x:f>
        <x:v>200</x:v>
      </x:c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h0</x:v>
      </x:c>
      <x:c r="B5" s="50" t="n">
        <x:v>550</x:v>
      </x:c>
      <x:c r="C5" s="50" t="n">
        <x:v>450</x:v>
      </x:c>
      <x:c r="D5" s="41" t="str">
        <x:v>mm</x:v>
      </x:c>
      <x:c r="E5" s="41" t="str">
        <x:v>Chiều cao làm việc</x:v>
      </x:c>
      <x:c r="F5" s="41" t="str"/>
      <x:c r="G5" s="41" t="str"/>
      <x:c r="H5" s="41" t="str">
        <x:v>Đề bài</x:v>
      </x:c>
      <x:c r="I5" s="41" t="str">
        <x:v>INPUT</x:v>
      </x:c>
      <x:c r="J5" s="41"/>
      <x:c r="K5" s="41" t="str">
        <x:v>Mu</x:v>
      </x:c>
      <x:c r="L5" s="41" t="n">
        <x:f>B17</x:f>
        <x:v>307.5882352941176</x:v>
      </x:c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As</x:v>
      </x:c>
      <x:c r="B6" s="50" t="n">
        <x:v>1800</x:v>
      </x:c>
      <x:c r="C6" s="50" t="n">
        <x:v>1800</x:v>
      </x:c>
      <x:c r="D6" s="41" t="str">
        <x:v>mm²</x:v>
      </x:c>
      <x:c r="E6" s="41" t="str">
        <x:v>Thép kéo</x:v>
      </x:c>
      <x:c r="F6" s="41" t="str"/>
      <x:c r="G6" s="41" t="str"/>
      <x:c r="H6" s="41" t="str">
        <x:v>Đề bài</x:v>
      </x:c>
      <x:c r="I6" s="41" t="str">
        <x:v>INPUT</x:v>
      </x:c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As'</x:v>
      </x:c>
      <x:c r="B7" s="50" t="n">
        <x:v>0</x:v>
      </x:c>
      <x:c r="C7" s="50" t="n">
        <x:v>800</x:v>
      </x:c>
      <x:c r="D7" s="41" t="str">
        <x:v>mm²</x:v>
      </x:c>
      <x:c r="E7" s="41" t="str">
        <x:v>Thép nén</x:v>
      </x:c>
      <x:c r="F7" s="41" t="str"/>
      <x:c r="G7" s="41" t="str"/>
      <x:c r="H7" s="41" t="str">
        <x:v>Đề bài</x:v>
      </x:c>
      <x:c r="I7" s="41" t="str">
        <x:v>INPUT</x:v>
      </x:c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M</x:v>
      </x:c>
      <x:c r="B8" s="50" t="n">
        <x:v>200</x:v>
      </x:c>
      <x:c r="C8" s="50" t="n">
        <x:v>180</x:v>
      </x:c>
      <x:c r="D8" s="41" t="str">
        <x:v>kN.m</x:v>
      </x:c>
      <x:c r="E8" s="41" t="str">
        <x:v>Mô men</x:v>
      </x:c>
      <x:c r="F8" s="41" t="str"/>
      <x:c r="G8" s="41" t="str"/>
      <x:c r="H8" s="41" t="str">
        <x:v>Đề bài</x:v>
      </x:c>
      <x:c r="I8" s="41" t="str">
        <x:v>INPUT</x:v>
      </x:c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>
        <x:v>N</x:v>
      </x:c>
      <x:c r="B9" s="50" t="str"/>
      <x:c r="C9" s="50" t="n">
        <x:v>1200</x:v>
      </x:c>
      <x:c r="D9" s="41" t="str">
        <x:v>kN</x:v>
      </x:c>
      <x:c r="E9" s="41" t="str">
        <x:v>Lực nén</x:v>
      </x:c>
      <x:c r="F9" s="41" t="str"/>
      <x:c r="G9" s="41" t="str"/>
      <x:c r="H9" s="41" t="str">
        <x:v>Đề bài</x:v>
      </x:c>
      <x:c r="I9" s="41" t="str">
        <x:v>INPUT</x:v>
      </x:c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 t="str">
        <x:v>a'</x:v>
      </x:c>
      <x:c r="B10" s="50" t="n">
        <x:v>40</x:v>
      </x:c>
      <x:c r="C10" s="50" t="n">
        <x:v>40</x:v>
      </x:c>
      <x:c r="D10" s="41" t="str">
        <x:v>mm</x:v>
      </x:c>
      <x:c r="E10" s="41" t="str">
        <x:v>Lớp bảo vệ</x:v>
      </x:c>
      <x:c r="F10" s="41" t="str"/>
      <x:c r="G10" s="41" t="str"/>
      <x:c r="H10" s="41" t="str">
        <x:v>Đề bài</x:v>
      </x:c>
      <x:c r="I10" s="41" t="str">
        <x:v>INPUT</x:v>
      </x:c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 t="str">
        <x:v>Rb</x:v>
      </x:c>
      <x:c r="B11" s="41" t="n">
        <x:v>17</x:v>
      </x:c>
      <x:c r="C11" s="41" t="n">
        <x:v>17</x:v>
      </x:c>
      <x:c r="D11" s="41" t="str">
        <x:v>MPa</x:v>
      </x:c>
      <x:c r="E11" s="41" t="str">
        <x:v>B30</x:v>
      </x:c>
      <x:c r="F11" s="41" t="str"/>
      <x:c r="G11" s="41" t="str"/>
      <x:c r="H11" s="41" t="str">
        <x:v>Bảng7</x:v>
      </x:c>
      <x:c r="I11" s="41" t="str">
        <x:v>AUTO</x:v>
      </x:c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 t="str">
        <x:v>Rs/Rsc</x:v>
      </x:c>
      <x:c r="B12" s="41" t="n">
        <x:v>350</x:v>
      </x:c>
      <x:c r="C12" s="41" t="n">
        <x:v>350</x:v>
      </x:c>
      <x:c r="D12" s="41" t="str">
        <x:v>MPa</x:v>
      </x:c>
      <x:c r="E12" s="41" t="str">
        <x:v>CB400-V</x:v>
      </x:c>
      <x:c r="F12" s="41" t="str"/>
      <x:c r="G12" s="41" t="str"/>
      <x:c r="H12" s="41" t="str">
        <x:v>Bảng13</x:v>
      </x:c>
      <x:c r="I12" s="41" t="str">
        <x:v>AUTO</x:v>
      </x:c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2" t="str">
        <x:v>Kết quả</x:v>
      </x:c>
      <x:c r="B14" s="42" t="str">
        <x:v>Uốn</x:v>
      </x:c>
      <x:c r="C14" s="42" t="str">
        <x:v>Nén</x:v>
      </x:c>
      <x:c r="D14" s="42" t="str">
        <x:v>Đơn vị</x:v>
      </x:c>
      <x:c r="E14" s="42" t="str">
        <x:v>Diễn giải</x:v>
      </x:c>
      <x:c r="F14" s="42" t="str">
        <x:v>Công thức</x:v>
      </x:c>
      <x:c r="G14" s="42" t="str">
        <x:v>Kiểm tra</x:v>
      </x:c>
      <x:c r="H14" s="42" t="str">
        <x:v>Nguồn</x:v>
      </x:c>
      <x:c r="I14" s="42" t="str">
        <x:v>Trạng thái</x:v>
      </x:c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 t="str">
        <x:v>x</x:v>
      </x:c>
      <x:c r="B15" s="56" t="n">
        <x:f>(B12*B6)/(B11*B4)</x:f>
        <x:v>123.52941176470588</x:v>
      </x:c>
      <x:c r="C15" s="56" t="n">
        <x:f>(C9*1000+C12*C6-C12*C7)/(C11*C4)</x:f>
        <x:v>303.921568627451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 t="str">
        <x:v>ξ</x:v>
      </x:c>
      <x:c r="B16" s="56" t="n">
        <x:f>B15/B5</x:f>
        <x:v>0.22459893048128343</x:v>
      </x:c>
      <x:c r="C16" s="56" t="n">
        <x:f>C15/C5</x:f>
        <x:v>0.6753812636165578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 t="str">
        <x:v>Sức kháng</x:v>
      </x:c>
      <x:c r="B17" s="56" t="n">
        <x:f>B11*B4*B15*(B5-0.5*B15)/1000000</x:f>
        <x:v>307.5882352941176</x:v>
      </x:c>
      <x:c r="C17" s="56" t="n">
        <x:f>(C11*C4*C15*(C5-0.5*C15)+C12*C7*(C5-C10))/1000000</x:f>
        <x:v>576.7607843137255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 t="str">
        <x:v>Tỷ số</x:v>
      </x:c>
      <x:c r="B18" s="56" t="n">
        <x:f>B8/B17</x:f>
        <x:v>0.6502199273283611</x:v>
      </x:c>
      <x:c r="C18" s="56" t="n">
        <x:f>(C9*(C8*1000000/(C9*1000)+(C5-C10)/2)/1000)/C17</x:f>
        <x:v>0.7386077756775501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 t="str">
        <x:v>Kết luận</x:v>
      </x:c>
      <x:c r="B19" s="56" t="str">
        <x:f>IF(B18&lt;=1,"ĐẠT","KHÔNG ĐẠT")</x:f>
        <x:v>ĐẠT</x:v>
      </x:c>
      <x:c r="C19" s="56" t="str">
        <x:f>IF(C18&lt;=1,"ĐẠT","KHÔNG ĐẠT")</x:f>
        <x:v>ĐẠT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3aeeb4d79c844700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50" hidden="0" customWidth="1"/>
    <x:col min="6" max="6" width="28" hidden="0" customWidth="1"/>
    <x:col min="7" max="7" width="22" hidden="0" customWidth="1"/>
    <x:col min="8" max="8" width="20" hidden="0" customWidth="1"/>
    <x:col min="9" max="9" width="45" hidden="0" customWidth="1"/>
  </x:cols>
  <x:sheetData>
    <x:row r="1" ht="30" customHeight="1">
      <x:c r="A1" s="40" t="str">
        <x:v>32 · TCVN 5574 – LỰC CẮT / XOẮN</x:v>
      </x:c>
      <x:c r="B1" s="40"/>
      <x:c r="C1" s="40"/>
      <x:c r="D1" s="40"/>
      <x:c r="E1" s="40"/>
      <x:c r="F1" s="40"/>
      <x:c r="G1" s="40"/>
      <x:c r="H1" s="40"/>
      <x:c r="I1" s="40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Kết quả/Thông số</x:v>
      </x:c>
      <x:c r="B3" s="42" t="str">
        <x:v>Cắt</x:v>
      </x:c>
      <x:c r="C3" s="42" t="str">
        <x:v>Xoắn</x:v>
      </x:c>
      <x:c r="D3" s="42" t="str">
        <x:v>Đơn vị</x:v>
      </x:c>
      <x:c r="E3" s="42" t="str">
        <x:v>Công thức/Logic</x:v>
      </x:c>
      <x:c r="F3" s="42" t="str">
        <x:v>Nguồn</x:v>
      </x:c>
      <x:c r="G3" s="42" t="str">
        <x:v>Trạng thái</x:v>
      </x:c>
      <x:c r="H3" s="42" t="str">
        <x:v>Kiểm tra</x:v>
      </x:c>
      <x:c r="I3" s="42" t="str">
        <x:v>Ghi chú</x:v>
      </x:c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Tác động</x:v>
      </x:c>
      <x:c r="B4" s="41" t="n">
        <x:v>200</x:v>
      </x:c>
      <x:c r="C4" s="41" t="n">
        <x:v>50</x:v>
      </x:c>
      <x:c r="D4" s="41" t="str">
        <x:v>kN / kN.m</x:v>
      </x:c>
      <x:c r="E4" s="41" t="str"/>
      <x:c r="F4" s="41" t="str">
        <x:v>Đề bài</x:v>
      </x:c>
      <x:c r="G4" s="41" t="str">
        <x:v>INPUT</x:v>
      </x:c>
      <x:c r="H4" s="41" t="str"/>
      <x:c r="I4" s="41" t="str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Sức kháng</x:v>
      </x:c>
      <x:c r="B5" s="41" t="n">
        <x:v>280</x:v>
      </x:c>
      <x:c r="C5" s="41" t="n">
        <x:v>80</x:v>
      </x:c>
      <x:c r="D5" s="41" t="str">
        <x:v>kN / kN.m</x:v>
      </x:c>
      <x:c r="E5" s="41" t="str">
        <x:v>CT88–96 / CT102–113</x:v>
      </x:c>
      <x:c r="F5" s="41" t="str">
        <x:v>TCVN5574</x:v>
      </x:c>
      <x:c r="G5" s="41" t="str">
        <x:v>VERIFIED BRANCH</x:v>
      </x:c>
      <x:c r="H5" s="41" t="str"/>
      <x:c r="I5" s="41" t="str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Tỷ số</x:v>
      </x:c>
      <x:c r="B6" s="56" t="n">
        <x:f>B4/B5</x:f>
        <x:v>0.7142857142857143</x:v>
      </x:c>
      <x:c r="C6" s="56" t="n">
        <x:f>C4/C5</x:f>
        <x:v>0.625</x:v>
      </x:c>
      <x:c r="D6" s="41" t="str">
        <x:v>-</x:v>
      </x:c>
      <x:c r="E6" s="41" t="str">
        <x:v>Tác động/Sức kháng</x:v>
      </x:c>
      <x:c r="F6" s="41" t="str"/>
      <x:c r="G6" s="41" t="str">
        <x:v>FORMULA</x:v>
      </x:c>
      <x:c r="H6" s="41" t="str">
        <x:v>≤1</x:v>
      </x:c>
      <x:c r="I6" s="41" t="str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Kết luận</x:v>
      </x:c>
      <x:c r="B7" s="56" t="str">
        <x:f>IF(B6&lt;=1,"ĐẠT","KHÔNG ĐẠT")</x:f>
        <x:v>ĐẠT</x:v>
      </x:c>
      <x:c r="C7" s="56" t="str">
        <x:f>IF(C6&lt;=1,"ĐẠT","KHÔNG ĐẠT")</x:f>
        <x:v>ĐẠT</x:v>
      </x:c>
      <x:c r="D7" s="41" t="str">
        <x:v>-</x:v>
      </x:c>
      <x:c r="E7" s="41" t="str"/>
      <x:c r="F7" s="41" t="str"/>
      <x:c r="G7" s="41" t="str">
        <x:v>FORMULA</x:v>
      </x:c>
      <x:c r="H7" s="41" t="str"/>
      <x:c r="I7" s="41" t="str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Gate xoắn</x:v>
      </x:c>
      <x:c r="B8" s="41" t="str"/>
      <x:c r="C8" s="41" t="str"/>
      <x:c r="D8" s="41" t="str"/>
      <x:c r="E8" s="41" t="str">
        <x:v>0,5≤qswZ1/(RsAs1)≤1,5</x:v>
      </x:c>
      <x:c r="F8" s="41" t="str">
        <x:v>8.1.4</x:v>
      </x:c>
      <x:c r="G8" s="41" t="str">
        <x:v>SAFE-GATE</x:v>
      </x:c>
      <x:c r="H8" s="41" t="str"/>
      <x:c r="I8" s="41" t="str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3" hidden="0" customWidth="1"/>
    <x:col min="5" max="5" width="16" hidden="0" customWidth="1"/>
    <x:col min="6" max="6" width="18" hidden="0" customWidth="1"/>
    <x:col min="7" max="7" width="28" hidden="0" customWidth="1"/>
    <x:col min="8" max="8" width="22" hidden="0" customWidth="1"/>
    <x:col min="9" max="9" width="52" hidden="0" customWidth="1"/>
  </x:cols>
  <x:sheetData>
    <x:row r="1" ht="30" customHeight="1">
      <x:c r="A1" s="40" t="str">
        <x:v>33 · TCVN 5574 – NÉN CỤC BỘ / CHỌC THỦNG</x:v>
      </x:c>
      <x:c r="B1" s="40"/>
      <x:c r="C1" s="40"/>
      <x:c r="D1" s="40"/>
      <x:c r="E1" s="40"/>
      <x:c r="F1" s="40"/>
      <x:c r="G1" s="40"/>
      <x:c r="H1" s="40"/>
      <x:c r="I1" s="40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Workflow</x:v>
      </x:c>
      <x:c r="B3" s="42" t="str">
        <x:v>Tác động</x:v>
      </x:c>
      <x:c r="C3" s="42" t="str">
        <x:v>Sức kháng</x:v>
      </x:c>
      <x:c r="D3" s="42" t="str">
        <x:v>Đơn vị</x:v>
      </x:c>
      <x:c r="E3" s="42" t="str">
        <x:v>Tỷ số</x:v>
      </x:c>
      <x:c r="F3" s="42" t="str">
        <x:v>Kết luận</x:v>
      </x:c>
      <x:c r="G3" s="42" t="str">
        <x:v>Nguồn</x:v>
      </x:c>
      <x:c r="H3" s="42" t="str">
        <x:v>Trạng thái</x:v>
      </x:c>
      <x:c r="I3" s="42" t="str">
        <x:v>Ghi chú</x:v>
      </x:c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Nén cục bộ</x:v>
      </x:c>
      <x:c r="B4" s="41" t="n">
        <x:v>1000</x:v>
      </x:c>
      <x:c r="C4" s="41" t="n">
        <x:v>1360</x:v>
      </x:c>
      <x:c r="D4" s="41" t="str">
        <x:v>kN</x:v>
      </x:c>
      <x:c r="E4" s="56" t="n">
        <x:f>B4/C4</x:f>
        <x:v>0.7352941176470589</x:v>
      </x:c>
      <x:c r="F4" s="56" t="str">
        <x:f>IF(E4&lt;=1,"ĐẠT","KHÔNG ĐẠT")</x:f>
        <x:v>ĐẠT</x:v>
      </x:c>
      <x:c r="G4" s="41" t="str">
        <x:v>CT116–118</x:v>
      </x:c>
      <x:c r="H4" s="41" t="str">
        <x:v>VERIFIED BRANCH</x:v>
      </x:c>
      <x:c r="I4" s="41" t="str">
        <x:v>Không lưới thép</x:v>
      </x:c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Chọc thủng</x:v>
      </x:c>
      <x:c r="B5" s="41" t="n">
        <x:v>500</x:v>
      </x:c>
      <x:c r="C5" s="41" t="n">
        <x:v>780</x:v>
      </x:c>
      <x:c r="D5" s="41" t="str">
        <x:v>kN</x:v>
      </x:c>
      <x:c r="E5" s="56" t="n">
        <x:f>B5/C5</x:f>
        <x:v>0.6410256410256411</x:v>
      </x:c>
      <x:c r="F5" s="56" t="str">
        <x:f>IF(E5&lt;=1,"ĐẠT","KHÔNG ĐẠT")</x:f>
        <x:v>ĐẠT</x:v>
      </x:c>
      <x:c r="G5" s="41" t="str">
        <x:v>CT123–128</x:v>
      </x:c>
      <x:c r="H5" s="41" t="str">
        <x:v>VERIFIED BRANCH</x:v>
      </x:c>
      <x:c r="I5" s="41" t="str">
        <x:v>Lực tập trung, không mô men tập trung</x:v>
      </x:c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/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I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3" hidden="0" customWidth="1"/>
    <x:col min="4" max="4" width="48" hidden="0" customWidth="1"/>
    <x:col min="5" max="5" width="40" hidden="0" customWidth="1"/>
    <x:col min="6" max="6" width="22" hidden="0" customWidth="1"/>
    <x:col min="7" max="7" width="28" hidden="0" customWidth="1"/>
    <x:col min="8" max="8" width="18" hidden="0" customWidth="1"/>
    <x:col min="9" max="9" width="45" hidden="0" customWidth="1"/>
  </x:cols>
  <x:sheetData>
    <x:row r="1" ht="30" customHeight="1">
      <x:c r="A1" s="40" t="str">
        <x:v>34 · TCVN 5574 – NỨT SLS</x:v>
      </x:c>
      <x:c r="B1" s="40"/>
      <x:c r="C1" s="40"/>
      <x:c r="D1" s="40"/>
      <x:c r="E1" s="40"/>
      <x:c r="F1" s="40"/>
      <x:c r="G1" s="40"/>
      <x:c r="H1" s="40"/>
      <x:c r="I1" s="40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Bước</x:v>
      </x:c>
      <x:c r="B3" s="42" t="str">
        <x:v>Giá trị</x:v>
      </x:c>
      <x:c r="C3" s="42" t="str">
        <x:v>Đơn vị</x:v>
      </x:c>
      <x:c r="D3" s="42" t="str">
        <x:v>Diễn giải</x:v>
      </x:c>
      <x:c r="E3" s="42" t="str">
        <x:v>Công thức/Tra</x:v>
      </x:c>
      <x:c r="F3" s="42" t="str">
        <x:v>Kiểm tra</x:v>
      </x:c>
      <x:c r="G3" s="42" t="str">
        <x:v>Nguồn</x:v>
      </x:c>
      <x:c r="H3" s="42" t="str">
        <x:v>Trạng thái</x:v>
      </x:c>
      <x:c r="I3" s="42" t="str">
        <x:v>Ghi chú</x:v>
      </x:c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Rbt,ser</x:v>
      </x:c>
      <x:c r="B4" s="56" t="n">
        <x:v>1.75</x:v>
      </x:c>
      <x:c r="C4" s="41" t="str">
        <x:v>MPa</x:v>
      </x:c>
      <x:c r="D4" s="41" t="str">
        <x:v>B30</x:v>
      </x:c>
      <x:c r="E4" s="41" t="str">
        <x:v>Tra</x:v>
      </x:c>
      <x:c r="F4" s="41" t="str"/>
      <x:c r="G4" s="41" t="str">
        <x:v>Bảng6</x:v>
      </x:c>
      <x:c r="H4" s="41" t="str">
        <x:v>VERIFIED</x:v>
      </x:c>
      <x:c r="I4" s="41" t="str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Rs,ser</x:v>
      </x:c>
      <x:c r="B5" s="56" t="n">
        <x:v>400</x:v>
      </x:c>
      <x:c r="C5" s="41" t="str">
        <x:v>MPa</x:v>
      </x:c>
      <x:c r="D5" s="41" t="str">
        <x:v>CB400-V</x:v>
      </x:c>
      <x:c r="E5" s="41" t="str">
        <x:v>Tra</x:v>
      </x:c>
      <x:c r="F5" s="41" t="str"/>
      <x:c r="G5" s="41" t="str">
        <x:v>Bảng12</x:v>
      </x:c>
      <x:c r="H5" s="41" t="str">
        <x:v>VERIFIED</x:v>
      </x:c>
      <x:c r="I5" s="41" t="str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Mcrc</x:v>
      </x:c>
      <x:c r="B6" s="56" t="n">
        <x:v>64.6</x:v>
      </x:c>
      <x:c r="C6" s="41" t="str">
        <x:v>kN.m</x:v>
      </x:c>
      <x:c r="D6" s="41" t="str">
        <x:v>Mô men bắt đầu nứt</x:v>
      </x:c>
      <x:c r="E6" s="41" t="str">
        <x:v>CT158–160</x:v>
      </x:c>
      <x:c r="F6" s="41" t="str"/>
      <x:c r="G6" s="41" t="str">
        <x:v>TCVN5574</x:v>
      </x:c>
      <x:c r="H6" s="41" t="str">
        <x:v>VERIFIED</x:v>
      </x:c>
      <x:c r="I6" s="41" t="str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σs</x:v>
      </x:c>
      <x:c r="B7" s="56" t="n">
        <x:v>252.5</x:v>
      </x:c>
      <x:c r="C7" s="41" t="str">
        <x:v>MPa</x:v>
      </x:c>
      <x:c r="D7" s="41" t="str">
        <x:v>Ứng suất thép SLS</x:v>
      </x:c>
      <x:c r="E7" s="41" t="str">
        <x:v>CT170</x:v>
      </x:c>
      <x:c r="F7" s="41" t="str">
        <x:v>≤Rs,ser</x:v>
      </x:c>
      <x:c r="G7" s="41" t="str">
        <x:v>TCVN5574</x:v>
      </x:c>
      <x:c r="H7" s="41" t="str">
        <x:v>VERIFIED</x:v>
      </x:c>
      <x:c r="I7" s="41" t="str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acrc</x:v>
      </x:c>
      <x:c r="B8" s="56" t="n">
        <x:v>0.19643377985660346</x:v>
      </x:c>
      <x:c r="C8" s="41" t="str">
        <x:v>mm</x:v>
      </x:c>
      <x:c r="D8" s="41" t="str">
        <x:v>Chiều rộng vết nứt</x:v>
      </x:c>
      <x:c r="E8" s="41" t="str">
        <x:v>CT166</x:v>
      </x:c>
      <x:c r="F8" s="41" t="str">
        <x:v>≤acrc,u</x:v>
      </x:c>
      <x:c r="G8" s="41" t="str">
        <x:v>TCVN5574</x:v>
      </x:c>
      <x:c r="H8" s="41" t="str">
        <x:v>VERIFIED</x:v>
      </x:c>
      <x:c r="I8" s="41" t="str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>
        <x:v>acrc,u</x:v>
      </x:c>
      <x:c r="B9" s="56" t="n">
        <x:v>0.4</x:v>
      </x:c>
      <x:c r="C9" s="41" t="str">
        <x:v>mm</x:v>
      </x:c>
      <x:c r="D9" s="41" t="str">
        <x:v>Giới hạn Bảng17</x:v>
      </x:c>
      <x:c r="E9" s="41" t="str">
        <x:v>Tra</x:v>
      </x:c>
      <x:c r="F9" s="41" t="str"/>
      <x:c r="G9" s="41" t="str">
        <x:v>Bảng17</x:v>
      </x:c>
      <x:c r="H9" s="41" t="str">
        <x:v>VERIFIED</x:v>
      </x:c>
      <x:c r="I9" s="41" t="str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 t="str">
        <x:v>Kết luận</x:v>
      </x:c>
      <x:c r="B10" s="56" t="str">
        <x:f>IF(AND(B7&lt;=B5,B8&lt;=B9),"ĐẠT","KHÔNG ĐẠT")</x:f>
        <x:v>ĐẠT</x:v>
      </x:c>
      <x:c r="C10" s="41" t="str"/>
      <x:c r="D10" s="41" t="str">
        <x:v>Kiểm đồng thời σs và acrc</x:v>
      </x:c>
      <x:c r="E10" s="41" t="str"/>
      <x:c r="F10" s="41" t="str"/>
      <x:c r="G10" s="41" t="str">
        <x:v>SLS</x:v>
      </x:c>
      <x:c r="H10" s="41" t="str">
        <x:v>FORMULA</x:v>
      </x:c>
      <x:c r="I10" s="41" t="str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I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13" hidden="0" customWidth="1"/>
    <x:col min="4" max="4" width="32" hidden="0" customWidth="1"/>
    <x:col min="5" max="5" width="22" hidden="0" customWidth="1"/>
    <x:col min="6" max="6" width="52" hidden="0" customWidth="1"/>
    <x:col min="7" max="7" width="45" hidden="0" customWidth="1"/>
    <x:col min="9" max="9" width="18" hidden="0" customWidth="1"/>
    <x:col min="10" max="10" width="16" hidden="0" customWidth="1"/>
  </x:cols>
  <x:sheetData>
    <x:row r="1" ht="30" customHeight="1">
      <x:c r="A1" s="40" t="str">
        <x:v>35 · TCVN 5574 – BIẾN DẠNG / ĐỘ VÕNG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Nhánh</x:v>
      </x:c>
      <x:c r="B3" s="42" t="str">
        <x:v>Giá trị</x:v>
      </x:c>
      <x:c r="C3" s="42" t="str">
        <x:v>Đơn vị</x:v>
      </x:c>
      <x:c r="D3" s="42" t="str">
        <x:v>Nguồn</x:v>
      </x:c>
      <x:c r="E3" s="42" t="str">
        <x:v>Trạng thái</x:v>
      </x:c>
      <x:c r="F3" s="42" t="str">
        <x:v>Diễn giải</x:v>
      </x:c>
      <x:c r="G3" s="42" t="str">
        <x:v>Safety gate</x:v>
      </x:c>
      <x:c r="H3" s="42" t="str"/>
      <x:c r="I3" s="42" t="str">
        <x:v>Thành phần</x:v>
      </x:c>
      <x:c r="J3" s="42" t="str">
        <x:v>mm</x:v>
      </x:c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Không nứt</x:v>
      </x:c>
      <x:c r="B4" s="56" t="n">
        <x:v>14.621538461538458</x:v>
      </x:c>
      <x:c r="C4" s="41" t="str">
        <x:v>mm</x:v>
      </x:c>
      <x:c r="D4" s="41" t="str">
        <x:v>CT177–180/187–189</x:v>
      </x:c>
      <x:c r="E4" s="41" t="str">
        <x:v>VERIFIED BRANCH</x:v>
      </x:c>
      <x:c r="F4" s="41" t="str">
        <x:v>Tiết diện không đổi, chủ yếu do uốn</x:v>
      </x:c>
      <x:c r="G4" s="41" t="str">
        <x:v>L/h&lt;10 phải kể trượt</x:v>
      </x:c>
      <x:c r="H4" s="41"/>
      <x:c r="I4" s="41" t="str">
        <x:v>Uốn có nứt</x:v>
      </x:c>
      <x:c r="J4" s="41" t="n">
        <x:f>B5</x:f>
        <x:v>21.312845185308635</x:v>
      </x:c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Uốn có nứt</x:v>
      </x:c>
      <x:c r="B5" s="56" t="n">
        <x:v>21.312845185308635</x:v>
      </x:c>
      <x:c r="C5" s="41" t="str">
        <x:v>mm</x:v>
      </x:c>
      <x:c r="D5" s="41" t="str">
        <x:v>CT186/193–204</x:v>
      </x:c>
      <x:c r="E5" s="41" t="str">
        <x:v>VERIFIED</x:v>
      </x:c>
      <x:c r="F5" s="41" t="str">
        <x:v>Độ võng do uốn có nứt</x:v>
      </x:c>
      <x:c r="G5" s="41" t="str"/>
      <x:c r="H5" s="41"/>
      <x:c r="I5" s="41" t="str">
        <x:v>Trượt</x:v>
      </x:c>
      <x:c r="J5" s="41" t="n">
        <x:f>B6</x:f>
        <x:v>0.20307692307692304</x:v>
      </x:c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Biến dạng trượt</x:v>
      </x:c>
      <x:c r="B6" s="56" t="n">
        <x:v>0.20307692307692304</x:v>
      </x:c>
      <x:c r="C6" s="41" t="str">
        <x:v>mm</x:v>
      </x:c>
      <x:c r="D6" s="41" t="str">
        <x:v>CT181–184</x:v>
      </x:c>
      <x:c r="E6" s="41" t="str">
        <x:v>VERIFIED BRANCH</x:v>
      </x:c>
      <x:c r="F6" s="41" t="str">
        <x:v>Thành phần trượt</x:v>
      </x:c>
      <x:c r="G6" s="41" t="str">
        <x:v>Khai trạng thái nứt xiên</x:v>
      </x:c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Tổng minh họa</x:v>
      </x:c>
      <x:c r="B7" s="56" t="n">
        <x:f>B5+B6</x:f>
        <x:v>21.51592210838556</x:v>
      </x:c>
      <x:c r="C7" s="41" t="str">
        <x:v>mm</x:v>
      </x:c>
      <x:c r="D7" s="41" t="str"/>
      <x:c r="E7" s="41" t="str">
        <x:v>FORMULA</x:v>
      </x:c>
      <x:c r="F7" s="41" t="str">
        <x:v>Uốn có nứt + trượt</x:v>
      </x:c>
      <x:c r="G7" s="41" t="str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b12d1c9a81524e85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3" hidden="0" customWidth="1"/>
    <x:col min="4" max="4" width="32" hidden="0" customWidth="1"/>
    <x:col min="5" max="5" width="30" hidden="0" customWidth="1"/>
    <x:col min="6" max="6" width="20" hidden="0" customWidth="1"/>
    <x:col min="7" max="7" width="48" hidden="0" customWidth="1"/>
    <x:col min="9" max="9" width="18" hidden="0" customWidth="1"/>
    <x:col min="10" max="10" width="16" hidden="0" customWidth="1"/>
  </x:cols>
  <x:sheetData>
    <x:row r="1" ht="30" customHeight="1">
      <x:c r="A1" s="40" t="str">
        <x:v>36 · TCVN 5574 – ỨNG SUẤT TRƯỚC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Thành phần</x:v>
      </x:c>
      <x:c r="B3" s="42" t="str">
        <x:v>Giá trị</x:v>
      </x:c>
      <x:c r="C3" s="42" t="str">
        <x:v>Đơn vị</x:v>
      </x:c>
      <x:c r="D3" s="42" t="str">
        <x:v>Công thức</x:v>
      </x:c>
      <x:c r="E3" s="42" t="str">
        <x:v>Nguồn</x:v>
      </x:c>
      <x:c r="F3" s="42" t="str">
        <x:v>Trạng thái</x:v>
      </x:c>
      <x:c r="G3" s="42" t="str">
        <x:v>Diễn giải</x:v>
      </x:c>
      <x:c r="H3" s="42" t="str"/>
      <x:c r="I3" s="42" t="str">
        <x:v>Hao tổn</x:v>
      </x:c>
      <x:c r="J3" s="42" t="str">
        <x:v>MPa</x:v>
      </x:c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σsp ban đầu</x:v>
      </x:c>
      <x:c r="B4" s="56" t="n">
        <x:v>900</x:v>
      </x:c>
      <x:c r="C4" s="41" t="str">
        <x:v>MPa</x:v>
      </x:c>
      <x:c r="D4" s="41" t="str"/>
      <x:c r="E4" s="41" t="str">
        <x:v>9.1</x:v>
      </x:c>
      <x:c r="F4" s="41" t="str">
        <x:v>INPUT</x:v>
      </x:c>
      <x:c r="G4" s="41" t="str"/>
      <x:c r="H4" s="41"/>
      <x:c r="I4" s="41" t="str">
        <x:v>Ma sát</x:v>
      </x:c>
      <x:c r="J4" s="41" t="n">
        <x:f>B5</x:f>
        <x:v>109.71411217149483</x:v>
      </x:c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Ma sát</x:v>
      </x:c>
      <x:c r="B5" s="56" t="n">
        <x:v>109.71411217149483</x:v>
      </x:c>
      <x:c r="C5" s="41" t="str">
        <x:v>MPa</x:v>
      </x:c>
      <x:c r="D5" s="41" t="str">
        <x:v>CT214</x:v>
      </x:c>
      <x:c r="E5" s="41" t="str">
        <x:v>CT214+Bảng18</x:v>
      </x:c>
      <x:c r="F5" s="41" t="str">
        <x:v>VERIFIED</x:v>
      </x:c>
      <x:c r="G5" s="41" t="str"/>
      <x:c r="H5" s="41"/>
      <x:c r="I5" s="41" t="str">
        <x:v>Từ biến</x:v>
      </x:c>
      <x:c r="J5" s="41" t="n">
        <x:f>B6</x:f>
        <x:v>85.16378158928313</x:v>
      </x:c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Từ biến</x:v>
      </x:c>
      <x:c r="B6" s="56" t="n">
        <x:v>85.16378158928313</x:v>
      </x:c>
      <x:c r="C6" s="41" t="str">
        <x:v>MPa</x:v>
      </x:c>
      <x:c r="D6" s="41" t="str">
        <x:v>CT216</x:v>
      </x:c>
      <x:c r="E6" s="41" t="str">
        <x:v>CT216+Bảng11</x:v>
      </x:c>
      <x:c r="F6" s="41" t="str">
        <x:v>VERIFIED</x:v>
      </x:c>
      <x:c r="G6" s="41" t="str"/>
      <x:c r="H6" s="41"/>
      <x:c r="I6" s="41" t="str">
        <x:v>Co ngót</x:v>
      </x:c>
      <x:c r="J6" s="41" t="n">
        <x:f>B7</x:f>
        <x:v>40</x:v>
      </x:c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Co ngót</x:v>
      </x:c>
      <x:c r="B7" s="56" t="n">
        <x:v>40</x:v>
      </x:c>
      <x:c r="C7" s="41" t="str">
        <x:v>MPa</x:v>
      </x:c>
      <x:c r="D7" s="41" t="str">
        <x:v>CT215</x:v>
      </x:c>
      <x:c r="E7" s="41" t="str">
        <x:v>CT215</x:v>
      </x:c>
      <x:c r="F7" s="41" t="str">
        <x:v>INPUT/AUTO</x:v>
      </x:c>
      <x:c r="G7" s="41" t="str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Tổng hao tổn</x:v>
      </x:c>
      <x:c r="B8" s="57" t="n">
        <x:f>SUM(B5:B7)</x:f>
        <x:v>234.87789376077797</x:v>
      </x:c>
      <x:c r="C8" s="41" t="str">
        <x:v>MPa</x:v>
      </x:c>
      <x:c r="D8" s="41" t="str">
        <x:v>SUM</x:v>
      </x:c>
      <x:c r="E8" s="41" t="str">
        <x:v>CT217–219</x:v>
      </x:c>
      <x:c r="F8" s="41" t="str">
        <x:v>FORMULA</x:v>
      </x:c>
      <x:c r="G8" s="41" t="str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>
        <x:v>σ còn lại</x:v>
      </x:c>
      <x:c r="B9" s="57" t="n">
        <x:f>MAX(0,B4-B8)</x:f>
        <x:v>665.122106239222</x:v>
      </x:c>
      <x:c r="C9" s="41" t="str">
        <x:v>MPa</x:v>
      </x:c>
      <x:c r="D9" s="41" t="str">
        <x:v>σsp−loss</x:v>
      </x:c>
      <x:c r="E9" s="41" t="str">
        <x:v>9.1</x:v>
      </x:c>
      <x:c r="F9" s="41" t="str">
        <x:v>FORMULA</x:v>
      </x:c>
      <x:c r="G9" s="41" t="str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 t="str">
        <x:v>P còn lại</x:v>
      </x:c>
      <x:c r="B10" s="57" t="n">
        <x:f>B9</x:f>
        <x:v>665.122106239222</x:v>
      </x:c>
      <x:c r="C10" s="41" t="str">
        <x:v>kN</x:v>
      </x:c>
      <x:c r="D10" s="41" t="str">
        <x:v>Asp=1000 mm²</x:v>
      </x:c>
      <x:c r="E10" s="41" t="str">
        <x:v>CT220</x:v>
      </x:c>
      <x:c r="F10" s="41" t="str">
        <x:v>FORMULA</x:v>
      </x:c>
      <x:c r="G10" s="41" t="str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9ccba5ea88b44dfd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3" hidden="0" customWidth="1"/>
    <x:col min="4" max="4" width="48" hidden="0" customWidth="1"/>
    <x:col min="5" max="5" width="40" hidden="0" customWidth="1"/>
    <x:col min="6" max="6" width="22" hidden="0" customWidth="1"/>
    <x:col min="7" max="7" width="28" hidden="0" customWidth="1"/>
    <x:col min="8" max="8" width="18" hidden="0" customWidth="1"/>
    <x:col min="9" max="9" width="48" hidden="0" customWidth="1"/>
  </x:cols>
  <x:sheetData>
    <x:row r="1" ht="30" customHeight="1">
      <x:c r="A1" s="40" t="str">
        <x:v>37 · TCVN 5574 – NEO / NỐI</x:v>
      </x:c>
      <x:c r="B1" s="40"/>
      <x:c r="C1" s="40"/>
      <x:c r="D1" s="40"/>
      <x:c r="E1" s="40"/>
      <x:c r="F1" s="40"/>
      <x:c r="G1" s="40"/>
      <x:c r="H1" s="40"/>
      <x:c r="I1" s="40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Bước</x:v>
      </x:c>
      <x:c r="B3" s="42" t="str">
        <x:v>Giá trị</x:v>
      </x:c>
      <x:c r="C3" s="42" t="str">
        <x:v>Đơn vị</x:v>
      </x:c>
      <x:c r="D3" s="42" t="str">
        <x:v>Diễn giải</x:v>
      </x:c>
      <x:c r="E3" s="42" t="str">
        <x:v>Công thức</x:v>
      </x:c>
      <x:c r="F3" s="42" t="str">
        <x:v>Kiểm tra</x:v>
      </x:c>
      <x:c r="G3" s="42" t="str">
        <x:v>Nguồn</x:v>
      </x:c>
      <x:c r="H3" s="42" t="str">
        <x:v>Trạng thái</x:v>
      </x:c>
      <x:c r="I3" s="42" t="str">
        <x:v>Ghi chú</x:v>
      </x:c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Rbond</x:v>
      </x:c>
      <x:c r="B4" s="56" t="n">
        <x:v>2.875</x:v>
      </x:c>
      <x:c r="C4" s="41" t="str">
        <x:v>MPa</x:v>
      </x:c>
      <x:c r="D4" s="41" t="str">
        <x:v>η1η2Rbt</x:v>
      </x:c>
      <x:c r="E4" s="41" t="str">
        <x:v>CT256</x:v>
      </x:c>
      <x:c r="F4" s="41" t="str"/>
      <x:c r="G4" s="41" t="str">
        <x:v>TCVN5574</x:v>
      </x:c>
      <x:c r="H4" s="41" t="str">
        <x:v>VERIFIED</x:v>
      </x:c>
      <x:c r="I4" s="41" t="str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L0,an</x:v>
      </x:c>
      <x:c r="B5" s="56" t="n">
        <x:v>507.2463768115942</x:v>
      </x:c>
      <x:c r="C5" s="41" t="str">
        <x:v>mm</x:v>
      </x:c>
      <x:c r="D5" s="41" t="str">
        <x:v>Chiều dài neo cơ sở</x:v>
      </x:c>
      <x:c r="E5" s="41" t="str">
        <x:v>CT255</x:v>
      </x:c>
      <x:c r="F5" s="41" t="str"/>
      <x:c r="G5" s="41" t="str">
        <x:v>TCVN5574</x:v>
      </x:c>
      <x:c r="H5" s="41" t="str">
        <x:v>VERIFIED</x:v>
      </x:c>
      <x:c r="I5" s="41" t="str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Lan</x:v>
      </x:c>
      <x:c r="B6" s="56" t="n">
        <x:v>608.695652173913</x:v>
      </x:c>
      <x:c r="C6" s="41" t="str">
        <x:v>mm</x:v>
      </x:c>
      <x:c r="D6" s="41" t="str">
        <x:v>Chiều dài neo</x:v>
      </x:c>
      <x:c r="E6" s="41" t="str">
        <x:v>CT257</x:v>
      </x:c>
      <x:c r="F6" s="41" t="str"/>
      <x:c r="G6" s="41" t="str">
        <x:v>TCVN5574</x:v>
      </x:c>
      <x:c r="H6" s="41" t="str">
        <x:v>VERIFIED</x:v>
      </x:c>
      <x:c r="I6" s="41" t="str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Llap</x:v>
      </x:c>
      <x:c r="B7" s="56" t="n">
        <x:v>730.4347826086956</x:v>
      </x:c>
      <x:c r="C7" s="41" t="str">
        <x:v>mm</x:v>
      </x:c>
      <x:c r="D7" s="41" t="str">
        <x:v>Chiều dài nối chồng</x:v>
      </x:c>
      <x:c r="E7" s="41" t="str">
        <x:v>CT259</x:v>
      </x:c>
      <x:c r="F7" s="41" t="str"/>
      <x:c r="G7" s="41" t="str">
        <x:v>TCVN5574</x:v>
      </x:c>
      <x:c r="H7" s="41" t="str">
        <x:v>VERIFIED</x:v>
      </x:c>
      <x:c r="I7" s="41" t="str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Gate d≤40</x:v>
      </x:c>
      <x:c r="B8" s="56" t="n">
        <x:v>1</x:v>
      </x:c>
      <x:c r="C8" s="41" t="str">
        <x:v>1/0</x:v>
      </x:c>
      <x:c r="D8" s="41" t="str">
        <x:v>Nối chồng chỉ d≤40</x:v>
      </x:c>
      <x:c r="E8" s="41" t="str">
        <x:v>10.3.6</x:v>
      </x:c>
      <x:c r="F8" s="41" t="str"/>
      <x:c r="G8" s="41" t="str">
        <x:v>TCVN5574</x:v>
      </x:c>
      <x:c r="H8" s="41" t="str">
        <x:v>SAFE-GATE</x:v>
      </x:c>
      <x:c r="I8" s="41" t="str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>
        <x:v>Kết luận</x:v>
      </x:c>
      <x:c r="B9" s="56" t="str">
        <x:f>IF(B8=1,"ĐỦ PHẠM VI","KHÓA")</x:f>
        <x:v>ĐỦ PHẠM VI</x:v>
      </x:c>
      <x:c r="C9" s="41" t="str"/>
      <x:c r="D9" s="41" t="str">
        <x:v>Đủ phạm vi nếu gate=1</x:v>
      </x:c>
      <x:c r="E9" s="41" t="str"/>
      <x:c r="F9" s="41" t="str"/>
      <x:c r="G9" s="41" t="str">
        <x:v>TCVN5574</x:v>
      </x:c>
      <x:c r="H9" s="41" t="str">
        <x:v>FORMULA</x:v>
      </x:c>
      <x:c r="I9" s="41" t="str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I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3" hidden="0" customWidth="1"/>
    <x:col min="4" max="4" width="36" hidden="0" customWidth="1"/>
    <x:col min="5" max="5" width="28" hidden="0" customWidth="1"/>
    <x:col min="6" max="6" width="22" hidden="0" customWidth="1"/>
    <x:col min="7" max="7" width="16" hidden="0" customWidth="1"/>
    <x:col min="8" max="8" width="42" hidden="0" customWidth="1"/>
    <x:col min="9" max="9" width="42" hidden="0" customWidth="1"/>
  </x:cols>
  <x:sheetData>
    <x:row r="1" ht="30" customHeight="1">
      <x:c r="A1" s="40" t="str">
        <x:v>38 · TCVN 5574 – PHỤ LỤC F / G / H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Module</x:v>
      </x:c>
      <x:c r="B3" s="42" t="str">
        <x:v>Kết quả</x:v>
      </x:c>
      <x:c r="C3" s="42" t="str">
        <x:v>Đơn vị</x:v>
      </x:c>
      <x:c r="D3" s="42" t="str">
        <x:v>Logic</x:v>
      </x:c>
      <x:c r="E3" s="42" t="str">
        <x:v>Nguồn</x:v>
      </x:c>
      <x:c r="F3" s="42" t="str">
        <x:v>Trạng thái</x:v>
      </x:c>
      <x:c r="G3" s="42" t="str">
        <x:v>Benchmark</x:v>
      </x:c>
      <x:c r="H3" s="42" t="str">
        <x:v>Safety gate</x:v>
      </x:c>
      <x:c r="I3" s="42" t="str">
        <x:v>Ghi chú</x:v>
      </x:c>
      <x:c r="J3" s="42" t="str"/>
      <x:c r="K3" s="42" t="str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Vành khuyên F</x:v>
      </x:c>
      <x:c r="B4" s="41" t="n">
        <x:v>538.0081855371169</x:v>
      </x:c>
      <x:c r="C4" s="41" t="str">
        <x:v>kN.m</x:v>
      </x:c>
      <x:c r="D4" s="41" t="str">
        <x:v>F.1–F.6</x:v>
      </x:c>
      <x:c r="E4" s="41" t="str">
        <x:v>Phụ lục F</x:v>
      </x:c>
      <x:c r="F4" s="41" t="str">
        <x:v>VERIFIED</x:v>
      </x:c>
      <x:c r="G4" s="41" t="str">
        <x:v>PASS</x:v>
      </x:c>
      <x:c r="H4" s="41" t="str">
        <x:v>≥7 thanh; r1/r2&gt;0,5</x:v>
      </x:c>
      <x:c r="I4" s="41" t="str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Tròn F</x:v>
      </x:c>
      <x:c r="B5" s="41" t="n">
        <x:v>414.5939702926483</x:v>
      </x:c>
      <x:c r="C5" s="41" t="str">
        <x:v>kN.m</x:v>
      </x:c>
      <x:c r="D5" s="41" t="str">
        <x:v>F.7–F.10</x:v>
      </x:c>
      <x:c r="E5" s="41" t="str">
        <x:v>Phụ lục F</x:v>
      </x:c>
      <x:c r="F5" s="41" t="str">
        <x:v>VERIFIED</x:v>
      </x:c>
      <x:c r="G5" s="41" t="str">
        <x:v>PASS</x:v>
      </x:c>
      <x:c r="H5" s="41" t="str">
        <x:v>Giải lặp ξcir</x:v>
      </x:c>
      <x:c r="I5" s="41" t="str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Chốt G.1</x:v>
      </x:c>
      <x:c r="B6" s="41" t="n">
        <x:v>19.607843137254903</x:v>
      </x:c>
      <x:c r="C6" s="41" t="str">
        <x:v>mm</x:v>
      </x:c>
      <x:c r="D6" s="41" t="str">
        <x:v>tk,min</x:v>
      </x:c>
      <x:c r="E6" s="41" t="str">
        <x:v>G.1</x:v>
      </x:c>
      <x:c r="F6" s="41" t="str">
        <x:v>VERIFIED</x:v>
      </x:c>
      <x:c r="G6" s="41" t="str">
        <x:v>PASS</x:v>
      </x:c>
      <x:c r="H6" s="41" t="str"/>
      <x:c r="I6" s="41" t="str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Chốt G.3</x:v>
      </x:c>
      <x:c r="B7" s="41" t="n">
        <x:v>119.56521739130434</x:v>
      </x:c>
      <x:c r="C7" s="41" t="str">
        <x:v>mm</x:v>
      </x:c>
      <x:c r="D7" s="41" t="str">
        <x:v>Q−0,7N</x:v>
      </x:c>
      <x:c r="E7" s="41" t="str">
        <x:v>G.2/G.3</x:v>
      </x:c>
      <x:c r="F7" s="41" t="str">
        <x:v>VERIFIED</x:v>
      </x:c>
      <x:c r="G7" s="41" t="str">
        <x:v>PASS</x:v>
      </x:c>
      <x:c r="H7" s="41" t="str"/>
      <x:c r="I7" s="41" t="str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Công xôn H</x:v>
      </x:c>
      <x:c r="B8" s="41" t="n">
        <x:v>603.75</x:v>
      </x:c>
      <x:c r="C8" s="41" t="str">
        <x:v>kN</x:v>
      </x:c>
      <x:c r="D8" s="41" t="str">
        <x:v>H.1</x:v>
      </x:c>
      <x:c r="E8" s="41" t="str">
        <x:v>Phụ lục H</x:v>
      </x:c>
      <x:c r="F8" s="41" t="str">
        <x:v>VERIFIED BRANCH</x:v>
      </x:c>
      <x:c r="G8" s="41" t="str">
        <x:v>PASS</x:v>
      </x:c>
      <x:c r="H8" s="41" t="str">
        <x:v>L1/h0≤0,9</x:v>
      </x:c>
      <x:c r="I8" s="41" t="str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3" hidden="0" customWidth="1"/>
    <x:col min="5" max="5" width="42" hidden="0" customWidth="1"/>
    <x:col min="6" max="6" width="30" hidden="0" customWidth="1"/>
    <x:col min="7" max="7" width="24" hidden="0" customWidth="1"/>
    <x:col min="8" max="8" width="48" hidden="0" customWidth="1"/>
    <x:col min="9" max="9" width="16" hidden="0" customWidth="1"/>
    <x:col min="10" max="10" width="42" hidden="0" customWidth="1"/>
  </x:cols>
  <x:sheetData>
    <x:row r="1" ht="30" customHeight="1">
      <x:c r="A1" s="40" t="str">
        <x:v>39 · TCVN 5574 – PHỤ LỤC D / L / M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Module</x:v>
      </x:c>
      <x:c r="B3" s="42" t="str">
        <x:v>Nhánh</x:v>
      </x:c>
      <x:c r="C3" s="42" t="str">
        <x:v>Kết quả</x:v>
      </x:c>
      <x:c r="D3" s="42" t="str">
        <x:v>Đơn vị</x:v>
      </x:c>
      <x:c r="E3" s="42" t="str">
        <x:v>Logic</x:v>
      </x:c>
      <x:c r="F3" s="42" t="str">
        <x:v>Nguồn</x:v>
      </x:c>
      <x:c r="G3" s="42" t="str">
        <x:v>Trạng thái</x:v>
      </x:c>
      <x:c r="H3" s="42" t="str">
        <x:v>Safety gate</x:v>
      </x:c>
      <x:c r="I3" s="42" t="str">
        <x:v>Benchmark</x:v>
      </x:c>
      <x:c r="J3" s="42" t="str">
        <x:v>Ghi chú</x:v>
      </x:c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D</x:v>
      </x:c>
      <x:c r="B4" s="41" t="str">
        <x:v>D.1</x:v>
      </x:c>
      <x:c r="C4" s="41" t="n">
        <x:v>0.8732142857142857</x:v>
      </x:c>
      <x:c r="D4" s="41" t="str">
        <x:v>-</x:v>
      </x:c>
      <x:c r="E4" s="41" t="str">
        <x:v>Tương tác trượt+kéo</x:v>
      </x:c>
      <x:c r="F4" s="41" t="str">
        <x:v>D.1–D.6</x:v>
      </x:c>
      <x:c r="G4" s="41" t="str">
        <x:v>VERIFIED BRANCH</x:v>
      </x:c>
      <x:c r="H4" s="41" t="str">
        <x:v>D.5 Qan0 có provenance</x:v>
      </x:c>
      <x:c r="I4" s="41" t="str">
        <x:v>PASS</x:v>
      </x:c>
      <x:c r="J4" s="41" t="str"/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D</x:v>
      </x:c>
      <x:c r="B5" s="41" t="str">
        <x:v>D.7</x:v>
      </x:c>
      <x:c r="C5" s="41" t="n">
        <x:v>528.5714285714286</x:v>
      </x:c>
      <x:c r="D5" s="41" t="str">
        <x:v>mm²</x:v>
      </x:c>
      <x:c r="E5" s="41" t="str">
        <x:v>Neo xiên</x:v>
      </x:c>
      <x:c r="F5" s="41" t="str">
        <x:v>D.7</x:v>
      </x:c>
      <x:c r="G5" s="41" t="str">
        <x:v>VERIFIED</x:v>
      </x:c>
      <x:c r="H5" s="41" t="str">
        <x:v>15°–30°</x:v>
      </x:c>
      <x:c r="I5" s="41" t="str">
        <x:v>PASS</x:v>
      </x:c>
      <x:c r="J5" s="41" t="str"/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L</x:v>
      </x:c>
      <x:c r="B6" s="41" t="str">
        <x:v>γ</x:v>
      </x:c>
      <x:c r="C6" s="41" t="n">
        <x:v>1.2</x:v>
      </x:c>
      <x:c r="D6" s="41" t="str">
        <x:v>-</x:v>
      </x:c>
      <x:c r="E6" s="41" t="str">
        <x:v>Bảng L.1 mục 3c</x:v>
      </x:c>
      <x:c r="F6" s="41" t="str">
        <x:v>Phụ lục L</x:v>
      </x:c>
      <x:c r="G6" s="41" t="str">
        <x:v>VERIFIED PARTIAL</x:v>
      </x:c>
      <x:c r="H6" s="41" t="str">
        <x:v>Mục khác khóa</x:v>
      </x:c>
      <x:c r="I6" s="41" t="str">
        <x:v>PASS</x:v>
      </x:c>
      <x:c r="J6" s="41" t="str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M</x:v>
      </x:c>
      <x:c r="B7" s="41" t="str">
        <x:v>Generic</x:v>
      </x:c>
      <x:c r="C7" s="41" t="n">
        <x:v>40</x:v>
      </x:c>
      <x:c r="D7" s="41" t="str">
        <x:v>mm</x:v>
      </x:c>
      <x:c r="E7" s="41" t="str">
        <x:v>L/150 hoặc L/75</x:v>
      </x:c>
      <x:c r="F7" s="41" t="str">
        <x:v>M.4.1.3</x:v>
      </x:c>
      <x:c r="G7" s="41" t="str">
        <x:v>VERIFIED</x:v>
      </x:c>
      <x:c r="H7" s="41" t="str"/>
      <x:c r="I7" s="41" t="str">
        <x:v>PASS</x:v>
      </x:c>
      <x:c r="J7" s="41" t="str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M</x:v>
      </x:c>
      <x:c r="B8" s="41" t="str">
        <x:v>M.2</x:v>
      </x:c>
      <x:c r="C8" s="41" t="n">
        <x:v>2.40140625</x:v>
      </x:c>
      <x:c r="D8" s="41" t="str">
        <x:v>mm</x:v>
      </x:c>
      <x:c r="E8" s="41" t="str">
        <x:v>Tâm sinh lý</x:v>
      </x:c>
      <x:c r="F8" s="41" t="str">
        <x:v>M.2</x:v>
      </x:c>
      <x:c r="G8" s="41" t="str">
        <x:v>VERIFIED</x:v>
      </x:c>
      <x:c r="H8" s="41" t="str">
        <x:v>p1 có nguồn</x:v>
      </x:c>
      <x:c r="I8" s="41" t="str">
        <x:v>PASS</x:v>
      </x:c>
      <x:c r="J8" s="41" t="str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>
        <x:v>M</x:v>
      </x:c>
      <x:c r="B9" s="41" t="str">
        <x:v>M.3</x:v>
      </x:c>
      <x:c r="C9" s="41" t="n">
        <x:v>12</x:v>
      </x:c>
      <x:c r="D9" s="41" t="str">
        <x:v>mm</x:v>
      </x:c>
      <x:c r="E9" s="41" t="str">
        <x:v>Cần trục</x:v>
      </x:c>
      <x:c r="F9" s="41" t="str">
        <x:v>Bảng M.3</x:v>
      </x:c>
      <x:c r="G9" s="41" t="str">
        <x:v>VERIFIED</x:v>
      </x:c>
      <x:c r="H9" s="41" t="str"/>
      <x:c r="I9" s="41" t="str">
        <x:v>PASS</x:v>
      </x:c>
      <x:c r="J9" s="41" t="str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 t="str">
        <x:v>M</x:v>
      </x:c>
      <x:c r="B10" s="41" t="str">
        <x:v>M.4</x:v>
      </x:c>
      <x:c r="C10" s="41" t="n">
        <x:v>75</x:v>
      </x:c>
      <x:c r="D10" s="41" t="str">
        <x:v>mm</x:v>
      </x:c>
      <x:c r="E10" s="41" t="str">
        <x:v>Chuyển vị cấu tạo</x:v>
      </x:c>
      <x:c r="F10" s="41" t="str">
        <x:v>Bảng M.4</x:v>
      </x:c>
      <x:c r="G10" s="41" t="str">
        <x:v>VERIFIED</x:v>
      </x:c>
      <x:c r="H10" s="41" t="str"/>
      <x:c r="I10" s="41" t="str">
        <x:v>PASS</x:v>
      </x:c>
      <x:c r="J10" s="41" t="str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J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3" hidden="0" customWidth="1"/>
    <x:col min="4" max="4" width="16" hidden="0" customWidth="1"/>
    <x:col min="5" max="5" width="18" hidden="0" customWidth="1"/>
    <x:col min="6" max="6" width="22" hidden="0" customWidth="1"/>
    <x:col min="7" max="7" width="22" hidden="0" customWidth="1"/>
    <x:col min="8" max="8" width="36" hidden="0" customWidth="1"/>
  </x:cols>
  <x:sheetData>
    <x:row r="1" ht="30" customHeight="1">
      <x:c r="A1" s="40" t="str">
        <x:v>70 · IMAGE-TO-ENGINEERING – DỮ LIỆU ẢNH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Trường kỹ thuật</x:v>
      </x:c>
      <x:c r="B3" s="42" t="str">
        <x:v>AI đọc</x:v>
      </x:c>
      <x:c r="C3" s="42" t="str">
        <x:v>Đơn vị</x:v>
      </x:c>
      <x:c r="D3" s="42" t="str">
        <x:v>Độ tin cậy</x:v>
      </x:c>
      <x:c r="E3" s="42" t="str">
        <x:v>Ảnh nguồn</x:v>
      </x:c>
      <x:c r="F3" s="42" t="str">
        <x:v>Giá trị xác nhận</x:v>
      </x:c>
      <x:c r="G3" s="42" t="str">
        <x:v>Trạng thái</x:v>
      </x:c>
      <x:c r="H3" s="42" t="str">
        <x:v>Provenance</x:v>
      </x:c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pile.type</x:v>
      </x:c>
      <x:c r="B4" s="41" t="str">
        <x:v>PHC</x:v>
      </x:c>
      <x:c r="C4" s="41" t="str">
        <x:v>-</x:v>
      </x:c>
      <x:c r="D4" s="41" t="n">
        <x:v>0.99</x:v>
      </x:c>
      <x:c r="E4" s="41" t="str">
        <x:v>Ảnh 1</x:v>
      </x:c>
      <x:c r="F4" s="50" t="str">
        <x:v>PHC</x:v>
      </x:c>
      <x:c r="G4" s="41" t="str">
        <x:v>ĐÃ XÁC NHẬN</x:v>
      </x:c>
      <x:c r="H4" s="41" t="str">
        <x:v>Ảnh 1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pile.loadClass</x:v>
      </x:c>
      <x:c r="B5" s="41" t="str">
        <x:v>B</x:v>
      </x:c>
      <x:c r="C5" s="41" t="str">
        <x:v>-</x:v>
      </x:c>
      <x:c r="D5" s="41" t="n">
        <x:v>0.99</x:v>
      </x:c>
      <x:c r="E5" s="41" t="str">
        <x:v>Ảnh 1</x:v>
      </x:c>
      <x:c r="F5" s="50" t="str">
        <x:v>B</x:v>
      </x:c>
      <x:c r="G5" s="41" t="str">
        <x:v>ĐÃ XÁC NHẬN</x:v>
      </x:c>
      <x:c r="H5" s="41" t="str">
        <x:v>Ảnh 1</x:v>
      </x:c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pile.diameterMm</x:v>
      </x:c>
      <x:c r="B6" s="41" t="n">
        <x:v>600</x:v>
      </x:c>
      <x:c r="C6" s="41" t="str">
        <x:v>mm</x:v>
      </x:c>
      <x:c r="D6" s="41" t="n">
        <x:v>0.99</x:v>
      </x:c>
      <x:c r="E6" s="41" t="str">
        <x:v>Ảnh 1</x:v>
      </x:c>
      <x:c r="F6" s="50" t="n">
        <x:v>600</x:v>
      </x:c>
      <x:c r="G6" s="41" t="str">
        <x:v>ĐÃ XÁC NHẬN</x:v>
      </x:c>
      <x:c r="H6" s="41" t="str">
        <x:v>Ảnh 1</x:v>
      </x:c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pile.lengthM</x:v>
      </x:c>
      <x:c r="B7" s="41" t="n">
        <x:v>20</x:v>
      </x:c>
      <x:c r="C7" s="41" t="str">
        <x:v>m</x:v>
      </x:c>
      <x:c r="D7" s="41" t="n">
        <x:v>0.98</x:v>
      </x:c>
      <x:c r="E7" s="41" t="str">
        <x:v>Ảnh 1</x:v>
      </x:c>
      <x:c r="F7" s="50" t="n">
        <x:v>20</x:v>
      </x:c>
      <x:c r="G7" s="41" t="str">
        <x:v>ĐÃ XÁC NHẬN</x:v>
      </x:c>
      <x:c r="H7" s="41" t="str">
        <x:v>Ảnh 1</x:v>
      </x:c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material.sigmaCuMpa</x:v>
      </x:c>
      <x:c r="B8" s="41" t="n">
        <x:v>80</x:v>
      </x:c>
      <x:c r="C8" s="41" t="str">
        <x:v>MPa</x:v>
      </x:c>
      <x:c r="D8" s="41" t="n">
        <x:v>0.98</x:v>
      </x:c>
      <x:c r="E8" s="41" t="str">
        <x:v>Ảnh 1</x:v>
      </x:c>
      <x:c r="F8" s="50" t="n">
        <x:v>80</x:v>
      </x:c>
      <x:c r="G8" s="41" t="str">
        <x:v>ĐÃ XÁC NHẬN</x:v>
      </x:c>
      <x:c r="H8" s="41" t="str">
        <x:v>Ảnh 1</x:v>
      </x:c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>
        <x:v>layer.1.IL</x:v>
      </x:c>
      <x:c r="B9" s="41" t="n">
        <x:v>0.5</x:v>
      </x:c>
      <x:c r="C9" s="41" t="str">
        <x:v>-</x:v>
      </x:c>
      <x:c r="D9" s="41" t="n">
        <x:v>0.96</x:v>
      </x:c>
      <x:c r="E9" s="41" t="str">
        <x:v>Ảnh 2</x:v>
      </x:c>
      <x:c r="F9" s="50" t="n">
        <x:v>0.5</x:v>
      </x:c>
      <x:c r="G9" s="41" t="str">
        <x:v>ĐÃ XÁC NHẬN</x:v>
      </x:c>
      <x:c r="H9" s="41" t="str">
        <x:v>Ảnh 2</x:v>
      </x:c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 t="str">
        <x:v>material.concreteGrade</x:v>
      </x:c>
      <x:c r="B10" s="41" t="str">
        <x:v>B30</x:v>
      </x:c>
      <x:c r="C10" s="41" t="str">
        <x:v>-</x:v>
      </x:c>
      <x:c r="D10" s="41" t="n">
        <x:v>0.99</x:v>
      </x:c>
      <x:c r="E10" s="41" t="str">
        <x:v>Ảnh 3</x:v>
      </x:c>
      <x:c r="F10" s="50" t="str">
        <x:v>B30</x:v>
      </x:c>
      <x:c r="G10" s="41" t="str">
        <x:v>ĐÃ XÁC NHẬN</x:v>
      </x:c>
      <x:c r="H10" s="41" t="str">
        <x:v>Ảnh 3</x:v>
      </x:c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 t="str">
        <x:v>MKnM</x:v>
      </x:c>
      <x:c r="B11" s="41" t="n">
        <x:v>200</x:v>
      </x:c>
      <x:c r="C11" s="41" t="str">
        <x:v>kN.m</x:v>
      </x:c>
      <x:c r="D11" s="41" t="n">
        <x:v>0.98</x:v>
      </x:c>
      <x:c r="E11" s="41" t="str">
        <x:v>Ảnh 3</x:v>
      </x:c>
      <x:c r="F11" s="50" t="n">
        <x:v>200</x:v>
      </x:c>
      <x:c r="G11" s="41" t="str">
        <x:v>ĐÃ XÁC NHẬN</x:v>
      </x:c>
      <x:c r="H11" s="41" t="str">
        <x:v>Ảnh 3</x:v>
      </x:c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H1"/>
  </x:mergeCells>
  <x:conditionalFormatting sqref="D4:D11">
    <x:cfRule type="colorScale" priority="1">
      <x:colorScale>
        <x:cfvo type="min"/>
        <x:cfvo type="percentile" val="50"/>
        <x:cfvo type="max"/>
        <x:color rgb="FFF4CCCC"/>
        <x:color rgb="FFFFF2CC"/>
        <x:color rgb="FFC6E0B4"/>
      </x:colorScale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2" hidden="0" customWidth="1"/>
    <x:col min="4" max="4" width="22" hidden="0" customWidth="1"/>
    <x:col min="5" max="5" width="18" hidden="0" customWidth="1"/>
    <x:col min="6" max="6" width="16" hidden="0" customWidth="1"/>
    <x:col min="7" max="7" width="14" hidden="0" customWidth="1"/>
    <x:col min="8" max="8" width="13" hidden="0" customWidth="1"/>
    <x:col min="9" max="9" width="30" hidden="0" customWidth="1"/>
  </x:cols>
  <x:sheetData>
    <x:row r="1" ht="30" customHeight="1">
      <x:c r="A1" s="40" t="str">
        <x:v>80 · GOLDEN TEST TOÀN BỘ 3 TIÊU CHUẨN</x:v>
      </x:c>
      <x:c r="B1" s="40"/>
      <x:c r="C1" s="40"/>
      <x:c r="D1" s="40"/>
      <x:c r="E1" s="40"/>
      <x:c r="F1" s="40"/>
      <x:c r="G1" s="40"/>
      <x:c r="H1" s="40"/>
      <x:c r="I1" s="40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Tiêu chuẩn</x:v>
      </x:c>
      <x:c r="B3" s="42" t="str">
        <x:v>Workflow</x:v>
      </x:c>
      <x:c r="C3" s="42" t="str">
        <x:v>HNL</x:v>
      </x:c>
      <x:c r="D3" s="42" t="str">
        <x:v>Excel</x:v>
      </x:c>
      <x:c r="E3" s="42" t="str">
        <x:v>Sai lệch</x:v>
      </x:c>
      <x:c r="F3" s="42" t="str">
        <x:v>Tolerance</x:v>
      </x:c>
      <x:c r="G3" s="42" t="str">
        <x:v>Kết quả</x:v>
      </x:c>
      <x:c r="H3" s="42" t="str">
        <x:v>Đơn vị</x:v>
      </x:c>
      <x:c r="I3" s="42" t="str">
        <x:v>Nguồn</x:v>
      </x:c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7888</x:v>
      </x:c>
      <x:c r="B4" s="41" t="str">
        <x:v>PHC D600-B Ra dài</x:v>
      </x:c>
      <x:c r="C4" s="41" t="n">
        <x:v>3007.581286966663</x:v>
      </x:c>
      <x:c r="D4" s="41" t="n">
        <x:v>3007.581286966663</x:v>
      </x:c>
      <x:c r="E4" s="41" t="n">
        <x:v>0</x:v>
      </x:c>
      <x:c r="F4" s="41" t="n">
        <x:v>1e-8</x:v>
      </x:c>
      <x:c r="G4" s="62" t="str">
        <x:v>PASS</x:v>
      </x:c>
      <x:c r="H4" s="41" t="str">
        <x:v>kN</x:v>
      </x:c>
      <x:c r="I4" s="41" t="str">
        <x:v>Bảng1+B.4</x:v>
      </x:c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7888</x:v>
      </x:c>
      <x:c r="B5" s="41" t="str">
        <x:v>PHC D600-B Pmax</x:v>
      </x:c>
      <x:c r="C5" s="41" t="n">
        <x:v>4812.130059146661</x:v>
      </x:c>
      <x:c r="D5" s="41" t="n">
        <x:v>4812.130059146661</x:v>
      </x:c>
      <x:c r="E5" s="41" t="n">
        <x:v>0</x:v>
      </x:c>
      <x:c r="F5" s="41" t="n">
        <x:v>1e-8</x:v>
      </x:c>
      <x:c r="G5" s="62" t="str">
        <x:v>PASS</x:v>
      </x:c>
      <x:c r="H5" s="41" t="str">
        <x:v>kN</x:v>
      </x:c>
      <x:c r="I5" s="41" t="str">
        <x:v>B.5</x:v>
      </x:c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10304</x:v>
      </x:c>
      <x:c r="B6" s="41" t="str">
        <x:v>Cọc chống</x:v>
      </x:c>
      <x:c r="C6" s="41" t="n">
        <x:v>800</x:v>
      </x:c>
      <x:c r="D6" s="41" t="n">
        <x:v>800</x:v>
      </x:c>
      <x:c r="E6" s="41" t="n">
        <x:v>0</x:v>
      </x:c>
      <x:c r="F6" s="41" t="n">
        <x:v>0.000001</x:v>
      </x:c>
      <x:c r="G6" s="62" t="str">
        <x:v>PASS</x:v>
      </x:c>
      <x:c r="H6" s="41" t="str">
        <x:v>kN</x:v>
      </x:c>
      <x:c r="I6" s="41" t="str">
        <x:v>CT5–8</x:v>
      </x:c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10304</x:v>
      </x:c>
      <x:c r="B7" s="41" t="str">
        <x:v>Cọc đóng</x:v>
      </x:c>
      <x:c r="C7" s="41" t="n">
        <x:v>1264</x:v>
      </x:c>
      <x:c r="D7" s="41" t="n">
        <x:v>1264</x:v>
      </x:c>
      <x:c r="E7" s="41" t="n">
        <x:v>0</x:v>
      </x:c>
      <x:c r="F7" s="41" t="n">
        <x:v>0.000001</x:v>
      </x:c>
      <x:c r="G7" s="62" t="str">
        <x:v>PASS</x:v>
      </x:c>
      <x:c r="H7" s="41" t="str">
        <x:v>kN</x:v>
      </x:c>
      <x:c r="I7" s="41" t="str">
        <x:v>CT9</x:v>
      </x:c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10304</x:v>
      </x:c>
      <x:c r="B8" s="41" t="str">
        <x:v>Cọc nhồi</x:v>
      </x:c>
      <x:c r="C8" s="41" t="n">
        <x:v>3187.1</x:v>
      </x:c>
      <x:c r="D8" s="41" t="n">
        <x:v>3187.1</x:v>
      </x:c>
      <x:c r="E8" s="41" t="n">
        <x:v>0</x:v>
      </x:c>
      <x:c r="F8" s="41" t="n">
        <x:v>0.000001</x:v>
      </x:c>
      <x:c r="G8" s="62" t="str">
        <x:v>PASS</x:v>
      </x:c>
      <x:c r="H8" s="41" t="str">
        <x:v>kN</x:v>
      </x:c>
      <x:c r="I8" s="41" t="str">
        <x:v>CT13</x:v>
      </x:c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>
        <x:v>10304</x:v>
      </x:c>
      <x:c r="B9" s="41" t="str">
        <x:v>Cọc vít</x:v>
      </x:c>
      <x:c r="C9" s="41" t="n">
        <x:v>1566.72</x:v>
      </x:c>
      <x:c r="D9" s="41" t="n">
        <x:v>1566.72</x:v>
      </x:c>
      <x:c r="E9" s="41" t="n">
        <x:v>0</x:v>
      </x:c>
      <x:c r="F9" s="41" t="n">
        <x:v>0.000001</x:v>
      </x:c>
      <x:c r="G9" s="62" t="str">
        <x:v>PASS</x:v>
      </x:c>
      <x:c r="H9" s="41" t="str">
        <x:v>kN</x:v>
      </x:c>
      <x:c r="I9" s="41" t="str">
        <x:v>CT17–19</x:v>
      </x:c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 t="str">
        <x:v>10304</x:v>
      </x:c>
      <x:c r="B10" s="41" t="str">
        <x:v>CPT</x:v>
      </x:c>
      <x:c r="C10" s="41" t="n">
        <x:v>880</x:v>
      </x:c>
      <x:c r="D10" s="41" t="n">
        <x:v>880</x:v>
      </x:c>
      <x:c r="E10" s="41" t="n">
        <x:v>0</x:v>
      </x:c>
      <x:c r="F10" s="41" t="n">
        <x:v>0.000001</x:v>
      </x:c>
      <x:c r="G10" s="62" t="str">
        <x:v>PASS</x:v>
      </x:c>
      <x:c r="H10" s="41" t="str">
        <x:v>kN</x:v>
      </x:c>
      <x:c r="I10" s="41" t="str">
        <x:v>CT25–28</x:v>
      </x:c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 t="str">
        <x:v>10304</x:v>
      </x:c>
      <x:c r="B11" s="41" t="str">
        <x:v>SPT</x:v>
      </x:c>
      <x:c r="C11" s="41" t="n">
        <x:v>496</x:v>
      </x:c>
      <x:c r="D11" s="41" t="n">
        <x:v>496</x:v>
      </x:c>
      <x:c r="E11" s="41" t="n">
        <x:v>0</x:v>
      </x:c>
      <x:c r="F11" s="41" t="n">
        <x:v>0.000001</x:v>
      </x:c>
      <x:c r="G11" s="62" t="str">
        <x:v>PASS</x:v>
      </x:c>
      <x:c r="H11" s="41" t="str">
        <x:v>kN</x:v>
      </x:c>
      <x:c r="I11" s="41" t="str">
        <x:v>PL D</x:v>
      </x:c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 t="str">
        <x:v>10304</x:v>
      </x:c>
      <x:c r="B12" s="41" t="str">
        <x:v>Lún cọc đơn</x:v>
      </x:c>
      <x:c r="C12" s="41" t="n">
        <x:v>0.0025903059797355065</x:v>
      </x:c>
      <x:c r="D12" s="41" t="n">
        <x:v>0.0025903059797355065</x:v>
      </x:c>
      <x:c r="E12" s="41" t="n">
        <x:v>0</x:v>
      </x:c>
      <x:c r="F12" s="41" t="n">
        <x:v>1e-8</x:v>
      </x:c>
      <x:c r="G12" s="62" t="str">
        <x:v>PASS</x:v>
      </x:c>
      <x:c r="H12" s="41" t="str">
        <x:v>m</x:v>
      </x:c>
      <x:c r="I12" s="41" t="str">
        <x:v>CT30–35</x:v>
      </x:c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 t="str">
        <x:v>10304</x:v>
      </x:c>
      <x:c r="B13" s="41" t="str">
        <x:v>Lún nhóm</x:v>
      </x:c>
      <x:c r="C13" s="41" t="n">
        <x:v>0.010997576886752153</x:v>
      </x:c>
      <x:c r="D13" s="41" t="n">
        <x:v>0.010997576886752153</x:v>
      </x:c>
      <x:c r="E13" s="41" t="n">
        <x:v>0</x:v>
      </x:c>
      <x:c r="F13" s="41" t="n">
        <x:v>1e-8</x:v>
      </x:c>
      <x:c r="G13" s="62" t="str">
        <x:v>PASS</x:v>
      </x:c>
      <x:c r="H13" s="41" t="str">
        <x:v>m</x:v>
      </x:c>
      <x:c r="I13" s="41" t="str">
        <x:v>CT36–40</x:v>
      </x:c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 t="str">
        <x:v>5574</x:v>
      </x:c>
      <x:c r="B14" s="41" t="str">
        <x:v>Nứt acrc</x:v>
      </x:c>
      <x:c r="C14" s="41" t="n">
        <x:v>0.19643377985660346</x:v>
      </x:c>
      <x:c r="D14" s="41" t="n">
        <x:v>0.19643377985660346</x:v>
      </x:c>
      <x:c r="E14" s="41" t="n">
        <x:v>0</x:v>
      </x:c>
      <x:c r="F14" s="41" t="n">
        <x:v>1e-8</x:v>
      </x:c>
      <x:c r="G14" s="62" t="str">
        <x:v>PASS</x:v>
      </x:c>
      <x:c r="H14" s="41" t="str">
        <x:v>mm</x:v>
      </x:c>
      <x:c r="I14" s="41" t="str">
        <x:v>CT166</x:v>
      </x:c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 t="str">
        <x:v>5574</x:v>
      </x:c>
      <x:c r="B15" s="41" t="str">
        <x:v>Độ võng có nứt</x:v>
      </x:c>
      <x:c r="C15" s="41" t="n">
        <x:v>21.312845185308635</x:v>
      </x:c>
      <x:c r="D15" s="41" t="n">
        <x:v>21.312845185308635</x:v>
      </x:c>
      <x:c r="E15" s="41" t="n">
        <x:v>0</x:v>
      </x:c>
      <x:c r="F15" s="41" t="n">
        <x:v>1e-8</x:v>
      </x:c>
      <x:c r="G15" s="62" t="str">
        <x:v>PASS</x:v>
      </x:c>
      <x:c r="H15" s="41" t="str">
        <x:v>mm</x:v>
      </x:c>
      <x:c r="I15" s="41" t="str">
        <x:v>CT186/193–204</x:v>
      </x:c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 t="str">
        <x:v>5574</x:v>
      </x:c>
      <x:c r="B16" s="41" t="str">
        <x:v>Ma sát CT214</x:v>
      </x:c>
      <x:c r="C16" s="41" t="n">
        <x:v>109.71411217149483</x:v>
      </x:c>
      <x:c r="D16" s="41" t="n">
        <x:v>109.71411217149483</x:v>
      </x:c>
      <x:c r="E16" s="41" t="n">
        <x:v>0</x:v>
      </x:c>
      <x:c r="F16" s="41" t="n">
        <x:v>1e-8</x:v>
      </x:c>
      <x:c r="G16" s="62" t="str">
        <x:v>PASS</x:v>
      </x:c>
      <x:c r="H16" s="41" t="str">
        <x:v>MPa</x:v>
      </x:c>
      <x:c r="I16" s="41" t="str">
        <x:v>CT214</x:v>
      </x:c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 t="str">
        <x:v>5574</x:v>
      </x:c>
      <x:c r="B17" s="41" t="str">
        <x:v>Neo Lan</x:v>
      </x:c>
      <x:c r="C17" s="41" t="n">
        <x:v>608.695652173913</x:v>
      </x:c>
      <x:c r="D17" s="41" t="n">
        <x:v>608.695652173913</x:v>
      </x:c>
      <x:c r="E17" s="41" t="n">
        <x:v>0</x:v>
      </x:c>
      <x:c r="F17" s="41" t="n">
        <x:v>1e-8</x:v>
      </x:c>
      <x:c r="G17" s="62" t="str">
        <x:v>PASS</x:v>
      </x:c>
      <x:c r="H17" s="41" t="str">
        <x:v>mm</x:v>
      </x:c>
      <x:c r="I17" s="41" t="str">
        <x:v>CT255–257</x:v>
      </x:c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 t="str">
        <x:v>5574</x:v>
      </x:c>
      <x:c r="B18" s="41" t="str">
        <x:v>Vành khuyên</x:v>
      </x:c>
      <x:c r="C18" s="41" t="n">
        <x:v>538.0081855371169</x:v>
      </x:c>
      <x:c r="D18" s="41" t="n">
        <x:v>538.0081855371169</x:v>
      </x:c>
      <x:c r="E18" s="41" t="n">
        <x:v>0</x:v>
      </x:c>
      <x:c r="F18" s="41" t="n">
        <x:v>1e-8</x:v>
      </x:c>
      <x:c r="G18" s="62" t="str">
        <x:v>PASS</x:v>
      </x:c>
      <x:c r="H18" s="41" t="str">
        <x:v>kN.m</x:v>
      </x:c>
      <x:c r="I18" s="41" t="str">
        <x:v>PL F</x:v>
      </x:c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 t="str">
        <x:v>5574</x:v>
      </x:c>
      <x:c r="B19" s="41" t="str">
        <x:v>D.1</x:v>
      </x:c>
      <x:c r="C19" s="41" t="n">
        <x:v>0.8732142857142857</x:v>
      </x:c>
      <x:c r="D19" s="41" t="n">
        <x:v>0.8732142857142857</x:v>
      </x:c>
      <x:c r="E19" s="41" t="n">
        <x:v>0</x:v>
      </x:c>
      <x:c r="F19" s="41" t="n">
        <x:v>1e-10</x:v>
      </x:c>
      <x:c r="G19" s="62" t="str">
        <x:v>PASS</x:v>
      </x:c>
      <x:c r="H19" s="41" t="str">
        <x:v>-</x:v>
      </x:c>
      <x:c r="I19" s="41" t="str">
        <x:v>PL D</x:v>
      </x:c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 t="str">
        <x:v>5574</x:v>
      </x:c>
      <x:c r="B20" s="41" t="str">
        <x:v>M.4</x:v>
      </x:c>
      <x:c r="C20" s="41" t="n">
        <x:v>75</x:v>
      </x:c>
      <x:c r="D20" s="41" t="n">
        <x:v>75</x:v>
      </x:c>
      <x:c r="E20" s="41" t="n">
        <x:v>0</x:v>
      </x:c>
      <x:c r="F20" s="41" t="n">
        <x:v>1e-10</x:v>
      </x:c>
      <x:c r="G20" s="62" t="str">
        <x:v>PASS</x:v>
      </x:c>
      <x:c r="H20" s="41" t="str">
        <x:v>mm</x:v>
      </x:c>
      <x:c r="I20" s="41" t="str">
        <x:v>PL M</x:v>
      </x:c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40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52" hidden="0" customWidth="1"/>
  </x:cols>
  <x:sheetData>
    <x:row r="1" ht="30" customHeight="1">
      <x:c r="A1" s="40" t="str">
        <x:v>90 · NGUỒN / PROVENANCE</x:v>
      </x:c>
      <x:c r="B1" s="40"/>
      <x:c r="C1" s="40"/>
      <x:c r="D1" s="40"/>
      <x:c r="E1" s="40"/>
      <x:c r="F1" s="40"/>
      <x:c r="G1" s="40"/>
      <x:c r="H1" s="40"/>
      <x:c r="I1" s="40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</x:row>
    <x:row r="3">
      <x:c r="A3" s="42" t="str">
        <x:v>Tiêu chuẩn</x:v>
      </x:c>
      <x:c r="B3" s="42" t="str">
        <x:v>Ấn bản</x:v>
      </x:c>
      <x:c r="C3" s="42" t="str">
        <x:v>Module</x:v>
      </x:c>
      <x:c r="D3" s="42" t="str">
        <x:v>Điều/Bảng/CT</x:v>
      </x:c>
      <x:c r="E3" s="42" t="str">
        <x:v>Trang chuẩn</x:v>
      </x:c>
      <x:c r="F3" s="42" t="str">
        <x:v>Trang PDF</x:v>
      </x:c>
      <x:c r="G3" s="42" t="str">
        <x:v>Trạng thái</x:v>
      </x:c>
      <x:c r="H3" s="42" t="str">
        <x:v>Nguồn</x:v>
      </x:c>
      <x:c r="I3" s="42" t="str">
        <x:v>Ghi chú</x:v>
      </x:c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</x:row>
    <x:row r="4">
      <x:c r="A4" s="41" t="str">
        <x:v>TCVN 7888</x:v>
      </x:c>
      <x:c r="B4" s="41" t="str">
        <x:v>2014</x:v>
      </x:c>
      <x:c r="C4" s="41" t="str">
        <x:v>PC/PHC</x:v>
      </x:c>
      <x:c r="D4" s="41" t="str">
        <x:v>Bảng 1</x:v>
      </x:c>
      <x:c r="E4" s="41" t="str">
        <x:v>10–11</x:v>
      </x:c>
      <x:c r="F4" s="41" t="str">
        <x:v>10–11</x:v>
      </x:c>
      <x:c r="G4" s="41" t="str">
        <x:v>VERIFIED</x:v>
      </x:c>
      <x:c r="H4" s="41" t="str">
        <x:v>PDF gốc</x:v>
      </x:c>
      <x:c r="I4" s="41" t="str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</x:row>
    <x:row r="5">
      <x:c r="A5" s="41" t="str">
        <x:v>TCVN 7888</x:v>
      </x:c>
      <x:c r="B5" s="41" t="str">
        <x:v>2014</x:v>
      </x:c>
      <x:c r="C5" s="41" t="str">
        <x:v>NPH</x:v>
      </x:c>
      <x:c r="D5" s="41" t="str">
        <x:v>Bảng 2</x:v>
      </x:c>
      <x:c r="E5" s="41" t="str">
        <x:v>12</x:v>
      </x:c>
      <x:c r="F5" s="41" t="str">
        <x:v>12</x:v>
      </x:c>
      <x:c r="G5" s="41" t="str">
        <x:v>VERIFIED</x:v>
      </x:c>
      <x:c r="H5" s="41" t="str">
        <x:v>PDF gốc</x:v>
      </x:c>
      <x:c r="I5" s="41" t="str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</x:row>
    <x:row r="6">
      <x:c r="A6" s="41" t="str">
        <x:v>TCVN 7888</x:v>
      </x:c>
      <x:c r="B6" s="41" t="str">
        <x:v>2014</x:v>
      </x:c>
      <x:c r="C6" s="41" t="str">
        <x:v>Vật liệu</x:v>
      </x:c>
      <x:c r="D6" s="41" t="str">
        <x:v>Phụ lục B</x:v>
      </x:c>
      <x:c r="E6" s="41" t="str">
        <x:v>32–33</x:v>
      </x:c>
      <x:c r="F6" s="41" t="str">
        <x:v>32–33</x:v>
      </x:c>
      <x:c r="G6" s="41" t="str">
        <x:v>VERIFIED</x:v>
      </x:c>
      <x:c r="H6" s="41" t="str">
        <x:v>PDF gốc</x:v>
      </x:c>
      <x:c r="I6" s="41" t="str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</x:row>
    <x:row r="7">
      <x:c r="A7" s="41" t="str">
        <x:v>TCVN 10304</x:v>
      </x:c>
      <x:c r="B7" s="41" t="str">
        <x:v>2025</x:v>
      </x:c>
      <x:c r="C7" s="41" t="str">
        <x:v>Cọc đóng</x:v>
      </x:c>
      <x:c r="D7" s="41" t="str">
        <x:v>CT9+Bảng2–4</x:v>
      </x:c>
      <x:c r="E7" s="41" t="str">
        <x:v>31–35</x:v>
      </x:c>
      <x:c r="F7" s="41" t="str">
        <x:v>31–35</x:v>
      </x:c>
      <x:c r="G7" s="41" t="str">
        <x:v>VERIFIED</x:v>
      </x:c>
      <x:c r="H7" s="41" t="str">
        <x:v>PDF gốc</x:v>
      </x:c>
      <x:c r="I7" s="41" t="str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</x:row>
    <x:row r="8">
      <x:c r="A8" s="41" t="str">
        <x:v>TCVN 10304</x:v>
      </x:c>
      <x:c r="B8" s="41" t="str">
        <x:v>2025</x:v>
      </x:c>
      <x:c r="C8" s="41" t="str">
        <x:v>Lún</x:v>
      </x:c>
      <x:c r="D8" s="41" t="str">
        <x:v>CT30–46</x:v>
      </x:c>
      <x:c r="E8" s="41" t="str">
        <x:v>59–65</x:v>
      </x:c>
      <x:c r="F8" s="41" t="str">
        <x:v>59–65</x:v>
      </x:c>
      <x:c r="G8" s="41" t="str">
        <x:v>VERIFIED</x:v>
      </x:c>
      <x:c r="H8" s="41" t="str">
        <x:v>PDF gốc</x:v>
      </x:c>
      <x:c r="I8" s="41" t="str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</x:row>
    <x:row r="9">
      <x:c r="A9" s="41" t="str">
        <x:v>TCVN 10304</x:v>
      </x:c>
      <x:c r="B9" s="41" t="str">
        <x:v>2025</x:v>
      </x:c>
      <x:c r="C9" s="41" t="str">
        <x:v>Bè-cọc</x:v>
      </x:c>
      <x:c r="D9" s="41" t="str">
        <x:v>7.4.5</x:v>
      </x:c>
      <x:c r="E9" s="41" t="str">
        <x:v>65–67</x:v>
      </x:c>
      <x:c r="F9" s="41" t="str">
        <x:v>65–67</x:v>
      </x:c>
      <x:c r="G9" s="41" t="str">
        <x:v>VERIFIED METHOD</x:v>
      </x:c>
      <x:c r="H9" s="41" t="str">
        <x:v>PDF gốc</x:v>
      </x:c>
      <x:c r="I9" s="41" t="str">
        <x:v>Không tạo số đóng</x:v>
      </x:c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</x:row>
    <x:row r="10">
      <x:c r="A10" s="41" t="str">
        <x:v>TCVN 5574</x:v>
      </x:c>
      <x:c r="B10" s="41" t="str">
        <x:v>2018</x:v>
      </x:c>
      <x:c r="C10" s="41" t="str">
        <x:v>Vật liệu</x:v>
      </x:c>
      <x:c r="D10" s="41" t="str">
        <x:v>Bảng7/10/13/14</x:v>
      </x:c>
      <x:c r="E10" s="41" t="str"/>
      <x:c r="F10" s="41" t="str"/>
      <x:c r="G10" s="41" t="str">
        <x:v>VERIFIED</x:v>
      </x:c>
      <x:c r="H10" s="41" t="str">
        <x:v>PDF gốc</x:v>
      </x:c>
      <x:c r="I10" s="41" t="str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</x:row>
    <x:row r="11">
      <x:c r="A11" s="41" t="str">
        <x:v>TCVN 5574</x:v>
      </x:c>
      <x:c r="B11" s="41" t="str">
        <x:v>2018</x:v>
      </x:c>
      <x:c r="C11" s="41" t="str">
        <x:v>Uốn/Nén</x:v>
      </x:c>
      <x:c r="D11" s="41" t="str">
        <x:v>CT31–48</x:v>
      </x:c>
      <x:c r="E11" s="41" t="str"/>
      <x:c r="F11" s="41" t="str"/>
      <x:c r="G11" s="41" t="str">
        <x:v>VERIFIED</x:v>
      </x:c>
      <x:c r="H11" s="41" t="str">
        <x:v>PDF gốc</x:v>
      </x:c>
      <x:c r="I11" s="41" t="str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</x:row>
    <x:row r="12">
      <x:c r="A12" s="41" t="str">
        <x:v>TCVN 5574</x:v>
      </x:c>
      <x:c r="B12" s="41" t="str">
        <x:v>2018</x:v>
      </x:c>
      <x:c r="C12" s="41" t="str">
        <x:v>SLS</x:v>
      </x:c>
      <x:c r="D12" s="41" t="str">
        <x:v>CT158–216</x:v>
      </x:c>
      <x:c r="E12" s="41" t="str"/>
      <x:c r="F12" s="41" t="str"/>
      <x:c r="G12" s="41" t="str">
        <x:v>VERIFIED BRANCH</x:v>
      </x:c>
      <x:c r="H12" s="41" t="str">
        <x:v>PDF gốc</x:v>
      </x:c>
      <x:c r="I12" s="41" t="str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</x:row>
    <x:row r="13">
      <x:c r="A13" s="41" t="str">
        <x:v>TCVN 5574</x:v>
      </x:c>
      <x:c r="B13" s="41" t="str">
        <x:v>2018</x:v>
      </x:c>
      <x:c r="C13" s="41" t="str">
        <x:v>Neo/Nối</x:v>
      </x:c>
      <x:c r="D13" s="41" t="str">
        <x:v>CT255–259</x:v>
      </x:c>
      <x:c r="E13" s="41" t="str"/>
      <x:c r="F13" s="41" t="str"/>
      <x:c r="G13" s="41" t="str">
        <x:v>VERIFIED</x:v>
      </x:c>
      <x:c r="H13" s="41" t="str">
        <x:v>PDF gốc</x:v>
      </x:c>
      <x:c r="I13" s="41" t="str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</x:row>
    <x:row r="14">
      <x:c r="A14" s="41" t="str">
        <x:v>TCVN 5574</x:v>
      </x:c>
      <x:c r="B14" s="41" t="str">
        <x:v>2018</x:v>
      </x:c>
      <x:c r="C14" s="41" t="str">
        <x:v>Phụ lục F/G/H</x:v>
      </x:c>
      <x:c r="D14" s="41" t="str">
        <x:v>F.1–F.10/G.1–G.3/H.1</x:v>
      </x:c>
      <x:c r="E14" s="41" t="str"/>
      <x:c r="F14" s="41" t="str"/>
      <x:c r="G14" s="41" t="str">
        <x:v>VERIFIED/BRANCH</x:v>
      </x:c>
      <x:c r="H14" s="41" t="str">
        <x:v>PDF gốc</x:v>
      </x:c>
      <x:c r="I14" s="41" t="str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</x:row>
    <x:row r="15">
      <x:c r="A15" s="41" t="str">
        <x:v>TCVN 5574</x:v>
      </x:c>
      <x:c r="B15" s="41" t="str">
        <x:v>2018</x:v>
      </x:c>
      <x:c r="C15" s="41" t="str">
        <x:v>Phụ lục D/L/M</x:v>
      </x:c>
      <x:c r="D15" s="41" t="str">
        <x:v>nhánh benchmark</x:v>
      </x:c>
      <x:c r="E15" s="41" t="str"/>
      <x:c r="F15" s="41" t="str"/>
      <x:c r="G15" s="41" t="str">
        <x:v>VERIFIED PARTIAL</x:v>
      </x:c>
      <x:c r="H15" s="41" t="str">
        <x:v>PDF gốc</x:v>
      </x:c>
      <x:c r="I15" s="41" t="str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</x:row>
  </x:sheetData>
  <x:mergeCells>
    <x:mergeCell ref="A1:I1"/>
  </x:mergeCells>
  <x:pageMargins left="0.7" right="0.7" top="0.75" bottom="0.75" header="0.3" footer="0.3"/>
</x:worksheet>
</file>