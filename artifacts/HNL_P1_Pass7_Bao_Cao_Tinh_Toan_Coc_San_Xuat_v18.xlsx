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6affe43b4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ƯỚNG_DẪN" sheetId="1" r:id="Rcd6cfe3543604abf"/>
    <x:sheet xmlns:r="http://schemas.openxmlformats.org/officeDocument/2006/relationships" name="01_TỔNG_HỢP" sheetId="2" r:id="R22cb64b617834fb5"/>
    <x:sheet xmlns:r="http://schemas.openxmlformats.org/officeDocument/2006/relationships" name="02_ĐẦU_VÀO" sheetId="3" r:id="R20d651afac874c8a"/>
    <x:sheet xmlns:r="http://schemas.openxmlformats.org/officeDocument/2006/relationships" name="03_ĐỊA_CHẤT_SPT" sheetId="4" r:id="R9ecd8b508de2489b"/>
    <x:sheet xmlns:r="http://schemas.openxmlformats.org/officeDocument/2006/relationships" name="04_TÍNH_ĐẤT" sheetId="5" r:id="Rc7b10304e8a840fe"/>
    <x:sheet xmlns:r="http://schemas.openxmlformats.org/officeDocument/2006/relationships" name="05_VẬT_LIỆU" sheetId="6" r:id="Rcb0fcd73647c4388"/>
    <x:sheet xmlns:r="http://schemas.openxmlformats.org/officeDocument/2006/relationships" name="06_SỨC_CHỊU_TẢI" sheetId="7" r:id="R6265e45fbe5d4f74"/>
    <x:sheet xmlns:r="http://schemas.openxmlformats.org/officeDocument/2006/relationships" name="07_DỮ_LIỆU_KẾT_CẤU" sheetId="8" r:id="Rdc1063e8b3004047"/>
    <x:sheet xmlns:r="http://schemas.openxmlformats.org/officeDocument/2006/relationships" name="08_KIỂM_TRA_CỌC" sheetId="9" r:id="Rbf97b4f265eb4f14"/>
    <x:sheet xmlns:r="http://schemas.openxmlformats.org/officeDocument/2006/relationships" name="09_CỌC_BẤT_LỢI" sheetId="10" r:id="R64260ba15f5e4217"/>
    <x:sheet xmlns:r="http://schemas.openxmlformats.org/officeDocument/2006/relationships" name="10_NGUỒN_ĐỐI_CHIẾU" sheetId="11" r:id="Rdc3ac11b197149de"/>
    <x:sheet xmlns:r="http://schemas.openxmlformats.org/officeDocument/2006/relationships" name="11_BẢNG_TRA" sheetId="12" r:id="R98cb9dff25f64c99"/>
    <x:sheet xmlns:r="http://schemas.openxmlformats.org/officeDocument/2006/relationships" name="12_KIỂM_TRA_GOLDEN" sheetId="13" r:id="Re956d8a2004f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"/>
    <x:numFmt numFmtId="203" formatCode="@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FCE4D6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200" fontId="0" fillId="4" borderId="9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200" fontId="0" fillId="4" borderId="15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200" fontId="0" fillId="4" borderId="18" xfId="0" applyNumberFormat="1" applyFont="1" applyFill="1" applyBorder="1" applyAlignment="1">
      <x:alignment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200" fontId="2" fillId="3" borderId="12" xfId="0" applyNumberFormat="1" applyFont="1" applyFill="1" applyBorder="1" applyAlignment="1">
      <x:alignment horizontal="center" vertical="center" wrapText="1"/>
    </x:xf>
    <x:xf numFmtId="200" fontId="2" fillId="3" borderId="13" xfId="0" applyNumberFormat="1" applyFont="1" applyFill="1" applyBorder="1" applyAlignment="1">
      <x:alignment horizontal="center" vertical="center"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3" fillId="7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1" xfId="0" applyNumberFormat="1" applyFont="1" applyFill="1" applyBorder="1"/>
    <x:xf numFmtId="201" fontId="3" fillId="7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3" fillId="7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3" fillId="7" borderId="1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1" fontId="0" fillId="6" borderId="6" xfId="0" applyNumberFormat="1" applyFont="1" applyFill="1" applyBorder="1" applyAlignment="1">
      <x:alignment wrapText="1"/>
    </x:xf>
    <x:xf numFmtId="201" fontId="3" fillId="7" borderId="9" xfId="0" applyNumberFormat="1" applyFont="1" applyFill="1" applyBorder="1" applyAlignment="1">
      <x:alignment wrapText="1"/>
    </x:xf>
    <x:xf numFmtId="201" fontId="0" fillId="5" borderId="15" xfId="0" applyNumberFormat="1" applyFont="1" applyFill="1" applyBorder="1" applyAlignment="1">
      <x:alignment wrapText="1"/>
    </x:xf>
    <x:xf numFmtId="201" fontId="0" fillId="6" borderId="15" xfId="0" applyNumberFormat="1" applyFont="1" applyFill="1" applyBorder="1" applyAlignment="1">
      <x:alignment wrapText="1"/>
    </x:xf>
    <x:xf numFmtId="201" fontId="3" fillId="7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5" borderId="9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5" borderId="18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201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201" fontId="3" fillId="7" borderId="6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201" fontId="3" fillId="7" borderId="15" xfId="0" applyNumberFormat="1" applyFont="1" applyFill="1" applyBorder="1" applyAlignment="1">
      <x:alignment wrapText="1"/>
    </x:xf>
    <x:xf numFmtId="0" fontId="3" fillId="7" borderId="18" xfId="0" applyNumberFormat="1" applyFont="1" applyFill="1" applyBorder="1" applyAlignment="1">
      <x:alignment wrapText="1"/>
    </x:xf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1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4" borderId="15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4" borderId="18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200" fontId="0" fillId="4" borderId="15" xfId="0" applyNumberFormat="1" applyFont="1" applyFill="1" applyBorder="1" applyAlignment="1">
      <x:alignment vertical="center" wrapText="1"/>
    </x:xf>
    <x:xf numFmtId="0" fontId="0" fillId="4" borderId="17" xfId="0" applyNumberFormat="1" applyFont="1" applyFill="1" applyBorder="1" applyAlignment="1">
      <x:alignment vertical="center" wrapText="1"/>
    </x:xf>
    <x:xf numFmtId="200" fontId="0" fillId="4" borderId="1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5" borderId="6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5" borderId="15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1" fontId="0" fillId="5" borderId="18" xfId="0" applyNumberFormat="1" applyFont="1" applyFill="1" applyBorder="1" applyAlignment="1">
      <x:alignment vertical="center" wrapText="1"/>
    </x:xf>
    <x:xf numFmtId="0" fontId="0" fillId="5" borderId="1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6" borderId="6" xfId="0" applyNumberFormat="1" applyFont="1" applyFill="1" applyBorder="1" applyAlignment="1">
      <x:alignment vertical="center" wrapText="1"/>
    </x:xf>
    <x:xf numFmtId="201" fontId="3" fillId="7" borderId="9" xfId="0" applyNumberFormat="1" applyFont="1" applyFill="1" applyBorder="1" applyAlignment="1">
      <x:alignment vertical="center" wrapText="1"/>
    </x:xf>
    <x:xf numFmtId="201" fontId="0" fillId="6" borderId="15" xfId="0" applyNumberFormat="1" applyFont="1" applyFill="1" applyBorder="1" applyAlignment="1">
      <x:alignment vertical="center" wrapText="1"/>
    </x:xf>
    <x:xf numFmtId="201" fontId="3" fillId="7" borderId="18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201" fontId="0" fillId="6" borderId="9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201" fontId="0" fillId="6" borderId="18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3" fillId="7" borderId="6" xfId="0" applyNumberFormat="1" applyFont="1" applyFill="1" applyBorder="1" applyAlignment="1">
      <x:alignment vertical="center" wrapText="1"/>
    </x:xf>
    <x:xf numFmtId="201" fontId="3" fillId="7" borderId="6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201" fontId="3" fillId="7" borderId="15" xfId="0" applyNumberFormat="1" applyFont="1" applyFill="1" applyBorder="1" applyAlignment="1">
      <x:alignment vertical="center" wrapText="1"/>
    </x:xf>
    <x:xf numFmtId="0" fontId="3" fillId="7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2" fontId="3" fillId="7" borderId="0" xfId="0" applyNumberFormat="1" applyFont="1" applyFill="1" applyBorder="1" applyAlignment="1">
      <x:alignment vertical="center" wrapText="1"/>
    </x:xf>
    <x:xf numFmtId="203" fontId="3" fillId="7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6461082844488" /><Relationship Type="http://schemas.openxmlformats.org/officeDocument/2006/relationships/theme" Target="/xl/theme/theme1.xml" Id="R27d59b2d3c7e4172" /><Relationship Type="http://schemas.openxmlformats.org/officeDocument/2006/relationships/sharedStrings" Target="/xl/sharedStrings.xml" Id="Rbd791f07c4984006" /><Relationship Type="http://schemas.openxmlformats.org/officeDocument/2006/relationships/worksheet" Target="/xl/worksheets/sheet1.xml" Id="Rcd6cfe3543604abf" /><Relationship Type="http://schemas.openxmlformats.org/officeDocument/2006/relationships/worksheet" Target="/xl/worksheets/sheet2.xml" Id="R22cb64b617834fb5" /><Relationship Type="http://schemas.openxmlformats.org/officeDocument/2006/relationships/worksheet" Target="/xl/worksheets/sheet3.xml" Id="R20d651afac874c8a" /><Relationship Type="http://schemas.openxmlformats.org/officeDocument/2006/relationships/worksheet" Target="/xl/worksheets/sheet4.xml" Id="R9ecd8b508de2489b" /><Relationship Type="http://schemas.openxmlformats.org/officeDocument/2006/relationships/worksheet" Target="/xl/worksheets/sheet5.xml" Id="Rc7b10304e8a840fe" /><Relationship Type="http://schemas.openxmlformats.org/officeDocument/2006/relationships/worksheet" Target="/xl/worksheets/sheet6.xml" Id="Rcb0fcd73647c4388" /><Relationship Type="http://schemas.openxmlformats.org/officeDocument/2006/relationships/worksheet" Target="/xl/worksheets/sheet7.xml" Id="R6265e45fbe5d4f74" /><Relationship Type="http://schemas.openxmlformats.org/officeDocument/2006/relationships/worksheet" Target="/xl/worksheets/sheet8.xml" Id="Rdc1063e8b3004047" /><Relationship Type="http://schemas.openxmlformats.org/officeDocument/2006/relationships/worksheet" Target="/xl/worksheets/sheet9.xml" Id="Rbf97b4f265eb4f14" /><Relationship Type="http://schemas.openxmlformats.org/officeDocument/2006/relationships/worksheet" Target="/xl/worksheets/sheet10.xml" Id="R64260ba15f5e4217" /><Relationship Type="http://schemas.openxmlformats.org/officeDocument/2006/relationships/worksheet" Target="/xl/worksheets/sheet11.xml" Id="Rdc3ac11b197149de" /><Relationship Type="http://schemas.openxmlformats.org/officeDocument/2006/relationships/worksheet" Target="/xl/worksheets/sheet12.xml" Id="R98cb9dff25f64c99" /><Relationship Type="http://schemas.openxmlformats.org/officeDocument/2006/relationships/worksheet" Target="/xl/worksheets/sheet13.xml" Id="Re956d8a2004f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104b1ff3ad4f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Hệ số sử dụng từng cọc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Tổ hợp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'08_KIỂM_TRA_CỌC'!$B$4:$B$22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X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'08_KIỂM_TRA_CỌC'!$C$4:$C$22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Y (m)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'08_KIỂM_TRA_CỌC'!$D$4:$D$22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Loại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'08_KIỂM_TRA_CỌC'!$E$4:$E$22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Nhu cầu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'08_KIỂM_TRA_CỌC'!$F$4:$F$22</c:f>
              <c:numCache>
                <c:formatCode>0.000000</c:formatCode>
                <c:ptCount val="0"/>
              </c:numCache>
            </c:numRef>
          </c:val>
        </c:ser>
        <c:ser>
          <c:idx val="5"/>
          <c:order val="5"/>
          <c:tx>
            <c:v>Nd,max/cọc (kN)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'08_KIỂM_TRA_CỌC'!$G$4:$G$22</c:f>
              <c:numCache>
                <c:formatCode>0.000000</c:formatCode>
                <c:ptCount val="0"/>
              </c:numCache>
            </c:numRef>
          </c:val>
        </c:ser>
        <c:ser>
          <c:idx val="6"/>
          <c:order val="6"/>
          <c:tx>
            <c:v>Hệ số sử dụng</c:v>
          </c:tx>
          <c:cat>
            <c:strRef>
              <c:f>'08_KIỂM_TRA_CỌC'!$A$4:$A$22</c:f>
              <c:strCache>
                <c:ptCount val="0"/>
              </c:strCache>
            </c:strRef>
          </c:cat>
          <c:val>
            <c:numRef>
              <c:f>'08_KIỂM_TRA_CỌC'!$H$4:$H$22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104b1ff3ad4fe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aa5d973ddd149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6" t="str">
        <x:v>HƯỚNG DẪN SỬ DỤNG – TÍNH + XUẤT EXCEL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4"/>
      <x:c r="D2" s="154"/>
      <x:c r="E2" s="154"/>
      <x:c r="F2" s="154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28" t="str">
        <x:v>Mục</x:v>
      </x:c>
      <x:c r="B3" s="30" t="str">
        <x:v>Hướng dẫn</x:v>
      </x:c>
      <x:c r="C3" s="154"/>
      <x:c r="D3" s="154"/>
      <x:c r="E3" s="154"/>
      <x:c r="F3" s="154"/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6" t="str">
        <x:v>Mục đích</x:v>
      </x:c>
      <x:c r="B4" s="157" t="str">
        <x:v>Một file duy nhất thể hiện chuỗi Rsoil → Rmaterial → Rpile → dữ liệu kết cấu → kiểm từng cọc → cọc bất lợi → kết luận.</x:v>
      </x:c>
      <x:c r="C4" s="154"/>
      <x:c r="D4" s="154"/>
      <x:c r="E4" s="154"/>
      <x:c r="F4" s="154"/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6" t="str">
        <x:v>Màu vàng</x:v>
      </x:c>
      <x:c r="B5" s="157" t="str">
        <x:v>Ô đầu vào người dùng/project. Thay giá trị phù hợp miền VERIFIED để các công thức Excel phía sau tự cập nhật.</x:v>
      </x:c>
      <x:c r="C5" s="154"/>
      <x:c r="D5" s="154"/>
      <x:c r="E5" s="154"/>
      <x:c r="F5" s="154"/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6" t="str">
        <x:v>Màu xanh lá</x:v>
      </x:c>
      <x:c r="B6" s="157" t="str">
        <x:v>Ô công thức Excel thật. Không sửa nếu không audit công thức.</x:v>
      </x:c>
      <x:c r="C6" s="154"/>
      <x:c r="D6" s="154"/>
      <x:c r="E6" s="154"/>
      <x:c r="F6" s="154"/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6" t="str">
        <x:v>Màu xanh dương</x:v>
      </x:c>
      <x:c r="B7" s="157" t="str">
        <x:v>Kết quả/intermediate do HNL Calculation Engine đã LOCKED xuất sang Excel; dùng để audit các bảng tra phức tạp.</x:v>
      </x:c>
      <x:c r="C7" s="154"/>
      <x:c r="D7" s="154"/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26.399999618530273" hidden="0" customHeight="1">
      <x:c r="A8" s="156" t="str">
        <x:v>Địa chất</x:v>
      </x:c>
      <x:c r="B8" s="157" t="str">
        <x:v>Sheet 03 chứa lớp đất + điểm SPT đo thực. Sheet 04 thể hiện q_b, f_i/τ, γ và công thức Qb/Qs/Rk/Rd. Khi thay địa chất thô, nên bấm TÍNH trong HNL để engine tra bảng lại trước khi xuất Excel mới.</x:v>
      </x:c>
      <x:c r="C8" s="154"/>
      <x:c r="D8" s="154"/>
      <x:c r="E8" s="154"/>
      <x:c r="F8" s="154"/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6" t="str">
        <x:v>Vật liệu</x:v>
      </x:c>
      <x:c r="B9" s="157" t="str">
        <x:v>Sheet 05 có công thức CT (50) + VLOOKUP Bảng 7/13 + nội suy Bảng 16. Có thể thay B30/CB400-V/As/L0/e0 trong miền VERIFIED.</x:v>
      </x:c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15" hidden="0" customHeight="1">
      <x:c r="A10" s="156" t="str">
        <x:v>Kết cấu</x:v>
      </x:c>
      <x:c r="B10" s="157" t="str">
        <x:v>Sheet 07 là dữ liệu chuẩn hóa từ DCE/CSV/ETABS-SAP adapter. Pass 7 không tự phân phối phản lực từ N/Mx/My.</x:v>
      </x:c>
      <x:c r="C10" s="154"/>
      <x:c r="D10" s="154"/>
      <x:c r="E10" s="154"/>
      <x:c r="F10" s="154"/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6" t="str">
        <x:v>Kiểm cọc</x:v>
      </x:c>
      <x:c r="B11" s="157" t="str">
        <x:v>Sheet 08 tính hệ số sử dụng = Nhu cầu/Nd,max và tự tìm cọc bất lợi.</x:v>
      </x:c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6" t="str">
        <x:v>Nguồn</x:v>
      </x:c>
      <x:c r="B12" s="157" t="str">
        <x:v>Sheet 10 ghi Điều/Bảng/Công thức/Trang. DCE chỉ là nguồn behavioral/reference, không thay TCVN.</x:v>
      </x:c>
      <x:c r="C12" s="154"/>
      <x:c r="D12" s="154"/>
      <x:c r="E12" s="154"/>
      <x:c r="F12" s="154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6" t="str">
        <x:v>Golden</x:v>
      </x:c>
      <x:c r="B13" s="157" t="str">
        <x:v>Sheet 12 đối chiếu Excel với HNL Engine. Tất cả gate phải ĐẠT trước khi dùng làm hồ sơ chính thức.</x:v>
      </x:c>
      <x:c r="C13" s="154"/>
      <x:c r="D13" s="154"/>
      <x:c r="E13" s="154"/>
      <x:c r="F13" s="154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8" t="str">
        <x:v>Trạng thái Live</x:v>
      </x:c>
      <x:c r="B14" s="159" t="str">
        <x:v>ETABS/SAP Live API vẫn READY/NOT_CERTIFIED_LIVE do máy hiện chưa có ETABS/SAP.</x:v>
      </x:c>
      <x:c r="C14" s="154"/>
      <x:c r="D14" s="154"/>
      <x:c r="E14" s="154"/>
      <x:c r="F14" s="154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55"/>
      <x:c r="B15" s="155"/>
      <x:c r="C15" s="154"/>
      <x:c r="D15" s="154"/>
      <x:c r="E15" s="154"/>
      <x:c r="F15" s="154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55"/>
      <x:c r="B16" s="155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155"/>
      <x:c r="B17" s="155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24" hidden="0" customWidth="1"/>
    <x:col min="5" max="5" width="20" hidden="0" customWidth="1"/>
    <x:col min="6" max="6" width="24" hidden="0" customWidth="1"/>
    <x:col min="7" max="7" width="28" hidden="0" customWidth="1"/>
    <x:col min="8" max="8" width="42" hidden="0" customWidth="1"/>
  </x:cols>
  <x:sheetData>
    <x:row r="1" ht="18" hidden="0" customHeight="1">
      <x:c r="A1" s="6" t="str">
        <x:v>HNL PILE STANDARDS AI – BÁO CÁO TÍNH TOÁN CỌC TỔNG HỢP</x:v>
      </x:c>
      <x:c r="B1" s="6"/>
      <x:c r="C1" s="6"/>
      <x:c r="D1" s="6"/>
      <x:c r="E1" s="6"/>
      <x:c r="F1" s="6"/>
      <x:c r="G1" s="6"/>
      <x:c r="H1" s="6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 ht="15" hidden="0" customHeight="1">
      <x:c r="A2" s="155"/>
      <x:c r="B2" s="155"/>
      <x:c r="C2" s="155"/>
      <x:c r="D2" s="155"/>
      <x:c r="E2" s="155"/>
      <x:c r="F2" s="155"/>
      <x:c r="G2" s="155"/>
      <x:c r="H2" s="155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 ht="15" hidden="0" customHeight="1">
      <x:c r="A3" s="16" t="str">
        <x:v>Chỉ tiêu</x:v>
      </x:c>
      <x:c r="B3" s="16" t="str">
        <x:v>Kết quả</x:v>
      </x:c>
      <x:c r="C3" s="155"/>
      <x:c r="D3" s="16" t="str">
        <x:v>Chuỗi tính</x:v>
      </x:c>
      <x:c r="E3" s="16" t="str">
        <x:v>Trạng thái</x:v>
      </x:c>
      <x:c r="F3" s="16" t="str">
        <x:v>Nguồn</x:v>
      </x:c>
      <x:c r="G3" s="16" t="str">
        <x:v>Điều/Bảng</x:v>
      </x:c>
      <x:c r="H3" s="16" t="str">
        <x:v>Ghi chú</x:v>
      </x:c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 ht="15" hidden="0" customHeight="1">
      <x:c r="A4" s="155" t="str">
        <x:v>Rsoil (kN)</x:v>
      </x:c>
      <x:c r="B4" s="166" t="n">
        <x:f>'06_SỨC_CHỊU_TẢI'!B4</x:f>
        <x:v>843.4285714285716</x:v>
      </x:c>
      <x:c r="C4" s="155"/>
      <x:c r="D4" s="155" t="str">
        <x:v>1. Đất nền</x:v>
      </x:c>
      <x:c r="E4" s="155" t="str">
        <x:v>ĐÃ XÁC MINH</x:v>
      </x:c>
      <x:c r="F4" s="155" t="str">
        <x:v>TCVN 10304:2025</x:v>
      </x:c>
      <x:c r="G4" s="155" t="str">
        <x:v>7.2.2 + Phụ lục D</x:v>
      </x:c>
      <x:c r="H4" s="155" t="str">
        <x:v>6 nhánh HK×method</x:v>
      </x:c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 ht="15" hidden="0" customHeight="1">
      <x:c r="A5" s="155" t="str">
        <x:v>Rmaterial (kN)</x:v>
      </x:c>
      <x:c r="B5" s="166" t="n">
        <x:f>'06_SỨC_CHỊU_TẢI'!B5</x:f>
        <x:v>2952</x:v>
      </x:c>
      <x:c r="C5" s="155"/>
      <x:c r="D5" s="155" t="str">
        <x:v>2. Vật liệu</x:v>
      </x:c>
      <x:c r="E5" s="155" t="str">
        <x:v>ĐÃ XÁC MINH</x:v>
      </x:c>
      <x:c r="F5" s="155" t="str">
        <x:v>TCVN 5574:2018</x:v>
      </x:c>
      <x:c r="G5" s="155" t="str">
        <x:v>CT (49)–(50), Bảng 16</x:v>
      </x:c>
      <x:c r="H5" s="155" t="str">
        <x:v>Nu</x:v>
      </x:c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 ht="15" hidden="0" customHeight="1">
      <x:c r="A6" s="155" t="str">
        <x:v>Rpile (kN)</x:v>
      </x:c>
      <x:c r="B6" s="166" t="n">
        <x:f>'06_SỨC_CHỊU_TẢI'!B6</x:f>
        <x:v>843.4285714285716</x:v>
      </x:c>
      <x:c r="C6" s="155"/>
      <x:c r="D6" s="155" t="str">
        <x:v>3. Rpile</x:v>
      </x:c>
      <x:c r="E6" s="155" t="str">
        <x:v>ĐÃ KHÓA</x:v>
      </x:c>
      <x:c r="F6" s="155" t="str">
        <x:v>HNL Composition</x:v>
      </x:c>
      <x:c r="G6" s="155" t="str">
        <x:v>min(Rsoil,Rmaterial)</x:v>
      </x:c>
      <x:c r="H6" s="155" t="str">
        <x:v>Không trộn γn vào min</x:v>
      </x:c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 ht="15" hidden="0" customHeight="1">
      <x:c r="A7" s="155" t="str">
        <x:v>γn</x:v>
      </x:c>
      <x:c r="B7" s="166" t="n">
        <x:f>'06_SỨC_CHỊU_TẢI'!B7</x:f>
        <x:v>1.15</x:v>
      </x:c>
      <x:c r="C7" s="155"/>
      <x:c r="D7" s="155" t="str">
        <x:v>4. Nhập dữ liệu kết cấu</x:v>
      </x:c>
      <x:c r="E7" s="155" t="str">
        <x:v>ĐÃ KHÓA</x:v>
      </x:c>
      <x:c r="F7" s="155" t="str">
        <x:v>Pass 5 Core</x:v>
      </x:c>
      <x:c r="G7" s="155" t="str">
        <x:v>DCE/CSV chuẩn hóa</x:v>
      </x:c>
      <x:c r="H7" s="155" t="str">
        <x:v>Không tính lại phản lực</x:v>
      </x:c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 ht="15" hidden="0" customHeight="1">
      <x:c r="A8" s="155" t="str">
        <x:v>Nd,max/cọc (kN)</x:v>
      </x:c>
      <x:c r="B8" s="166" t="n">
        <x:f>'06_SỨC_CHỊU_TẢI'!B8</x:f>
        <x:v>733.4161490683232</x:v>
      </x:c>
      <x:c r="C8" s="155"/>
      <x:c r="D8" s="155" t="str">
        <x:v>5. Kiểm từng cọc</x:v>
      </x:c>
      <x:c r="E8" s="155" t="str">
        <x:v>ĐÃ KHÓA</x:v>
      </x:c>
      <x:c r="F8" s="155" t="str">
        <x:v>Pass 4</x:v>
      </x:c>
      <x:c r="G8" s="155" t="str">
        <x:v>Kiểm phản lực nút đã nhập</x:v>
      </x:c>
      <x:c r="H8" s="155" t="str">
        <x:v>19 cọc</x:v>
      </x:c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 ht="15" hidden="0" customHeight="1">
      <x:c r="A9" s="155" t="str">
        <x:v>Cọc bất lợi</x:v>
      </x:c>
      <x:c r="B9" s="243" t="n">
        <x:f>'09_CỌC_BẤT_LỢI'!B4</x:f>
        <x:v>168</x:v>
      </x:c>
      <x:c r="C9" s="155"/>
      <x:c r="D9" s="155" t="str">
        <x:v>6. Cọc bất lợi</x:v>
      </x:c>
      <x:c r="E9" s="155" t="str">
        <x:v>ĐÃ XÁC MINH</x:v>
      </x:c>
      <x:c r="F9" s="155" t="str">
        <x:v>Pass 7</x:v>
      </x:c>
      <x:c r="G9" s="155" t="str">
        <x:v>Hệ số sử dụng lớn nhất</x:v>
      </x:c>
      <x:c r="H9" s="155" t="str">
        <x:v>Point 168 (mã cọc/điểm)</x:v>
      </x:c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 ht="26.399999618530273" hidden="0" customHeight="1">
      <x:c r="A10" s="155" t="str">
        <x:v>Tổ hợp bất lợi</x:v>
      </x:c>
      <x:c r="B10" s="244" t="str">
        <x:f>'09_CỌC_BẤT_LỢI'!B5</x:f>
        <x:v>EULS</x:v>
      </x:c>
      <x:c r="C10" s="155"/>
      <x:c r="D10" s="155" t="str">
        <x:v>7. Đối chiếu Excel</x:v>
      </x:c>
      <x:c r="E10" s="155" t="str">
        <x:v>CÔNG THỨC</x:v>
      </x:c>
      <x:c r="F10" s="155" t="str">
        <x:v>Excel sản xuất</x:v>
      </x:c>
      <x:c r="G10" s="155" t="str">
        <x:v>Công thức liên kết giữa các sheet</x:v>
      </x:c>
      <x:c r="H10" s="155" t="str">
        <x:v>Thay capacity/vật liệu trong miền VERIFIED để kiểm tra lại chuỗi công thức</x:v>
      </x:c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 ht="15" hidden="0" customHeight="1">
      <x:c r="A11" s="155" t="str">
        <x:v>Hệ số sử dụng</x:v>
      </x:c>
      <x:c r="B11" s="166" t="n">
        <x:f>'09_CỌC_BẤT_LỢI'!B8</x:f>
        <x:v>0.4980692764464232</x:v>
      </x:c>
      <x:c r="C11" s="155"/>
      <x:c r="D11" s="155" t="str">
        <x:v>8. Kết nối ETABS/SAP trực tiếp</x:v>
      </x:c>
      <x:c r="E11" s="155" t="str">
        <x:v>CHƯA CHỨNG NHẬN</x:v>
      </x:c>
      <x:c r="F11" s="155" t="str">
        <x:v>Pass 5.2</x:v>
      </x:c>
      <x:c r="G11" s="155" t="str">
        <x:v>Tạm hoãn</x:v>
      </x:c>
      <x:c r="H11" s="155" t="str">
        <x:v>Không phải blocker Core</x:v>
      </x:c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 ht="15" hidden="0" customHeight="1">
      <x:c r="A12" s="155" t="str">
        <x:v>KẾT LUẬN</x:v>
      </x:c>
      <x:c r="B12" s="244" t="str">
        <x:f>'09_CỌC_BẤT_LỢI'!B12</x:f>
        <x:v>ĐẠT</x:v>
      </x:c>
      <x:c r="C12" s="155"/>
      <x:c r="D12" s="155"/>
      <x:c r="E12" s="155"/>
      <x:c r="F12" s="155"/>
      <x:c r="G12" s="155"/>
      <x:c r="H12" s="155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 ht="15" hidden="0" customHeight="1">
      <x:c r="A13" s="155"/>
      <x:c r="B13" s="155"/>
      <x:c r="C13" s="155"/>
      <x:c r="D13" s="155"/>
      <x:c r="E13" s="155"/>
      <x:c r="F13" s="155"/>
      <x:c r="G13" s="155"/>
      <x:c r="H13" s="155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 ht="15" hidden="0" customHeight="1">
      <x:c r="A14" s="155"/>
      <x:c r="B14" s="155"/>
      <x:c r="C14" s="155"/>
      <x:c r="D14" s="155"/>
      <x:c r="E14" s="155"/>
      <x:c r="F14" s="155"/>
      <x:c r="G14" s="155"/>
      <x:c r="H14" s="155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 ht="15" hidden="0" customHeight="1">
      <x:c r="A15" s="16" t="str">
        <x:v>KẾT LUẬN KỸ THUẬT</x:v>
      </x:c>
      <x:c r="B15" s="16"/>
      <x:c r="C15" s="16"/>
      <x:c r="D15" s="16"/>
      <x:c r="E15" s="16"/>
      <x:c r="F15" s="16"/>
      <x:c r="G15" s="16"/>
      <x:c r="H15" s="16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 ht="15" hidden="0" customHeight="1">
      <x:c r="A16" s="167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B16" s="167"/>
      <x:c r="C16" s="167"/>
      <x:c r="D16" s="167"/>
      <x:c r="E16" s="167"/>
      <x:c r="F16" s="167"/>
      <x:c r="G16" s="167"/>
      <x:c r="H16" s="167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 ht="15" hidden="0" customHeight="1">
      <x:c r="A17" s="245" t="str">
        <x:v>Phạm vi: kết quả này sử dụng phản lực nút đã nhập và chuẩn hóa từ DCE/CSV; Pass 7 không tự phân phối phản lực cọc từ N/Mx/My theo mô hình đài cứng.</x:v>
      </x:c>
      <x:c r="B17" s="245" t="str">
        <x:v>Kết quả này dùng phản lực nút đã nhập từ DCE/CSV; không phải phân phối phản lực rigid-cap từ N/Mx/My.</x:v>
      </x:c>
      <x:c r="C17" s="245"/>
      <x:c r="D17" s="245"/>
      <x:c r="E17" s="245"/>
      <x:c r="F17" s="245"/>
      <x:c r="G17" s="245"/>
      <x:c r="H17" s="245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 ht="15" hidden="0" customHeight="1">
      <x:c r="A18" s="155"/>
      <x:c r="B18" s="155"/>
      <x:c r="C18" s="155"/>
      <x:c r="D18" s="155"/>
      <x:c r="E18" s="155"/>
      <x:c r="F18" s="155"/>
      <x:c r="G18" s="155"/>
      <x:c r="H18" s="155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 ht="15" hidden="0" customHeight="1">
      <x:c r="A19" s="155"/>
      <x:c r="B19" s="155"/>
      <x:c r="C19" s="155"/>
      <x:c r="D19" s="155"/>
      <x:c r="E19" s="155"/>
      <x:c r="F19" s="155"/>
      <x:c r="G19" s="155"/>
      <x:c r="H19" s="155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 ht="15" hidden="0" customHeight="1">
      <x:c r="A20" s="155"/>
      <x:c r="B20" s="155"/>
      <x:c r="C20" s="155"/>
      <x:c r="D20" s="155"/>
      <x:c r="E20" s="155"/>
      <x:c r="F20" s="155"/>
      <x:c r="G20" s="155"/>
      <x:c r="H20" s="155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H1"/>
    <x:mergeCell ref="A15:H15"/>
    <x:mergeCell ref="A16:H16"/>
    <x:mergeCell ref="A17:H17"/>
  </x:mergeCells>
  <x:conditionalFormatting sqref="B12:B12">
    <x:cfRule type="expression" dxfId="6" priority="1">
      <x:formula>B12="ĐẠT"</x:formula>
    </x:cfRule>
    <x:cfRule type="expression" dxfId="7" priority="2">
      <x:formula>B12&lt;&gt;"ĐẠT"</x:formula>
    </x:cfRule>
  </x:conditionalFormatting>
  <x:pageMargins left="0.7" right="0.7" top="0.75" bottom="0.75" header="0.3" footer="0.3"/>
  <x:drawing xmlns:r="http://schemas.openxmlformats.org/officeDocument/2006/relationships" r:id="R3aa5d973ddd1498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6" t="str">
        <x:v>ĐẦU VÀO CHÍNH – CỌC, VẬT LIỆU, HỆ SỐ VÀ NGUỒN KẾT CẤU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Nhóm</x:v>
      </x:c>
      <x:c r="B3" s="29" t="str">
        <x:v>Thông số</x:v>
      </x:c>
      <x:c r="C3" s="29" t="str">
        <x:v>Giá trị</x:v>
      </x:c>
      <x:c r="D3" s="29" t="str">
        <x:v>Đơn vị</x:v>
      </x:c>
      <x:c r="E3" s="29" t="str">
        <x:v>Trạng thái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</x:v>
      </x:c>
      <x:c r="B4" s="172" t="str">
        <x:v>Hình dạng</x:v>
      </x:c>
      <x:c r="C4" s="173" t="str">
        <x:v>Vuông</x:v>
      </x:c>
      <x:c r="D4" s="172" t="str">
        <x:v>-</x:v>
      </x:c>
      <x:c r="E4" s="172" t="str">
        <x:v>NHẬP</x:v>
      </x:c>
      <x:c r="F4" s="157" t="str">
        <x:v>P1 Pass 7 hiện khóa Golden cho cọc vuông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Cọc</x:v>
      </x:c>
      <x:c r="B5" s="172" t="str">
        <x:v>Cạnh cọc</x:v>
      </x:c>
      <x:c r="C5" s="173" t="n">
        <x:v>400</x:v>
      </x:c>
      <x:c r="D5" s="172" t="str">
        <x:v>mm</x:v>
      </x:c>
      <x:c r="E5" s="172" t="str">
        <x:v>NHẬP</x:v>
      </x:c>
      <x:c r="F5" s="157" t="str">
        <x:v>a = 0,4 m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Cọc</x:v>
      </x:c>
      <x:c r="B6" s="172" t="str">
        <x:v>Chiều dài</x:v>
      </x:c>
      <x:c r="C6" s="173" t="n">
        <x:v>12</x:v>
      </x:c>
      <x:c r="D6" s="172" t="str">
        <x:v>m</x:v>
      </x:c>
      <x:c r="E6" s="172" t="str">
        <x:v>NHẬP</x:v>
      </x:c>
      <x:c r="F6" s="157" t="str">
        <x:v>Mũi cọc z = 12 m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Cọc</x:v>
      </x:c>
      <x:c r="B7" s="172" t="str">
        <x:v>Bắt đầu ma sát thân</x:v>
      </x:c>
      <x:c r="C7" s="173" t="n">
        <x:v>0</x:v>
      </x:c>
      <x:c r="D7" s="172" t="str">
        <x:v>m</x:v>
      </x:c>
      <x:c r="E7" s="172" t="str">
        <x:v>NHẬP</x:v>
      </x:c>
      <x:c r="F7" s="157" t="str">
        <x:v>shaftStartDepth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Cọc</x:v>
      </x:c>
      <x:c r="B8" s="172" t="str">
        <x:v>Đoạn chia lớn nhất</x:v>
      </x:c>
      <x:c r="C8" s="173" t="n">
        <x:v>2</x:v>
      </x:c>
      <x:c r="D8" s="172" t="str">
        <x:v>m</x:v>
      </x:c>
      <x:c r="E8" s="172" t="str">
        <x:v>NHẬP</x:v>
      </x:c>
      <x:c r="F8" s="157" t="str">
        <x:v>TCVN 10304:2025 Bảng 3: phân đoạn ≤ 2 m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Đất</x:v>
      </x:c>
      <x:c r="B9" s="172" t="str">
        <x:v>Phương pháp cơ lý</x:v>
      </x:c>
      <x:c r="C9" s="173" t="str">
        <x:v>Cọc đóng/ép</x:v>
      </x:c>
      <x:c r="D9" s="172" t="str">
        <x:v>-</x:v>
      </x:c>
      <x:c r="E9" s="172" t="str">
        <x:v>NHẬP</x:v>
      </x:c>
      <x:c r="F9" s="157" t="str">
        <x:v>7.2.2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Đất</x:v>
      </x:c>
      <x:c r="B10" s="172" t="str">
        <x:v>γk cơ lý</x:v>
      </x:c>
      <x:c r="C10" s="173" t="n">
        <x:v>1.4</x:v>
      </x:c>
      <x:c r="D10" s="172" t="str">
        <x:v>-</x:v>
      </x:c>
      <x:c r="E10" s="172" t="str">
        <x:v>NHẬP</x:v>
      </x:c>
      <x:c r="F10" s="157" t="str">
        <x:v>Hệ số độ tin cậy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Đất</x:v>
      </x:c>
      <x:c r="B11" s="172" t="str">
        <x:v>γk SPT</x:v>
      </x:c>
      <x:c r="C11" s="173" t="n">
        <x:v>1.5</x:v>
      </x:c>
      <x:c r="D11" s="172" t="str">
        <x:v>-</x:v>
      </x:c>
      <x:c r="E11" s="172" t="str">
        <x:v>NHẬP</x:v>
      </x:c>
      <x:c r="F11" s="157" t="str">
        <x:v>Phụ lục D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v>Tổng hợp</x:v>
      </x:c>
      <x:c r="B12" s="172" t="str">
        <x:v>γn</x:v>
      </x:c>
      <x:c r="C12" s="173" t="n">
        <x:v>1.15</x:v>
      </x:c>
      <x:c r="D12" s="172" t="str">
        <x:v>-</x:v>
      </x:c>
      <x:c r="E12" s="172" t="str">
        <x:v>NHẬP</x:v>
      </x:c>
      <x:c r="F12" s="157" t="str">
        <x:v>Áp dụng sau Rpile=min(Rsoil,Rmaterial)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Vật liệu</x:v>
      </x:c>
      <x:c r="B13" s="172" t="str">
        <x:v>Cấp bê tông</x:v>
      </x:c>
      <x:c r="C13" s="173" t="str">
        <x:v>B30</x:v>
      </x:c>
      <x:c r="D13" s="172" t="str">
        <x:v>-</x:v>
      </x:c>
      <x:c r="E13" s="172" t="str">
        <x:v>NHẬP</x:v>
      </x:c>
      <x:c r="F13" s="157" t="str">
        <x:v>TCVN 5574:2018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Vật liệu</x:v>
      </x:c>
      <x:c r="B14" s="172" t="str">
        <x:v>Cấp thép</x:v>
      </x:c>
      <x:c r="C14" s="173" t="str">
        <x:v>CB400-V</x:v>
      </x:c>
      <x:c r="D14" s="172" t="str">
        <x:v>-</x:v>
      </x:c>
      <x:c r="E14" s="172" t="str">
        <x:v>NHẬP</x:v>
      </x:c>
      <x:c r="F14" s="157" t="str">
        <x:v>TCVN 5574:2018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Vật liệu</x:v>
      </x:c>
      <x:c r="B15" s="172" t="str">
        <x:v>As,tot</x:v>
      </x:c>
      <x:c r="C15" s="173" t="n">
        <x:v>1600</x:v>
      </x:c>
      <x:c r="D15" s="172" t="str">
        <x:v>mm²</x:v>
      </x:c>
      <x:c r="E15" s="172" t="str">
        <x:v>NHẬP</x:v>
      </x:c>
      <x:c r="F15" s="157" t="str">
        <x:v>Cốt dọc tổng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Vật liệu</x:v>
      </x:c>
      <x:c r="B16" s="172" t="str">
        <x:v>L0</x:v>
      </x:c>
      <x:c r="C16" s="173" t="n">
        <x:v>4000</x:v>
      </x:c>
      <x:c r="D16" s="172" t="str">
        <x:v>mm</x:v>
      </x:c>
      <x:c r="E16" s="172" t="str">
        <x:v>NHẬP</x:v>
      </x:c>
      <x:c r="F16" s="157" t="str">
        <x:v>Chiều dài tính toán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Vật liệu</x:v>
      </x:c>
      <x:c r="B17" s="172" t="str">
        <x:v>e0</x:v>
      </x:c>
      <x:c r="C17" s="173" t="n">
        <x:v>13.333333333333334</x:v>
      </x:c>
      <x:c r="D17" s="172" t="str">
        <x:v>mm</x:v>
      </x:c>
      <x:c r="E17" s="172" t="str">
        <x:v>NHẬP</x:v>
      </x:c>
      <x:c r="F17" s="157" t="str">
        <x:v>Đã kể lệch tâm ngẫu nhiên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Vật liệu</x:v>
      </x:c>
      <x:c r="B18" s="172" t="str">
        <x:v>Thời hạn tải</x:v>
      </x:c>
      <x:c r="C18" s="173" t="str">
        <x:v>Dài hạn</x:v>
      </x:c>
      <x:c r="D18" s="172" t="str">
        <x:v>-</x:v>
      </x:c>
      <x:c r="E18" s="172" t="str">
        <x:v>NHẬP</x:v>
      </x:c>
      <x:c r="F18" s="157" t="str">
        <x:v>Tra Bảng 16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Kết cấu</x:v>
      </x:c>
      <x:c r="B19" s="172" t="str">
        <x:v>Nguồn</x:v>
      </x:c>
      <x:c r="C19" s="173" t="str">
        <x:v>DCE/CSV Canonical</x:v>
      </x:c>
      <x:c r="D19" s="172" t="str">
        <x:v>-</x:v>
      </x:c>
      <x:c r="E19" s="172" t="str">
        <x:v>NHẬP</x:v>
      </x:c>
      <x:c r="F19" s="157" t="str">
        <x:v>Pass 5 Core LOCKED</x:v>
      </x:c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Kết cấu</x:v>
      </x:c>
      <x:c r="B20" s="172" t="str">
        <x:v>Dấu phản lực</x:v>
      </x:c>
      <x:c r="C20" s="173" t="str">
        <x:v>Nén dương</x:v>
      </x:c>
      <x:c r="D20" s="172" t="str">
        <x:v>-</x:v>
      </x:c>
      <x:c r="E20" s="172" t="str">
        <x:v>NHẬP</x:v>
      </x:c>
      <x:c r="F20" s="157" t="str">
        <x:v>compression-positive</x:v>
      </x:c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8" t="str">
        <x:v>Kết cấu</x:v>
      </x:c>
      <x:c r="B21" s="174" t="str">
        <x:v>Tổ hợp kiểm</x:v>
      </x:c>
      <x:c r="C21" s="175" t="str">
        <x:v>EULS</x:v>
      </x:c>
      <x:c r="D21" s="174" t="str">
        <x:v>-</x:v>
      </x:c>
      <x:c r="E21" s="174" t="str">
        <x:v>NHẬP</x:v>
      </x:c>
      <x:c r="F21" s="159" t="str">
        <x:v>Golden tham chiếu</x:v>
      </x:c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dataValidations count="2">
    <x:dataValidation type="list" sqref="C14">
      <x:formula1>'11_BẢNG_TRA'!$A$4:$A$22</x:formula1>
    </x:dataValidation>
    <x:dataValidation type="list" sqref="C15">
      <x:formula1>'11_BẢNG_TRA'!$F$4:$F$8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2" hidden="0" customWidth="1"/>
    <x:col min="4" max="4" width="12" hidden="0" customWidth="1"/>
    <x:col min="5" max="5" width="14" hidden="0" customWidth="1"/>
    <x:col min="6" max="6" width="16" hidden="0" customWidth="1"/>
    <x:col min="7" max="7" width="14" hidden="0" customWidth="1"/>
    <x:col min="8" max="8" width="10" hidden="0" customWidth="1"/>
    <x:col min="9" max="9" width="24" hidden="0" customWidth="1"/>
    <x:col min="10" max="10" width="38" hidden="0" customWidth="1"/>
  </x:cols>
  <x:sheetData>
    <x:row r="1">
      <x:c r="A1" s="6" t="str">
        <x:v>ĐỊA CHẤT VÀ SỐ LIỆU SPT – GOLDEN 3 LỖ KHOAN</x:v>
      </x:c>
      <x:c r="B1" s="6"/>
      <x:c r="C1" s="6"/>
      <x:c r="D1" s="6"/>
      <x:c r="E1" s="6"/>
      <x:c r="F1" s="6"/>
      <x:c r="G1" s="6"/>
      <x:c r="H1" s="6"/>
      <x:c r="I1" s="6"/>
      <x:c r="J1" s="6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Lỗ khoan</x:v>
      </x:c>
      <x:c r="B3" s="29" t="str">
        <x:v>Lớp</x:v>
      </x:c>
      <x:c r="C3" s="29" t="str">
        <x:v>Từ z (m)</x:v>
      </x:c>
      <x:c r="D3" s="29" t="str">
        <x:v>Đến z (m)</x:v>
      </x:c>
      <x:c r="E3" s="29" t="str">
        <x:v>Nhóm đất</x:v>
      </x:c>
      <x:c r="F3" s="29" t="str">
        <x:v>Loại cát</x:v>
      </x:c>
      <x:c r="G3" s="29" t="str">
        <x:v>N đại diện</x:v>
      </x:c>
      <x:c r="H3" s="29" t="str">
        <x:v>IL</x:v>
      </x:c>
      <x:c r="I3" s="29" t="str">
        <x:v>Nguồn</x:v>
      </x:c>
      <x:c r="J3" s="30" t="str">
        <x:v>Ghi chú</x:v>
      </x:c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80" t="str">
        <x:v>HK1</x:v>
      </x:c>
      <x:c r="B4" s="173" t="n">
        <x:v>1</x:v>
      </x:c>
      <x:c r="C4" s="181" t="n">
        <x:v>0</x:v>
      </x:c>
      <x:c r="D4" s="181" t="n">
        <x:v>4</x:v>
      </x:c>
      <x:c r="E4" s="181" t="str">
        <x:v>Cát</x:v>
      </x:c>
      <x:c r="F4" s="181" t="str">
        <x:v>medium</x:v>
      </x:c>
      <x:c r="G4" s="181" t="n">
        <x:v>18</x:v>
      </x:c>
      <x:c r="H4" s="181"/>
      <x:c r="I4" s="172" t="str">
        <x:v>Hồ sơ địa chất</x:v>
      </x:c>
      <x:c r="J4" s="157" t="str">
        <x:v>Dữ liệu đầu vào</x:v>
      </x:c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80" t="str">
        <x:v>HK1</x:v>
      </x:c>
      <x:c r="B5" s="173" t="n">
        <x:v>2</x:v>
      </x:c>
      <x:c r="C5" s="181" t="n">
        <x:v>4</x:v>
      </x:c>
      <x:c r="D5" s="181" t="n">
        <x:v>9</x:v>
      </x:c>
      <x:c r="E5" s="181" t="str">
        <x:v>Cát</x:v>
      </x:c>
      <x:c r="F5" s="181" t="str">
        <x:v>medium</x:v>
      </x:c>
      <x:c r="G5" s="181" t="n">
        <x:v>24</x:v>
      </x:c>
      <x:c r="H5" s="181"/>
      <x:c r="I5" s="172" t="str">
        <x:v>Hồ sơ địa chất</x:v>
      </x:c>
      <x:c r="J5" s="157" t="str">
        <x:v>Dữ liệu đầu vào</x:v>
      </x:c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80" t="str">
        <x:v>HK1</x:v>
      </x:c>
      <x:c r="B6" s="173" t="n">
        <x:v>3</x:v>
      </x:c>
      <x:c r="C6" s="181" t="n">
        <x:v>9</x:v>
      </x:c>
      <x:c r="D6" s="181" t="n">
        <x:v>15</x:v>
      </x:c>
      <x:c r="E6" s="181" t="str">
        <x:v>Cát</x:v>
      </x:c>
      <x:c r="F6" s="181" t="str">
        <x:v>medium</x:v>
      </x:c>
      <x:c r="G6" s="181" t="n">
        <x:v>30</x:v>
      </x:c>
      <x:c r="H6" s="181"/>
      <x:c r="I6" s="172" t="str">
        <x:v>Hồ sơ địa chất</x:v>
      </x:c>
      <x:c r="J6" s="157" t="str">
        <x:v>Dữ liệu đầu vào</x:v>
      </x:c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80" t="str">
        <x:v>HK2</x:v>
      </x:c>
      <x:c r="B7" s="173" t="n">
        <x:v>1</x:v>
      </x:c>
      <x:c r="C7" s="181" t="n">
        <x:v>0</x:v>
      </x:c>
      <x:c r="D7" s="181" t="n">
        <x:v>4</x:v>
      </x:c>
      <x:c r="E7" s="181" t="str">
        <x:v>Cát</x:v>
      </x:c>
      <x:c r="F7" s="181" t="str">
        <x:v>fine</x:v>
      </x:c>
      <x:c r="G7" s="181" t="n">
        <x:v>10</x:v>
      </x:c>
      <x:c r="H7" s="181"/>
      <x:c r="I7" s="172" t="str">
        <x:v>Hồ sơ địa chất</x:v>
      </x:c>
      <x:c r="J7" s="157" t="str">
        <x:v>Dữ liệu đầu vào</x:v>
      </x:c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80" t="str">
        <x:v>HK2</x:v>
      </x:c>
      <x:c r="B8" s="173" t="n">
        <x:v>2</x:v>
      </x:c>
      <x:c r="C8" s="181" t="n">
        <x:v>4</x:v>
      </x:c>
      <x:c r="D8" s="181" t="n">
        <x:v>9</x:v>
      </x:c>
      <x:c r="E8" s="181" t="str">
        <x:v>Cát</x:v>
      </x:c>
      <x:c r="F8" s="181" t="str">
        <x:v>fine</x:v>
      </x:c>
      <x:c r="G8" s="181" t="n">
        <x:v>15</x:v>
      </x:c>
      <x:c r="H8" s="181"/>
      <x:c r="I8" s="172" t="str">
        <x:v>Hồ sơ địa chất</x:v>
      </x:c>
      <x:c r="J8" s="157" t="str">
        <x:v>Dữ liệu đầu vào</x:v>
      </x:c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80" t="str">
        <x:v>HK2</x:v>
      </x:c>
      <x:c r="B9" s="173" t="n">
        <x:v>3</x:v>
      </x:c>
      <x:c r="C9" s="181" t="n">
        <x:v>9</x:v>
      </x:c>
      <x:c r="D9" s="181" t="n">
        <x:v>15</x:v>
      </x:c>
      <x:c r="E9" s="181" t="str">
        <x:v>Cát</x:v>
      </x:c>
      <x:c r="F9" s="181" t="str">
        <x:v>fine</x:v>
      </x:c>
      <x:c r="G9" s="181" t="n">
        <x:v>20</x:v>
      </x:c>
      <x:c r="H9" s="181"/>
      <x:c r="I9" s="172" t="str">
        <x:v>Hồ sơ địa chất</x:v>
      </x:c>
      <x:c r="J9" s="157" t="str">
        <x:v>Dữ liệu đầu vào</x:v>
      </x:c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80" t="str">
        <x:v>HK3</x:v>
      </x:c>
      <x:c r="B10" s="173" t="n">
        <x:v>1</x:v>
      </x:c>
      <x:c r="C10" s="181" t="n">
        <x:v>0</x:v>
      </x:c>
      <x:c r="D10" s="181" t="n">
        <x:v>4</x:v>
      </x:c>
      <x:c r="E10" s="181" t="str">
        <x:v>Cát</x:v>
      </x:c>
      <x:c r="F10" s="181" t="str">
        <x:v>coarse</x:v>
      </x:c>
      <x:c r="G10" s="181" t="n">
        <x:v>25</x:v>
      </x:c>
      <x:c r="H10" s="181"/>
      <x:c r="I10" s="172" t="str">
        <x:v>Hồ sơ địa chất</x:v>
      </x:c>
      <x:c r="J10" s="157" t="str">
        <x:v>Dữ liệu đầu vào</x:v>
      </x:c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80" t="str">
        <x:v>HK3</x:v>
      </x:c>
      <x:c r="B11" s="173" t="n">
        <x:v>2</x:v>
      </x:c>
      <x:c r="C11" s="181" t="n">
        <x:v>4</x:v>
      </x:c>
      <x:c r="D11" s="181" t="n">
        <x:v>9</x:v>
      </x:c>
      <x:c r="E11" s="181" t="str">
        <x:v>Cát</x:v>
      </x:c>
      <x:c r="F11" s="181" t="str">
        <x:v>coarse</x:v>
      </x:c>
      <x:c r="G11" s="181" t="n">
        <x:v>35</x:v>
      </x:c>
      <x:c r="H11" s="181"/>
      <x:c r="I11" s="172" t="str">
        <x:v>Hồ sơ địa chất</x:v>
      </x:c>
      <x:c r="J11" s="157" t="str">
        <x:v>Dữ liệu đầu vào</x:v>
      </x:c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82" t="str">
        <x:v>HK3</x:v>
      </x:c>
      <x:c r="B12" s="175" t="n">
        <x:v>3</x:v>
      </x:c>
      <x:c r="C12" s="183" t="n">
        <x:v>9</x:v>
      </x:c>
      <x:c r="D12" s="183" t="n">
        <x:v>15</x:v>
      </x:c>
      <x:c r="E12" s="183" t="str">
        <x:v>Cát</x:v>
      </x:c>
      <x:c r="F12" s="183" t="str">
        <x:v>coarse</x:v>
      </x:c>
      <x:c r="G12" s="183" t="n">
        <x:v>45</x:v>
      </x:c>
      <x:c r="H12" s="183"/>
      <x:c r="I12" s="174" t="str">
        <x:v>Hồ sơ địa chất</x:v>
      </x:c>
      <x:c r="J12" s="159" t="str">
        <x:v>Dữ liệu đầu vào</x:v>
      </x:c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84"/>
      <x:c r="D13" s="184"/>
      <x:c r="E13" s="184"/>
      <x:c r="F13" s="184"/>
      <x:c r="G13" s="184"/>
      <x:c r="H13" s="184"/>
      <x:c r="I13" s="155"/>
      <x:c r="J13" s="155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Lỗ khoan</x:v>
      </x:c>
      <x:c r="B14" s="29" t="str">
        <x:v>Độ sâu z (m)</x:v>
      </x:c>
      <x:c r="C14" s="68" t="str">
        <x:v>N-SPT</x:v>
      </x:c>
      <x:c r="D14" s="68" t="str">
        <x:v>Loại dữ liệu</x:v>
      </x:c>
      <x:c r="E14" s="69" t="str">
        <x:v>Chính sách</x:v>
      </x:c>
      <x:c r="F14" s="184"/>
      <x:c r="G14" s="184"/>
      <x:c r="H14" s="184"/>
      <x:c r="I14" s="155"/>
      <x:c r="J14" s="155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80" t="str">
        <x:v>HK1</x:v>
      </x:c>
      <x:c r="B15" s="173" t="n">
        <x:v>10</x:v>
      </x:c>
      <x:c r="C15" s="181" t="n">
        <x:v>25</x:v>
      </x:c>
      <x:c r="D15" s="185" t="str">
        <x:v>Điểm đo thực</x:v>
      </x:c>
      <x:c r="E15" s="186" t="str">
        <x:v>Không nội suy liên tục</x:v>
      </x:c>
      <x:c r="F15" s="184"/>
      <x:c r="G15" s="184"/>
      <x:c r="H15" s="184"/>
      <x:c r="I15" s="155"/>
      <x:c r="J15" s="155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80" t="str">
        <x:v>HK1</x:v>
      </x:c>
      <x:c r="B16" s="173" t="n">
        <x:v>11</x:v>
      </x:c>
      <x:c r="C16" s="181" t="n">
        <x:v>30</x:v>
      </x:c>
      <x:c r="D16" s="185" t="str">
        <x:v>Điểm đo thực</x:v>
      </x:c>
      <x:c r="E16" s="186" t="str">
        <x:v>Không nội suy liên tục</x:v>
      </x:c>
      <x:c r="F16" s="184"/>
      <x:c r="G16" s="184"/>
      <x:c r="H16" s="184"/>
      <x:c r="I16" s="155"/>
      <x:c r="J16" s="155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80" t="str">
        <x:v>HK1</x:v>
      </x:c>
      <x:c r="B17" s="173" t="n">
        <x:v>12</x:v>
      </x:c>
      <x:c r="C17" s="181" t="n">
        <x:v>35</x:v>
      </x:c>
      <x:c r="D17" s="185" t="str">
        <x:v>Điểm đo thực</x:v>
      </x:c>
      <x:c r="E17" s="186" t="str">
        <x:v>Không nội suy liên tục</x:v>
      </x:c>
      <x:c r="F17" s="184"/>
      <x:c r="G17" s="184"/>
      <x:c r="H17" s="184"/>
      <x:c r="I17" s="155"/>
      <x:c r="J17" s="155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80" t="str">
        <x:v>HK1</x:v>
      </x:c>
      <x:c r="B18" s="173" t="n">
        <x:v>13</x:v>
      </x:c>
      <x:c r="C18" s="181" t="n">
        <x:v>30</x:v>
      </x:c>
      <x:c r="D18" s="185" t="str">
        <x:v>Điểm đo thực</x:v>
      </x:c>
      <x:c r="E18" s="186" t="str">
        <x:v>Không nội suy liên tục</x:v>
      </x:c>
      <x:c r="F18" s="184"/>
      <x:c r="G18" s="184"/>
      <x:c r="H18" s="184"/>
      <x:c r="I18" s="155"/>
      <x:c r="J18" s="155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80" t="str">
        <x:v>HK1</x:v>
      </x:c>
      <x:c r="B19" s="173" t="n">
        <x:v>14</x:v>
      </x:c>
      <x:c r="C19" s="181" t="n">
        <x:v>25</x:v>
      </x:c>
      <x:c r="D19" s="185" t="str">
        <x:v>Điểm đo thực</x:v>
      </x:c>
      <x:c r="E19" s="186" t="str">
        <x:v>Không nội suy liên tục</x:v>
      </x:c>
      <x:c r="F19" s="184"/>
      <x:c r="G19" s="184"/>
      <x:c r="H19" s="184"/>
      <x:c r="I19" s="155"/>
      <x:c r="J19" s="155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80" t="str">
        <x:v>HK2</x:v>
      </x:c>
      <x:c r="B20" s="173" t="n">
        <x:v>10</x:v>
      </x:c>
      <x:c r="C20" s="181" t="n">
        <x:v>15</x:v>
      </x:c>
      <x:c r="D20" s="185" t="str">
        <x:v>Điểm đo thực</x:v>
      </x:c>
      <x:c r="E20" s="186" t="str">
        <x:v>Không nội suy liên tục</x:v>
      </x:c>
      <x:c r="F20" s="184"/>
      <x:c r="G20" s="184"/>
      <x:c r="H20" s="184"/>
      <x:c r="I20" s="155"/>
      <x:c r="J20" s="155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80" t="str">
        <x:v>HK2</x:v>
      </x:c>
      <x:c r="B21" s="173" t="n">
        <x:v>11</x:v>
      </x:c>
      <x:c r="C21" s="181" t="n">
        <x:v>20</x:v>
      </x:c>
      <x:c r="D21" s="185" t="str">
        <x:v>Điểm đo thực</x:v>
      </x:c>
      <x:c r="E21" s="186" t="str">
        <x:v>Không nội suy liên tục</x:v>
      </x:c>
      <x:c r="F21" s="184"/>
      <x:c r="G21" s="184"/>
      <x:c r="H21" s="184"/>
      <x:c r="I21" s="155"/>
      <x:c r="J21" s="155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80" t="str">
        <x:v>HK2</x:v>
      </x:c>
      <x:c r="B22" s="173" t="n">
        <x:v>12</x:v>
      </x:c>
      <x:c r="C22" s="181" t="n">
        <x:v>25</x:v>
      </x:c>
      <x:c r="D22" s="185" t="str">
        <x:v>Điểm đo thực</x:v>
      </x:c>
      <x:c r="E22" s="186" t="str">
        <x:v>Không nội suy liên tục</x:v>
      </x:c>
      <x:c r="F22" s="184"/>
      <x:c r="G22" s="184"/>
      <x:c r="H22" s="184"/>
      <x:c r="I22" s="155"/>
      <x:c r="J22" s="155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80" t="str">
        <x:v>HK2</x:v>
      </x:c>
      <x:c r="B23" s="173" t="n">
        <x:v>13</x:v>
      </x:c>
      <x:c r="C23" s="181" t="n">
        <x:v>20</x:v>
      </x:c>
      <x:c r="D23" s="185" t="str">
        <x:v>Điểm đo thực</x:v>
      </x:c>
      <x:c r="E23" s="186" t="str">
        <x:v>Không nội suy liên tục</x:v>
      </x:c>
      <x:c r="F23" s="184"/>
      <x:c r="G23" s="184"/>
      <x:c r="H23" s="184"/>
      <x:c r="I23" s="155"/>
      <x:c r="J23" s="155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80" t="str">
        <x:v>HK2</x:v>
      </x:c>
      <x:c r="B24" s="173" t="n">
        <x:v>14</x:v>
      </x:c>
      <x:c r="C24" s="181" t="n">
        <x:v>15</x:v>
      </x:c>
      <x:c r="D24" s="185" t="str">
        <x:v>Điểm đo thực</x:v>
      </x:c>
      <x:c r="E24" s="186" t="str">
        <x:v>Không nội suy liên tục</x:v>
      </x:c>
      <x:c r="F24" s="184"/>
      <x:c r="G24" s="184"/>
      <x:c r="H24" s="184"/>
      <x:c r="I24" s="155"/>
      <x:c r="J24" s="155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80" t="str">
        <x:v>HK3</x:v>
      </x:c>
      <x:c r="B25" s="173" t="n">
        <x:v>10</x:v>
      </x:c>
      <x:c r="C25" s="181" t="n">
        <x:v>40</x:v>
      </x:c>
      <x:c r="D25" s="185" t="str">
        <x:v>Điểm đo thực</x:v>
      </x:c>
      <x:c r="E25" s="186" t="str">
        <x:v>Không nội suy liên tục</x:v>
      </x:c>
      <x:c r="F25" s="184"/>
      <x:c r="G25" s="184"/>
      <x:c r="H25" s="184"/>
      <x:c r="I25" s="155"/>
      <x:c r="J25" s="155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80" t="str">
        <x:v>HK3</x:v>
      </x:c>
      <x:c r="B26" s="173" t="n">
        <x:v>11</x:v>
      </x:c>
      <x:c r="C26" s="181" t="n">
        <x:v>45</x:v>
      </x:c>
      <x:c r="D26" s="185" t="str">
        <x:v>Điểm đo thực</x:v>
      </x:c>
      <x:c r="E26" s="186" t="str">
        <x:v>Không nội suy liên tục</x:v>
      </x:c>
      <x:c r="F26" s="184"/>
      <x:c r="G26" s="184"/>
      <x:c r="H26" s="184"/>
      <x:c r="I26" s="155"/>
      <x:c r="J26" s="155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80" t="str">
        <x:v>HK3</x:v>
      </x:c>
      <x:c r="B27" s="173" t="n">
        <x:v>12</x:v>
      </x:c>
      <x:c r="C27" s="181" t="n">
        <x:v>50</x:v>
      </x:c>
      <x:c r="D27" s="185" t="str">
        <x:v>Điểm đo thực</x:v>
      </x:c>
      <x:c r="E27" s="186" t="str">
        <x:v>Không nội suy liên tục</x:v>
      </x:c>
      <x:c r="F27" s="184"/>
      <x:c r="G27" s="184"/>
      <x:c r="H27" s="184"/>
      <x:c r="I27" s="155"/>
      <x:c r="J27" s="155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80" t="str">
        <x:v>HK3</x:v>
      </x:c>
      <x:c r="B28" s="173" t="n">
        <x:v>13</x:v>
      </x:c>
      <x:c r="C28" s="181" t="n">
        <x:v>45</x:v>
      </x:c>
      <x:c r="D28" s="185" t="str">
        <x:v>Điểm đo thực</x:v>
      </x:c>
      <x:c r="E28" s="186" t="str">
        <x:v>Không nội suy liên tục</x:v>
      </x:c>
      <x:c r="F28" s="184"/>
      <x:c r="G28" s="184"/>
      <x:c r="H28" s="184"/>
      <x:c r="I28" s="155"/>
      <x:c r="J28" s="155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82" t="str">
        <x:v>HK3</x:v>
      </x:c>
      <x:c r="B29" s="175" t="n">
        <x:v>14</x:v>
      </x:c>
      <x:c r="C29" s="183" t="n">
        <x:v>40</x:v>
      </x:c>
      <x:c r="D29" s="187" t="str">
        <x:v>Điểm đo thực</x:v>
      </x:c>
      <x:c r="E29" s="188" t="str">
        <x:v>Không nội suy liên tục</x:v>
      </x:c>
      <x:c r="F29" s="184"/>
      <x:c r="G29" s="184"/>
      <x:c r="H29" s="184"/>
      <x:c r="I29" s="155"/>
      <x:c r="J29" s="155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84"/>
      <x:c r="D30" s="184"/>
      <x:c r="E30" s="184"/>
      <x:c r="F30" s="184"/>
      <x:c r="G30" s="184"/>
      <x:c r="H30" s="184"/>
      <x:c r="I30" s="155"/>
      <x:c r="J30" s="155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5"/>
      <x:c r="B31" s="155"/>
      <x:c r="C31" s="155"/>
      <x:c r="D31" s="155"/>
      <x:c r="E31" s="155"/>
      <x:c r="F31" s="155"/>
      <x:c r="G31" s="155"/>
      <x:c r="H31" s="155"/>
      <x:c r="I31" s="155"/>
      <x:c r="J31" s="155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5"/>
      <x:c r="B32" s="155"/>
      <x:c r="C32" s="155"/>
      <x:c r="D32" s="155"/>
      <x:c r="E32" s="155"/>
      <x:c r="F32" s="155"/>
      <x:c r="G32" s="155"/>
      <x:c r="H32" s="155"/>
      <x:c r="I32" s="155"/>
      <x:c r="J32" s="155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5"/>
      <x:c r="B33" s="155"/>
      <x:c r="C33" s="155"/>
      <x:c r="D33" s="155"/>
      <x:c r="E33" s="155"/>
      <x:c r="F33" s="155"/>
      <x:c r="G33" s="155"/>
      <x:c r="H33" s="155"/>
      <x:c r="I33" s="155"/>
      <x:c r="J33" s="155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5"/>
      <x:c r="B34" s="155"/>
      <x:c r="C34" s="155"/>
      <x:c r="D34" s="155"/>
      <x:c r="E34" s="155"/>
      <x:c r="F34" s="155"/>
      <x:c r="G34" s="155"/>
      <x:c r="H34" s="155"/>
      <x:c r="I34" s="155"/>
      <x:c r="J34" s="155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5"/>
      <x:c r="B35" s="155"/>
      <x:c r="C35" s="155"/>
      <x:c r="D35" s="155"/>
      <x:c r="E35" s="155"/>
      <x:c r="F35" s="155"/>
      <x:c r="G35" s="155"/>
      <x:c r="H35" s="155"/>
      <x:c r="I35" s="155"/>
      <x:c r="J35" s="155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10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5" hidden="0" customWidth="1"/>
    <x:col min="13" max="13" width="15" hidden="0" customWidth="1"/>
    <x:col min="14" max="14" width="14" hidden="0" customWidth="1"/>
    <x:col min="15" max="15" width="10" hidden="0" customWidth="1"/>
    <x:col min="16" max="16" width="15" hidden="0" customWidth="1"/>
    <x:col min="17" max="17" width="14" hidden="0" customWidth="1"/>
    <x:col min="18" max="18" width="22" hidden="0" customWidth="1"/>
    <x:col min="19" max="19" width="55" hidden="0" customWidth="1"/>
    <x:col min="22" max="22" width="13" hidden="0" customWidth="1"/>
    <x:col min="23" max="23" width="12" hidden="0" customWidth="1"/>
    <x:col min="24" max="24" width="12" hidden="0" customWidth="1"/>
    <x:col min="25" max="25" width="10" hidden="0" customWidth="1"/>
    <x:col min="26" max="26" width="10" hidden="0" customWidth="1"/>
    <x:col min="27" max="27" width="10" hidden="0" customWidth="1"/>
    <x:col min="28" max="28" width="15" hidden="0" customWidth="1"/>
    <x:col min="29" max="29" width="10" hidden="0" customWidth="1"/>
    <x:col min="30" max="30" width="10" hidden="0" customWidth="1"/>
    <x:col min="31" max="31" width="10" hidden="0" customWidth="1"/>
    <x:col min="32" max="32" width="14" hidden="0" customWidth="1"/>
    <x:col min="33" max="33" width="58" hidden="0" customWidth="1"/>
  </x:cols>
  <x:sheetData>
    <x:row r="1">
      <x:c r="A1" s="6" t="str">
        <x:v>SỨC CHỊU TẢI THEO ĐẤT NỀN – 3 LỖ KHOAN × CƠ LÝ + SPT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155"/>
      <x:c r="U1" s="155"/>
      <x:c r="V1" s="155"/>
      <x:c r="W1" s="155"/>
      <x:c r="X1" s="155"/>
      <x:c r="Y1" s="155"/>
      <x:c r="Z1" s="155"/>
      <x:c r="AA1" s="155"/>
      <x:c r="AB1" s="155"/>
      <x:c r="AC1" s="155"/>
      <x:c r="AD1" s="155"/>
      <x:c r="AE1" s="155"/>
      <x:c r="AF1" s="155"/>
      <x:c r="AG1" s="155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  <x:c r="U2" s="155"/>
      <x:c r="V2" s="155"/>
      <x:c r="W2" s="155"/>
      <x:c r="X2" s="155"/>
      <x:c r="Y2" s="155"/>
      <x:c r="Z2" s="155"/>
      <x:c r="AA2" s="155"/>
      <x:c r="AB2" s="155"/>
      <x:c r="AC2" s="155"/>
      <x:c r="AD2" s="155"/>
      <x:c r="AE2" s="155"/>
      <x:c r="AF2" s="155"/>
      <x:c r="AG2" s="155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STT</x:v>
      </x:c>
      <x:c r="B3" s="29" t="str">
        <x:v>Lỗ khoan</x:v>
      </x:c>
      <x:c r="C3" s="29" t="str">
        <x:v>Phương pháp</x:v>
      </x:c>
      <x:c r="D3" s="29" t="str">
        <x:v>A mũi (m²)</x:v>
      </x:c>
      <x:c r="E3" s="29" t="str">
        <x:v>u (m)</x:v>
      </x:c>
      <x:c r="F3" s="29" t="str">
        <x:v>q_b (kPa)</x:v>
      </x:c>
      <x:c r="G3" s="29" t="str">
        <x:v>γ mũi</x:v>
      </x:c>
      <x:c r="H3" s="29" t="str">
        <x:v>Qb (kN)</x:v>
      </x:c>
      <x:c r="I3" s="29" t="str">
        <x:v>Qs (kN)</x:v>
      </x:c>
      <x:c r="J3" s="29" t="str">
        <x:v>Rk (kN)</x:v>
      </x:c>
      <x:c r="K3" s="29" t="str">
        <x:v>γk</x:v>
      </x:c>
      <x:c r="L3" s="29" t="str">
        <x:v>Rd=Rsoil (kN)</x:v>
      </x:c>
      <x:c r="M3" s="29" t="str">
        <x:v>Rmaterial (kN)</x:v>
      </x:c>
      <x:c r="N3" s="29" t="str">
        <x:v>Rpile (kN)</x:v>
      </x:c>
      <x:c r="O3" s="29" t="str">
        <x:v>γn</x:v>
      </x:c>
      <x:c r="P3" s="29" t="str">
        <x:v>Nd,max (kN)</x:v>
      </x:c>
      <x:c r="Q3" s="29" t="str">
        <x:v>Khống chế</x:v>
      </x:c>
      <x:c r="R3" s="29" t="str">
        <x:v>Lớp đất mũi</x:v>
      </x:c>
      <x:c r="S3" s="30" t="str">
        <x:v>Nguồn</x:v>
      </x:c>
      <x:c r="T3" s="155"/>
      <x:c r="U3" s="155"/>
      <x:c r="V3" s="28" t="str">
        <x:v>Lỗ khoan</x:v>
      </x:c>
      <x:c r="W3" s="29" t="str">
        <x:v>Phương pháp</x:v>
      </x:c>
      <x:c r="X3" s="29" t="str">
        <x:v>Đoạn/Lớp</x:v>
      </x:c>
      <x:c r="Y3" s="29" t="str">
        <x:v>Từ z</x:v>
      </x:c>
      <x:c r="Z3" s="29" t="str">
        <x:v>Đến z</x:v>
      </x:c>
      <x:c r="AA3" s="29" t="str">
        <x:v>h (m)</x:v>
      </x:c>
      <x:c r="AB3" s="29" t="str">
        <x:v>z tb (m)</x:v>
      </x:c>
      <x:c r="AC3" s="29" t="str">
        <x:v>f_i / τ (kPa)</x:v>
      </x:c>
      <x:c r="AD3" s="29" t="str">
        <x:v>γRf</x:v>
      </x:c>
      <x:c r="AE3" s="29" t="str">
        <x:v>u (m)</x:v>
      </x:c>
      <x:c r="AF3" s="29" t="str">
        <x:v>Rfi (kN)</x:v>
      </x:c>
      <x:c r="AG3" s="30" t="str">
        <x:v>Nguồn tra</x:v>
      </x:c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n">
        <x:v>1</x:v>
      </x:c>
      <x:c r="B4" s="172" t="str">
        <x:v>HK1</x:v>
      </x:c>
      <x:c r="C4" s="172" t="str">
        <x:v>CƠ LÝ</x:v>
      </x:c>
      <x:c r="D4" s="198" t="n">
        <x:v>0.16000000000000003</x:v>
      </x:c>
      <x:c r="E4" s="198" t="n">
        <x:v>1.6</x:v>
      </x:c>
      <x:c r="F4" s="198" t="n">
        <x:v>4160</x:v>
      </x:c>
      <x:c r="G4" s="198" t="n">
        <x:v>1</x:v>
      </x:c>
      <x:c r="H4" s="199" t="n">
        <x:f>D4*F4*G4</x:f>
        <x:v>665.6000000000001</x:v>
      </x:c>
      <x:c r="I4" s="199" t="n">
        <x:f>SUMIFS($AF$4:$AF$33,$V$4:$V$33,B4,$W$4:$W$33,C4)</x:f>
        <x:v>1052.56</x:v>
      </x:c>
      <x:c r="J4" s="199" t="n">
        <x:f>H4+I4</x:f>
        <x:v>1718.16</x:v>
      </x:c>
      <x:c r="K4" s="199" t="n">
        <x:v>1.4</x:v>
      </x:c>
      <x:c r="L4" s="199" t="n">
        <x:f>J4/K4</x:f>
        <x:v>1227.257142857143</x:v>
      </x:c>
      <x:c r="M4" s="199" t="n">
        <x:f>'05_VẬT_LIỆU'!$B$23</x:f>
        <x:v>2952</x:v>
      </x:c>
      <x:c r="N4" s="199" t="n">
        <x:f>MIN(L4,M4)</x:f>
        <x:v>1227.257142857143</x:v>
      </x:c>
      <x:c r="O4" s="199" t="n">
        <x:f>'02_ĐẦU_VÀO'!$C$12</x:f>
        <x:v>1.15</x:v>
      </x:c>
      <x:c r="P4" s="199" t="n">
        <x:f>N4/O4</x:f>
        <x:v>1067.1801242236027</x:v>
      </x:c>
      <x:c r="Q4" s="200" t="str">
        <x:f>IF(L4&lt;=M4,"ĐẤT NỀN","VẬT LIỆU")</x:f>
        <x:v>ĐẤT NỀN</x:v>
      </x:c>
      <x:c r="R4" s="172" t="str">
        <x:v>Cát/vừa</x:v>
      </x:c>
      <x:c r="S4" s="157" t="str">
        <x:v>TCVN 10304:2025 · 7.2.2 · CT (9) · Bảng 2,3,4 · tr.32–35</x:v>
      </x:c>
      <x:c r="T4" s="155"/>
      <x:c r="U4" s="155"/>
      <x:c r="V4" s="156" t="str">
        <x:v>HK1</x:v>
      </x:c>
      <x:c r="W4" s="172" t="str">
        <x:v>CƠ LÝ</x:v>
      </x:c>
      <x:c r="X4" s="172" t="n">
        <x:v>1</x:v>
      </x:c>
      <x:c r="Y4" s="172" t="n">
        <x:v>0</x:v>
      </x:c>
      <x:c r="Z4" s="172" t="n">
        <x:v>2</x:v>
      </x:c>
      <x:c r="AA4" s="172" t="n">
        <x:v>2</x:v>
      </x:c>
      <x:c r="AB4" s="172" t="n">
        <x:v>1</x:v>
      </x:c>
      <x:c r="AC4" s="172" t="n">
        <x:v>35</x:v>
      </x:c>
      <x:c r="AD4" s="172" t="n">
        <x:v>1</x:v>
      </x:c>
      <x:c r="AE4" s="172" t="n">
        <x:v>1.6</x:v>
      </x:c>
      <x:c r="AF4" s="200" t="n">
        <x:f>IF(V4="","",AA4*AC4*AD4*AE4)</x:f>
        <x:v>112</x:v>
      </x:c>
      <x:c r="AG4" s="157" t="str">
        <x:v>TCVN 10304:2025 · Bảng 3 + Bảng 4 · trang 33–35</x:v>
      </x:c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n">
        <x:v>2</x:v>
      </x:c>
      <x:c r="B5" s="172" t="str">
        <x:v>HK1</x:v>
      </x:c>
      <x:c r="C5" s="172" t="str">
        <x:v>SPT</x:v>
      </x:c>
      <x:c r="D5" s="198" t="n">
        <x:v>0.16000000000000003</x:v>
      </x:c>
      <x:c r="E5" s="198" t="n">
        <x:v>1.6</x:v>
      </x:c>
      <x:c r="F5" s="198" t="n">
        <x:v>9750</x:v>
      </x:c>
      <x:c r="G5" s="198" t="n">
        <x:v>1</x:v>
      </x:c>
      <x:c r="H5" s="199" t="n">
        <x:f>D5*F5*G5</x:f>
        <x:v>1560.0000000000002</x:v>
      </x:c>
      <x:c r="I5" s="199" t="n">
        <x:f>SUMIFS($AF$4:$AF$33,$V$4:$V$33,B5,$W$4:$W$33,C5)</x:f>
        <x:v>902.4</x:v>
      </x:c>
      <x:c r="J5" s="199" t="n">
        <x:f>H5+I5</x:f>
        <x:v>2462.4</x:v>
      </x:c>
      <x:c r="K5" s="199" t="n">
        <x:v>1.5</x:v>
      </x:c>
      <x:c r="L5" s="199" t="n">
        <x:f>J5/K5</x:f>
        <x:v>1641.6000000000001</x:v>
      </x:c>
      <x:c r="M5" s="199" t="n">
        <x:f>'05_VẬT_LIỆU'!$B$23</x:f>
        <x:v>2952</x:v>
      </x:c>
      <x:c r="N5" s="199" t="n">
        <x:f>MIN(L5,M5)</x:f>
        <x:v>1641.6000000000001</x:v>
      </x:c>
      <x:c r="O5" s="199" t="n">
        <x:f>'02_ĐẦU_VÀO'!$C$12</x:f>
        <x:v>1.15</x:v>
      </x:c>
      <x:c r="P5" s="199" t="n">
        <x:f>N5/O5</x:f>
        <x:v>1427.4782608695655</x:v>
      </x:c>
      <x:c r="Q5" s="200" t="str">
        <x:f>IF(L5&lt;=M5,"ĐẤT NỀN","VẬT LIỆU")</x:f>
        <x:v>ĐẤT NỀN</x:v>
      </x:c>
      <x:c r="R5" s="172" t="str">
        <x:v>Cát/vừa</x:v>
      </x:c>
      <x:c r="S5" s="157" t="str">
        <x:v>TCVN 10304:2025 · Phụ lục D · D.1–D.6 · Bảng D.1 · tr.110–111</x:v>
      </x:c>
      <x:c r="T5" s="155"/>
      <x:c r="U5" s="155"/>
      <x:c r="V5" s="156" t="str">
        <x:v>HK1</x:v>
      </x:c>
      <x:c r="W5" s="172" t="str">
        <x:v>CƠ LÝ</x:v>
      </x:c>
      <x:c r="X5" s="172" t="n">
        <x:v>2</x:v>
      </x:c>
      <x:c r="Y5" s="172" t="n">
        <x:v>2</x:v>
      </x:c>
      <x:c r="Z5" s="172" t="n">
        <x:v>4</x:v>
      </x:c>
      <x:c r="AA5" s="172" t="n">
        <x:v>2</x:v>
      </x:c>
      <x:c r="AB5" s="172" t="n">
        <x:v>3</x:v>
      </x:c>
      <x:c r="AC5" s="172" t="n">
        <x:v>48</x:v>
      </x:c>
      <x:c r="AD5" s="172" t="n">
        <x:v>1</x:v>
      </x:c>
      <x:c r="AE5" s="172" t="n">
        <x:v>1.6</x:v>
      </x:c>
      <x:c r="AF5" s="200" t="n">
        <x:f>IF(V5="","",AA5*AC5*AD5*AE5)</x:f>
        <x:v>153.60000000000002</x:v>
      </x:c>
      <x:c r="AG5" s="157" t="str">
        <x:v>TCVN 10304:2025 · Bảng 3 + Bảng 4 · trang 33–35</x:v>
      </x:c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n">
        <x:v>3</x:v>
      </x:c>
      <x:c r="B6" s="172" t="str">
        <x:v>HK2</x:v>
      </x:c>
      <x:c r="C6" s="172" t="str">
        <x:v>CƠ LÝ</x:v>
      </x:c>
      <x:c r="D6" s="198" t="n">
        <x:v>0.16000000000000003</x:v>
      </x:c>
      <x:c r="E6" s="198" t="n">
        <x:v>1.6</x:v>
      </x:c>
      <x:c r="F6" s="198" t="n">
        <x:v>2720</x:v>
      </x:c>
      <x:c r="G6" s="198" t="n">
        <x:v>1</x:v>
      </x:c>
      <x:c r="H6" s="199" t="n">
        <x:f>D6*F6*G6</x:f>
        <x:v>435.2000000000001</x:v>
      </x:c>
      <x:c r="I6" s="199" t="n">
        <x:f>SUMIFS($AF$4:$AF$33,$V$4:$V$33,B6,$W$4:$W$33,C6)</x:f>
        <x:v>745.6000000000001</x:v>
      </x:c>
      <x:c r="J6" s="199" t="n">
        <x:f>H6+I6</x:f>
        <x:v>1180.8000000000002</x:v>
      </x:c>
      <x:c r="K6" s="199" t="n">
        <x:v>1.4</x:v>
      </x:c>
      <x:c r="L6" s="199" t="n">
        <x:f>J6/K6</x:f>
        <x:v>843.4285714285716</x:v>
      </x:c>
      <x:c r="M6" s="199" t="n">
        <x:f>'05_VẬT_LIỆU'!$B$23</x:f>
        <x:v>2952</x:v>
      </x:c>
      <x:c r="N6" s="199" t="n">
        <x:f>MIN(L6,M6)</x:f>
        <x:v>843.4285714285716</x:v>
      </x:c>
      <x:c r="O6" s="199" t="n">
        <x:f>'02_ĐẦU_VÀO'!$C$12</x:f>
        <x:v>1.15</x:v>
      </x:c>
      <x:c r="P6" s="199" t="n">
        <x:f>N6/O6</x:f>
        <x:v>733.4161490683232</x:v>
      </x:c>
      <x:c r="Q6" s="200" t="str">
        <x:f>IF(L6&lt;=M6,"ĐẤT NỀN","VẬT LIỆU")</x:f>
        <x:v>ĐẤT NỀN</x:v>
      </x:c>
      <x:c r="R6" s="172" t="str">
        <x:v>Cát/mịn</x:v>
      </x:c>
      <x:c r="S6" s="157" t="str">
        <x:v>TCVN 10304:2025 · 7.2.2 · CT (9) · Bảng 2,3,4 · tr.32–35</x:v>
      </x:c>
      <x:c r="T6" s="155"/>
      <x:c r="U6" s="155"/>
      <x:c r="V6" s="156" t="str">
        <x:v>HK1</x:v>
      </x:c>
      <x:c r="W6" s="172" t="str">
        <x:v>CƠ LÝ</x:v>
      </x:c>
      <x:c r="X6" s="172" t="n">
        <x:v>3</x:v>
      </x:c>
      <x:c r="Y6" s="172" t="n">
        <x:v>4</x:v>
      </x:c>
      <x:c r="Z6" s="172" t="n">
        <x:v>6</x:v>
      </x:c>
      <x:c r="AA6" s="172" t="n">
        <x:v>2</x:v>
      </x:c>
      <x:c r="AB6" s="172" t="n">
        <x:v>5</x:v>
      </x:c>
      <x:c r="AC6" s="172" t="n">
        <x:v>56</x:v>
      </x:c>
      <x:c r="AD6" s="172" t="n">
        <x:v>1</x:v>
      </x:c>
      <x:c r="AE6" s="172" t="n">
        <x:v>1.6</x:v>
      </x:c>
      <x:c r="AF6" s="200" t="n">
        <x:f>IF(V6="","",AA6*AC6*AD6*AE6)</x:f>
        <x:v>179.20000000000002</x:v>
      </x:c>
      <x:c r="AG6" s="157" t="str">
        <x:v>TCVN 10304:2025 · Bảng 3 + Bảng 4 · trang 33–35</x:v>
      </x:c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n">
        <x:v>4</x:v>
      </x:c>
      <x:c r="B7" s="172" t="str">
        <x:v>HK2</x:v>
      </x:c>
      <x:c r="C7" s="172" t="str">
        <x:v>SPT</x:v>
      </x:c>
      <x:c r="D7" s="198" t="n">
        <x:v>0.16000000000000003</x:v>
      </x:c>
      <x:c r="E7" s="198" t="n">
        <x:v>1.6</x:v>
      </x:c>
      <x:c r="F7" s="198" t="n">
        <x:v>6750</x:v>
      </x:c>
      <x:c r="G7" s="198" t="n">
        <x:v>1</x:v>
      </x:c>
      <x:c r="H7" s="199" t="n">
        <x:f>D7*F7*G7</x:f>
        <x:v>1080.0000000000002</x:v>
      </x:c>
      <x:c r="I7" s="199" t="n">
        <x:f>SUMIFS($AF$4:$AF$33,$V$4:$V$33,B7,$W$4:$W$33,C7)</x:f>
        <x:v>560</x:v>
      </x:c>
      <x:c r="J7" s="199" t="n">
        <x:f>H7+I7</x:f>
        <x:v>1640.0000000000002</x:v>
      </x:c>
      <x:c r="K7" s="199" t="n">
        <x:v>1.5</x:v>
      </x:c>
      <x:c r="L7" s="199" t="n">
        <x:f>J7/K7</x:f>
        <x:v>1093.3333333333335</x:v>
      </x:c>
      <x:c r="M7" s="199" t="n">
        <x:f>'05_VẬT_LIỆU'!$B$23</x:f>
        <x:v>2952</x:v>
      </x:c>
      <x:c r="N7" s="199" t="n">
        <x:f>MIN(L7,M7)</x:f>
        <x:v>1093.3333333333335</x:v>
      </x:c>
      <x:c r="O7" s="199" t="n">
        <x:f>'02_ĐẦU_VÀO'!$C$12</x:f>
        <x:v>1.15</x:v>
      </x:c>
      <x:c r="P7" s="199" t="n">
        <x:f>N7/O7</x:f>
        <x:v>950.7246376811596</x:v>
      </x:c>
      <x:c r="Q7" s="200" t="str">
        <x:f>IF(L7&lt;=M7,"ĐẤT NỀN","VẬT LIỆU")</x:f>
        <x:v>ĐẤT NỀN</x:v>
      </x:c>
      <x:c r="R7" s="172" t="str">
        <x:v>Cát/mịn</x:v>
      </x:c>
      <x:c r="S7" s="157" t="str">
        <x:v>TCVN 10304:2025 · Phụ lục D · D.1–D.6 · Bảng D.1 · tr.110–111</x:v>
      </x:c>
      <x:c r="T7" s="155"/>
      <x:c r="U7" s="155"/>
      <x:c r="V7" s="156" t="str">
        <x:v>HK1</x:v>
      </x:c>
      <x:c r="W7" s="172" t="str">
        <x:v>CƠ LÝ</x:v>
      </x:c>
      <x:c r="X7" s="172" t="n">
        <x:v>4</x:v>
      </x:c>
      <x:c r="Y7" s="172" t="n">
        <x:v>6</x:v>
      </x:c>
      <x:c r="Z7" s="172" t="n">
        <x:v>8</x:v>
      </x:c>
      <x:c r="AA7" s="172" t="n">
        <x:v>2</x:v>
      </x:c>
      <x:c r="AB7" s="172" t="n">
        <x:v>7</x:v>
      </x:c>
      <x:c r="AC7" s="172" t="n">
        <x:v>60</x:v>
      </x:c>
      <x:c r="AD7" s="172" t="n">
        <x:v>1</x:v>
      </x:c>
      <x:c r="AE7" s="172" t="n">
        <x:v>1.6</x:v>
      </x:c>
      <x:c r="AF7" s="200" t="n">
        <x:f>IF(V7="","",AA7*AC7*AD7*AE7)</x:f>
        <x:v>192</x:v>
      </x:c>
      <x:c r="AG7" s="157" t="str">
        <x:v>TCVN 10304:2025 · Bảng 3 + Bảng 4 · trang 33–35</x:v>
      </x:c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n">
        <x:v>5</x:v>
      </x:c>
      <x:c r="B8" s="172" t="str">
        <x:v>HK3</x:v>
      </x:c>
      <x:c r="C8" s="172" t="str">
        <x:v>CƠ LÝ</x:v>
      </x:c>
      <x:c r="D8" s="198" t="n">
        <x:v>0.16000000000000003</x:v>
      </x:c>
      <x:c r="E8" s="198" t="n">
        <x:v>1.6</x:v>
      </x:c>
      <x:c r="F8" s="198" t="n">
        <x:v>7900</x:v>
      </x:c>
      <x:c r="G8" s="198" t="n">
        <x:v>1</x:v>
      </x:c>
      <x:c r="H8" s="199" t="n">
        <x:f>D8*F8*G8</x:f>
        <x:v>1264.0000000000002</x:v>
      </x:c>
      <x:c r="I8" s="199" t="n">
        <x:f>SUMIFS($AF$4:$AF$33,$V$4:$V$33,B8,$W$4:$W$33,C8)</x:f>
        <x:v>1052.56</x:v>
      </x:c>
      <x:c r="J8" s="199" t="n">
        <x:f>H8+I8</x:f>
        <x:v>2316.5600000000004</x:v>
      </x:c>
      <x:c r="K8" s="199" t="n">
        <x:v>1.4</x:v>
      </x:c>
      <x:c r="L8" s="199" t="n">
        <x:f>J8/K8</x:f>
        <x:v>1654.6857142857148</x:v>
      </x:c>
      <x:c r="M8" s="199" t="n">
        <x:f>'05_VẬT_LIỆU'!$B$23</x:f>
        <x:v>2952</x:v>
      </x:c>
      <x:c r="N8" s="199" t="n">
        <x:f>MIN(L8,M8)</x:f>
        <x:v>1654.6857142857148</x:v>
      </x:c>
      <x:c r="O8" s="199" t="n">
        <x:f>'02_ĐẦU_VÀO'!$C$12</x:f>
        <x:v>1.15</x:v>
      </x:c>
      <x:c r="P8" s="199" t="n">
        <x:f>N8/O8</x:f>
        <x:v>1438.8571428571433</x:v>
      </x:c>
      <x:c r="Q8" s="200" t="str">
        <x:f>IF(L8&lt;=M8,"ĐẤT NỀN","VẬT LIỆU")</x:f>
        <x:v>ĐẤT NỀN</x:v>
      </x:c>
      <x:c r="R8" s="172" t="str">
        <x:v>Cát/thô</x:v>
      </x:c>
      <x:c r="S8" s="157" t="str">
        <x:v>TCVN 10304:2025 · 7.2.2 · CT (9) · Bảng 2,3,4 · tr.32–35</x:v>
      </x:c>
      <x:c r="T8" s="155"/>
      <x:c r="U8" s="155"/>
      <x:c r="V8" s="156" t="str">
        <x:v>HK1</x:v>
      </x:c>
      <x:c r="W8" s="172" t="str">
        <x:v>CƠ LÝ</x:v>
      </x:c>
      <x:c r="X8" s="172" t="n">
        <x:v>5</x:v>
      </x:c>
      <x:c r="Y8" s="172" t="n">
        <x:v>8</x:v>
      </x:c>
      <x:c r="Z8" s="172" t="n">
        <x:v>9</x:v>
      </x:c>
      <x:c r="AA8" s="172" t="n">
        <x:v>1</x:v>
      </x:c>
      <x:c r="AB8" s="172" t="n">
        <x:v>8.5</x:v>
      </x:c>
      <x:c r="AC8" s="172" t="n">
        <x:v>62.75</x:v>
      </x:c>
      <x:c r="AD8" s="172" t="n">
        <x:v>1</x:v>
      </x:c>
      <x:c r="AE8" s="172" t="n">
        <x:v>1.6</x:v>
      </x:c>
      <x:c r="AF8" s="200" t="n">
        <x:f>IF(V8="","",AA8*AC8*AD8*AE8)</x:f>
        <x:v>100.4</x:v>
      </x:c>
      <x:c r="AG8" s="157" t="str">
        <x:v>TCVN 10304:2025 · Bảng 3 + Bảng 4 · trang 33–35</x:v>
      </x:c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8" t="n">
        <x:v>6</x:v>
      </x:c>
      <x:c r="B9" s="174" t="str">
        <x:v>HK3</x:v>
      </x:c>
      <x:c r="C9" s="174" t="str">
        <x:v>SPT</x:v>
      </x:c>
      <x:c r="D9" s="201" t="n">
        <x:v>0.16000000000000003</x:v>
      </x:c>
      <x:c r="E9" s="201" t="n">
        <x:v>1.6</x:v>
      </x:c>
      <x:c r="F9" s="201" t="n">
        <x:v>14250</x:v>
      </x:c>
      <x:c r="G9" s="201" t="n">
        <x:v>1</x:v>
      </x:c>
      <x:c r="H9" s="202" t="n">
        <x:f>D9*F9*G9</x:f>
        <x:v>2280.0000000000005</x:v>
      </x:c>
      <x:c r="I9" s="202" t="n">
        <x:f>SUMIFS($AF$4:$AF$33,$V$4:$V$33,B9,$W$4:$W$33,C9)</x:f>
        <x:v>1312</x:v>
      </x:c>
      <x:c r="J9" s="202" t="n">
        <x:f>H9+I9</x:f>
        <x:v>3592.0000000000005</x:v>
      </x:c>
      <x:c r="K9" s="202" t="n">
        <x:v>1.5</x:v>
      </x:c>
      <x:c r="L9" s="202" t="n">
        <x:f>J9/K9</x:f>
        <x:v>2394.666666666667</x:v>
      </x:c>
      <x:c r="M9" s="202" t="n">
        <x:f>'05_VẬT_LIỆU'!$B$23</x:f>
        <x:v>2952</x:v>
      </x:c>
      <x:c r="N9" s="202" t="n">
        <x:f>MIN(L9,M9)</x:f>
        <x:v>2394.666666666667</x:v>
      </x:c>
      <x:c r="O9" s="202" t="n">
        <x:f>'02_ĐẦU_VÀO'!$C$12</x:f>
        <x:v>1.15</x:v>
      </x:c>
      <x:c r="P9" s="202" t="n">
        <x:f>N9/O9</x:f>
        <x:v>2082.3188405797105</x:v>
      </x:c>
      <x:c r="Q9" s="203" t="str">
        <x:f>IF(L9&lt;=M9,"ĐẤT NỀN","VẬT LIỆU")</x:f>
        <x:v>ĐẤT NỀN</x:v>
      </x:c>
      <x:c r="R9" s="174" t="str">
        <x:v>Cát/thô</x:v>
      </x:c>
      <x:c r="S9" s="159" t="str">
        <x:v>TCVN 10304:2025 · Phụ lục D · D.1–D.6 · Bảng D.1 · tr.110–111</x:v>
      </x:c>
      <x:c r="T9" s="155"/>
      <x:c r="U9" s="155"/>
      <x:c r="V9" s="156" t="str">
        <x:v>HK1</x:v>
      </x:c>
      <x:c r="W9" s="172" t="str">
        <x:v>CƠ LÝ</x:v>
      </x:c>
      <x:c r="X9" s="172" t="n">
        <x:v>6</x:v>
      </x:c>
      <x:c r="Y9" s="172" t="n">
        <x:v>9</x:v>
      </x:c>
      <x:c r="Z9" s="172" t="n">
        <x:v>11</x:v>
      </x:c>
      <x:c r="AA9" s="172" t="n">
        <x:v>2</x:v>
      </x:c>
      <x:c r="AB9" s="172" t="n">
        <x:v>10</x:v>
      </x:c>
      <x:c r="AC9" s="172" t="n">
        <x:v>65</x:v>
      </x:c>
      <x:c r="AD9" s="172" t="n">
        <x:v>1</x:v>
      </x:c>
      <x:c r="AE9" s="172" t="n">
        <x:v>1.6</x:v>
      </x:c>
      <x:c r="AF9" s="200" t="n">
        <x:f>IF(V9="","",AA9*AC9*AD9*AE9)</x:f>
        <x:v>208</x:v>
      </x:c>
      <x:c r="AG9" s="157" t="str">
        <x:v>TCVN 10304:2025 · Bảng 3 + Bảng 4 · trang 33–35</x:v>
      </x:c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/>
      <x:c r="B10" s="155"/>
      <x:c r="C10" s="155"/>
      <x:c r="D10" s="155"/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5"/>
      <x:c r="Q10" s="155"/>
      <x:c r="R10" s="155"/>
      <x:c r="S10" s="155"/>
      <x:c r="T10" s="155"/>
      <x:c r="U10" s="155"/>
      <x:c r="V10" s="156" t="str">
        <x:v>HK1</x:v>
      </x:c>
      <x:c r="W10" s="172" t="str">
        <x:v>CƠ LÝ</x:v>
      </x:c>
      <x:c r="X10" s="172" t="n">
        <x:v>7</x:v>
      </x:c>
      <x:c r="Y10" s="172" t="n">
        <x:v>11</x:v>
      </x:c>
      <x:c r="Z10" s="172" t="n">
        <x:v>12</x:v>
      </x:c>
      <x:c r="AA10" s="172" t="n">
        <x:v>1</x:v>
      </x:c>
      <x:c r="AB10" s="172" t="n">
        <x:v>11.5</x:v>
      </x:c>
      <x:c r="AC10" s="172" t="n">
        <x:v>67.1</x:v>
      </x:c>
      <x:c r="AD10" s="172" t="n">
        <x:v>1</x:v>
      </x:c>
      <x:c r="AE10" s="172" t="n">
        <x:v>1.6</x:v>
      </x:c>
      <x:c r="AF10" s="200" t="n">
        <x:f>IF(V10="","",AA10*AC10*AD10*AE10)</x:f>
        <x:v>107.36</x:v>
      </x:c>
      <x:c r="AG10" s="157" t="str">
        <x:v>TCVN 10304:2025 · Bảng 3 + Bảng 4 · trang 33–35</x:v>
      </x:c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5"/>
      <x:c r="Q11" s="155"/>
      <x:c r="R11" s="155"/>
      <x:c r="S11" s="155"/>
      <x:c r="T11" s="155"/>
      <x:c r="U11" s="155"/>
      <x:c r="V11" s="156" t="str">
        <x:v>HK1</x:v>
      </x:c>
      <x:c r="W11" s="172" t="str">
        <x:v>SPT</x:v>
      </x:c>
      <x:c r="X11" s="172" t="n">
        <x:v>1</x:v>
      </x:c>
      <x:c r="Y11" s="172" t="n">
        <x:v>0</x:v>
      </x:c>
      <x:c r="Z11" s="172" t="n">
        <x:v>4</x:v>
      </x:c>
      <x:c r="AA11" s="172" t="n">
        <x:v>4</x:v>
      </x:c>
      <x:c r="AB11" s="172" t="n">
        <x:v>2</x:v>
      </x:c>
      <x:c r="AC11" s="172" t="n">
        <x:v>36</x:v>
      </x:c>
      <x:c r="AD11" s="172" t="n">
        <x:v>1</x:v>
      </x:c>
      <x:c r="AE11" s="172" t="n">
        <x:v>1.6</x:v>
      </x:c>
      <x:c r="AF11" s="200" t="n">
        <x:f>IF(V11="","",AA11*AC11*AD11*AE11)</x:f>
        <x:v>230.4</x:v>
      </x:c>
      <x:c r="AG11" s="157" t="str">
        <x:v>TCVN 10304:2025 · Phụ lục D · Bảng D.1 · trang 110–111</x:v>
      </x:c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6" t="str">
        <x:v>Kết quả batch</x:v>
      </x:c>
      <x:c r="B12" s="16" t="str">
        <x:v>Giá trị</x:v>
      </x:c>
      <x:c r="C12" s="16" t="str">
        <x:v>Đơn vị</x:v>
      </x:c>
      <x:c r="D12" s="16" t="str">
        <x:v>Công thức Excel</x:v>
      </x:c>
      <x:c r="E12" s="16" t="str">
        <x:v>Engine LOCKED</x:v>
      </x:c>
      <x:c r="F12" s="16" t="str">
        <x:v>Sai lệch</x:v>
      </x:c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5"/>
      <x:c r="Q12" s="155"/>
      <x:c r="R12" s="155"/>
      <x:c r="S12" s="155"/>
      <x:c r="T12" s="155"/>
      <x:c r="U12" s="155"/>
      <x:c r="V12" s="156" t="str">
        <x:v>HK1</x:v>
      </x:c>
      <x:c r="W12" s="172" t="str">
        <x:v>SPT</x:v>
      </x:c>
      <x:c r="X12" s="172" t="n">
        <x:v>2</x:v>
      </x:c>
      <x:c r="Y12" s="172" t="n">
        <x:v>4</x:v>
      </x:c>
      <x:c r="Z12" s="172" t="n">
        <x:v>9</x:v>
      </x:c>
      <x:c r="AA12" s="172" t="n">
        <x:v>5</x:v>
      </x:c>
      <x:c r="AB12" s="172" t="n">
        <x:v>6.5</x:v>
      </x:c>
      <x:c r="AC12" s="172" t="n">
        <x:v>48</x:v>
      </x:c>
      <x:c r="AD12" s="172" t="n">
        <x:v>1</x:v>
      </x:c>
      <x:c r="AE12" s="172" t="n">
        <x:v>1.6</x:v>
      </x:c>
      <x:c r="AF12" s="200" t="n">
        <x:f>IF(V12="","",AA12*AC12*AD12*AE12)</x:f>
        <x:v>384</x:v>
      </x:c>
      <x:c r="AG12" s="157" t="str">
        <x:v>TCVN 10304:2025 · Phụ lục D · Bảng D.1 · trang 110–111</x:v>
      </x:c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Rsoil,min</x:v>
      </x:c>
      <x:c r="B13" s="166" t="n">
        <x:f>MIN(L4:L9)</x:f>
        <x:v>843.4285714285716</x:v>
      </x:c>
      <x:c r="C13" s="204" t="str">
        <x:v>kN</x:v>
      </x:c>
      <x:c r="D13" s="204" t="str">
        <x:v>MIN(Rd các nhánh)</x:v>
      </x:c>
      <x:c r="E13" s="204" t="n">
        <x:v>843.4285714285716</x:v>
      </x:c>
      <x:c r="F13" s="166" t="n">
        <x:f>B13-E13</x:f>
        <x:v>0</x:v>
      </x:c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5"/>
      <x:c r="Q13" s="155"/>
      <x:c r="R13" s="155"/>
      <x:c r="S13" s="155"/>
      <x:c r="T13" s="155"/>
      <x:c r="U13" s="155"/>
      <x:c r="V13" s="156" t="str">
        <x:v>HK1</x:v>
      </x:c>
      <x:c r="W13" s="172" t="str">
        <x:v>SPT</x:v>
      </x:c>
      <x:c r="X13" s="172" t="n">
        <x:v>3</x:v>
      </x:c>
      <x:c r="Y13" s="172" t="n">
        <x:v>9</x:v>
      </x:c>
      <x:c r="Z13" s="172" t="n">
        <x:v>12</x:v>
      </x:c>
      <x:c r="AA13" s="172" t="n">
        <x:v>3</x:v>
      </x:c>
      <x:c r="AB13" s="172" t="n">
        <x:v>10.5</x:v>
      </x:c>
      <x:c r="AC13" s="172" t="n">
        <x:v>60</x:v>
      </x:c>
      <x:c r="AD13" s="172" t="n">
        <x:v>1</x:v>
      </x:c>
      <x:c r="AE13" s="172" t="n">
        <x:v>1.6</x:v>
      </x:c>
      <x:c r="AF13" s="200" t="n">
        <x:f>IF(V13="","",AA13*AC13*AD13*AE13)</x:f>
        <x:v>288</x:v>
      </x:c>
      <x:c r="AG13" s="157" t="str">
        <x:v>TCVN 10304:2025 · Phụ lục D · Bảng D.1 · trang 110–111</x:v>
      </x:c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Rmaterial</x:v>
      </x:c>
      <x:c r="B14" s="166" t="n">
        <x:f>'05_VẬT_LIỆU'!B23</x:f>
        <x:v>2952</x:v>
      </x:c>
      <x:c r="C14" s="204" t="str">
        <x:v>kN</x:v>
      </x:c>
      <x:c r="D14" s="204" t="str">
        <x:v>Từ sheet vật liệu</x:v>
      </x:c>
      <x:c r="E14" s="204" t="n">
        <x:v>2952</x:v>
      </x:c>
      <x:c r="F14" s="166" t="n">
        <x:f>B14-E14</x:f>
        <x:v>0</x:v>
      </x:c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5"/>
      <x:c r="Q14" s="155"/>
      <x:c r="R14" s="155"/>
      <x:c r="S14" s="155"/>
      <x:c r="T14" s="155"/>
      <x:c r="U14" s="155"/>
      <x:c r="V14" s="156" t="str">
        <x:v>HK2</x:v>
      </x:c>
      <x:c r="W14" s="172" t="str">
        <x:v>CƠ LÝ</x:v>
      </x:c>
      <x:c r="X14" s="172" t="n">
        <x:v>1</x:v>
      </x:c>
      <x:c r="Y14" s="172" t="n">
        <x:v>0</x:v>
      </x:c>
      <x:c r="Z14" s="172" t="n">
        <x:v>2</x:v>
      </x:c>
      <x:c r="AA14" s="172" t="n">
        <x:v>2</x:v>
      </x:c>
      <x:c r="AB14" s="172" t="n">
        <x:v>1</x:v>
      </x:c>
      <x:c r="AC14" s="172" t="n">
        <x:v>23</x:v>
      </x:c>
      <x:c r="AD14" s="172" t="n">
        <x:v>1</x:v>
      </x:c>
      <x:c r="AE14" s="172" t="n">
        <x:v>1.6</x:v>
      </x:c>
      <x:c r="AF14" s="200" t="n">
        <x:f>IF(V14="","",AA14*AC14*AD14*AE14)</x:f>
        <x:v>73.60000000000001</x:v>
      </x:c>
      <x:c r="AG14" s="157" t="str">
        <x:v>TCVN 10304:2025 · Bảng 3 + Bảng 4 · trang 33–35</x:v>
      </x:c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Rpile</x:v>
      </x:c>
      <x:c r="B15" s="166" t="n">
        <x:f>MIN(B13,B14)</x:f>
        <x:v>843.4285714285716</x:v>
      </x:c>
      <x:c r="C15" s="204" t="str">
        <x:v>kN</x:v>
      </x:c>
      <x:c r="D15" s="204" t="str">
        <x:v>MIN(Rsoil,Rmaterial)</x:v>
      </x:c>
      <x:c r="E15" s="204" t="n">
        <x:v>843.4285714285716</x:v>
      </x:c>
      <x:c r="F15" s="166" t="n">
        <x:f>B15-E15</x:f>
        <x:v>0</x:v>
      </x:c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5"/>
      <x:c r="Q15" s="155"/>
      <x:c r="R15" s="155"/>
      <x:c r="S15" s="155"/>
      <x:c r="T15" s="155"/>
      <x:c r="U15" s="155"/>
      <x:c r="V15" s="156" t="str">
        <x:v>HK2</x:v>
      </x:c>
      <x:c r="W15" s="172" t="str">
        <x:v>CƠ LÝ</x:v>
      </x:c>
      <x:c r="X15" s="172" t="n">
        <x:v>2</x:v>
      </x:c>
      <x:c r="Y15" s="172" t="n">
        <x:v>2</x:v>
      </x:c>
      <x:c r="Z15" s="172" t="n">
        <x:v>4</x:v>
      </x:c>
      <x:c r="AA15" s="172" t="n">
        <x:v>2</x:v>
      </x:c>
      <x:c r="AB15" s="172" t="n">
        <x:v>3</x:v>
      </x:c>
      <x:c r="AC15" s="172" t="n">
        <x:v>35</x:v>
      </x:c>
      <x:c r="AD15" s="172" t="n">
        <x:v>1</x:v>
      </x:c>
      <x:c r="AE15" s="172" t="n">
        <x:v>1.6</x:v>
      </x:c>
      <x:c r="AF15" s="200" t="n">
        <x:f>IF(V15="","",AA15*AC15*AD15*AE15)</x:f>
        <x:v>112</x:v>
      </x:c>
      <x:c r="AG15" s="157" t="str">
        <x:v>TCVN 10304:2025 · Bảng 3 + Bảng 4 · trang 33–35</x:v>
      </x:c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γn</x:v>
      </x:c>
      <x:c r="B16" s="166" t="n">
        <x:f>'02_ĐẦU_VÀO'!C12</x:f>
        <x:v>1.15</x:v>
      </x:c>
      <x:c r="C16" s="204" t="str">
        <x:v>-</x:v>
      </x:c>
      <x:c r="D16" s="204" t="str">
        <x:v>Đầu vào</x:v>
      </x:c>
      <x:c r="E16" s="204" t="n">
        <x:v>1.15</x:v>
      </x:c>
      <x:c r="F16" s="166" t="n">
        <x:f>B16-E16</x:f>
        <x:v>0</x:v>
      </x:c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5"/>
      <x:c r="Q16" s="155"/>
      <x:c r="R16" s="155"/>
      <x:c r="S16" s="155"/>
      <x:c r="T16" s="155"/>
      <x:c r="U16" s="155"/>
      <x:c r="V16" s="156" t="str">
        <x:v>HK2</x:v>
      </x:c>
      <x:c r="W16" s="172" t="str">
        <x:v>CƠ LÝ</x:v>
      </x:c>
      <x:c r="X16" s="172" t="n">
        <x:v>3</x:v>
      </x:c>
      <x:c r="Y16" s="172" t="n">
        <x:v>4</x:v>
      </x:c>
      <x:c r="Z16" s="172" t="n">
        <x:v>6</x:v>
      </x:c>
      <x:c r="AA16" s="172" t="n">
        <x:v>2</x:v>
      </x:c>
      <x:c r="AB16" s="172" t="n">
        <x:v>5</x:v>
      </x:c>
      <x:c r="AC16" s="172" t="n">
        <x:v>40</x:v>
      </x:c>
      <x:c r="AD16" s="172" t="n">
        <x:v>1</x:v>
      </x:c>
      <x:c r="AE16" s="172" t="n">
        <x:v>1.6</x:v>
      </x:c>
      <x:c r="AF16" s="200" t="n">
        <x:f>IF(V16="","",AA16*AC16*AD16*AE16)</x:f>
        <x:v>128</x:v>
      </x:c>
      <x:c r="AG16" s="157" t="str">
        <x:v>TCVN 10304:2025 · Bảng 3 + Bảng 4 · trang 33–35</x:v>
      </x:c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Nd,max</x:v>
      </x:c>
      <x:c r="B17" s="166" t="n">
        <x:f>B15/B16</x:f>
        <x:v>733.4161490683232</x:v>
      </x:c>
      <x:c r="C17" s="204" t="str">
        <x:v>kN</x:v>
      </x:c>
      <x:c r="D17" s="204" t="str">
        <x:v>Rpile/γn</x:v>
      </x:c>
      <x:c r="E17" s="204" t="n">
        <x:v>733.4161490683232</x:v>
      </x:c>
      <x:c r="F17" s="166" t="n">
        <x:f>B17-E17</x:f>
        <x:v>0</x:v>
      </x:c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5"/>
      <x:c r="Q17" s="155"/>
      <x:c r="R17" s="155"/>
      <x:c r="S17" s="155"/>
      <x:c r="T17" s="155"/>
      <x:c r="U17" s="155"/>
      <x:c r="V17" s="156" t="str">
        <x:v>HK2</x:v>
      </x:c>
      <x:c r="W17" s="172" t="str">
        <x:v>CƠ LÝ</x:v>
      </x:c>
      <x:c r="X17" s="172" t="n">
        <x:v>4</x:v>
      </x:c>
      <x:c r="Y17" s="172" t="n">
        <x:v>6</x:v>
      </x:c>
      <x:c r="Z17" s="172" t="n">
        <x:v>8</x:v>
      </x:c>
      <x:c r="AA17" s="172" t="n">
        <x:v>2</x:v>
      </x:c>
      <x:c r="AB17" s="172" t="n">
        <x:v>7</x:v>
      </x:c>
      <x:c r="AC17" s="172" t="n">
        <x:v>43</x:v>
      </x:c>
      <x:c r="AD17" s="172" t="n">
        <x:v>1</x:v>
      </x:c>
      <x:c r="AE17" s="172" t="n">
        <x:v>1.6</x:v>
      </x:c>
      <x:c r="AF17" s="200" t="n">
        <x:f>IF(V17="","",AA17*AC17*AD17*AE17)</x:f>
        <x:v>137.6</x:v>
      </x:c>
      <x:c r="AG17" s="157" t="str">
        <x:v>TCVN 10304:2025 · Bảng 3 + Bảng 4 · trang 33–35</x:v>
      </x:c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Lỗ khoan bất lợi</x:v>
      </x:c>
      <x:c r="B18" s="155" t="str">
        <x:v>HK2</x:v>
      </x:c>
      <x:c r="C18" s="155" t="str">
        <x:v>-</x:v>
      </x:c>
      <x:c r="D18" s="155" t="str">
        <x:v>Engine selection</x:v>
      </x:c>
      <x:c r="E18" s="155" t="str">
        <x:v>HK2</x:v>
      </x:c>
      <x:c r="F18" s="155" t="n">
        <x:v>0</x:v>
      </x:c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5"/>
      <x:c r="Q18" s="155"/>
      <x:c r="R18" s="155"/>
      <x:c r="S18" s="155"/>
      <x:c r="T18" s="155"/>
      <x:c r="U18" s="155"/>
      <x:c r="V18" s="156" t="str">
        <x:v>HK2</x:v>
      </x:c>
      <x:c r="W18" s="172" t="str">
        <x:v>CƠ LÝ</x:v>
      </x:c>
      <x:c r="X18" s="172" t="n">
        <x:v>5</x:v>
      </x:c>
      <x:c r="Y18" s="172" t="n">
        <x:v>8</x:v>
      </x:c>
      <x:c r="Z18" s="172" t="n">
        <x:v>9</x:v>
      </x:c>
      <x:c r="AA18" s="172" t="n">
        <x:v>1</x:v>
      </x:c>
      <x:c r="AB18" s="172" t="n">
        <x:v>8.5</x:v>
      </x:c>
      <x:c r="AC18" s="172" t="n">
        <x:v>44.5</x:v>
      </x:c>
      <x:c r="AD18" s="172" t="n">
        <x:v>1</x:v>
      </x:c>
      <x:c r="AE18" s="172" t="n">
        <x:v>1.6</x:v>
      </x:c>
      <x:c r="AF18" s="200" t="n">
        <x:f>IF(V18="","",AA18*AC18*AD18*AE18)</x:f>
        <x:v>71.2</x:v>
      </x:c>
      <x:c r="AG18" s="157" t="str">
        <x:v>TCVN 10304:2025 · Bảng 3 + Bảng 4 · trang 33–35</x:v>
      </x:c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Phương pháp bất lợi</x:v>
      </x:c>
      <x:c r="B19" s="155" t="str">
        <x:v>CƠ LÝ · 7.2.2 CỌC ĐÓNG/ÉP</x:v>
      </x:c>
      <x:c r="C19" s="155" t="str">
        <x:v>-</x:v>
      </x:c>
      <x:c r="D19" s="155" t="str">
        <x:v>Engine selection</x:v>
      </x:c>
      <x:c r="E19" s="155" t="str">
        <x:v>CƠ LÝ · 7.2.2 CỌC ĐÓNG/ÉP</x:v>
      </x:c>
      <x:c r="F19" s="155" t="n">
        <x:v>0</x:v>
      </x:c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5"/>
      <x:c r="Q19" s="155"/>
      <x:c r="R19" s="155"/>
      <x:c r="S19" s="155"/>
      <x:c r="T19" s="155"/>
      <x:c r="U19" s="155"/>
      <x:c r="V19" s="156" t="str">
        <x:v>HK2</x:v>
      </x:c>
      <x:c r="W19" s="172" t="str">
        <x:v>CƠ LÝ</x:v>
      </x:c>
      <x:c r="X19" s="172" t="n">
        <x:v>6</x:v>
      </x:c>
      <x:c r="Y19" s="172" t="n">
        <x:v>9</x:v>
      </x:c>
      <x:c r="Z19" s="172" t="n">
        <x:v>11</x:v>
      </x:c>
      <x:c r="AA19" s="172" t="n">
        <x:v>2</x:v>
      </x:c>
      <x:c r="AB19" s="172" t="n">
        <x:v>10</x:v>
      </x:c>
      <x:c r="AC19" s="172" t="n">
        <x:v>46</x:v>
      </x:c>
      <x:c r="AD19" s="172" t="n">
        <x:v>1</x:v>
      </x:c>
      <x:c r="AE19" s="172" t="n">
        <x:v>1.6</x:v>
      </x:c>
      <x:c r="AF19" s="200" t="n">
        <x:f>IF(V19="","",AA19*AC19*AD19*AE19)</x:f>
        <x:v>147.20000000000002</x:v>
      </x:c>
      <x:c r="AG19" s="157" t="str">
        <x:v>TCVN 10304:2025 · Bảng 3 + Bảng 4 · trang 33–35</x:v>
      </x:c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</x:v>
      </x:c>
      <x:c r="B20" s="155" t="str">
        <x:f>IF(AND(ABS(F13)&lt;1E-6,ABS(F14)&lt;1E-6,ABS(F15)&lt;1E-6,ABS(F16)&lt;1E-9,ABS(F17)&lt;1E-6),"VERIFIED","KHÔNG KHỚP")</x:f>
        <x:v>VERIFIED</x:v>
      </x:c>
      <x:c r="C20" s="155" t="str">
        <x:v>-</x:v>
      </x:c>
      <x:c r="D20" s="155" t="str">
        <x:v>Sai lệch số phải ≈0</x:v>
      </x:c>
      <x:c r="E20" s="155" t="str">
        <x:v>VERIFIED</x:v>
      </x:c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5"/>
      <x:c r="Q20" s="155"/>
      <x:c r="R20" s="155"/>
      <x:c r="S20" s="155"/>
      <x:c r="T20" s="155"/>
      <x:c r="U20" s="155"/>
      <x:c r="V20" s="156" t="str">
        <x:v>HK2</x:v>
      </x:c>
      <x:c r="W20" s="172" t="str">
        <x:v>CƠ LÝ</x:v>
      </x:c>
      <x:c r="X20" s="172" t="n">
        <x:v>7</x:v>
      </x:c>
      <x:c r="Y20" s="172" t="n">
        <x:v>11</x:v>
      </x:c>
      <x:c r="Z20" s="172" t="n">
        <x:v>12</x:v>
      </x:c>
      <x:c r="AA20" s="172" t="n">
        <x:v>1</x:v>
      </x:c>
      <x:c r="AB20" s="172" t="n">
        <x:v>11.5</x:v>
      </x:c>
      <x:c r="AC20" s="172" t="n">
        <x:v>47.5</x:v>
      </x:c>
      <x:c r="AD20" s="172" t="n">
        <x:v>1</x:v>
      </x:c>
      <x:c r="AE20" s="172" t="n">
        <x:v>1.6</x:v>
      </x:c>
      <x:c r="AF20" s="200" t="n">
        <x:f>IF(V20="","",AA20*AC20*AD20*AE20)</x:f>
        <x:v>76</x:v>
      </x:c>
      <x:c r="AG20" s="157" t="str">
        <x:v>TCVN 10304:2025 · Bảng 3 + Bảng 4 · trang 33–35</x:v>
      </x:c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5"/>
      <x:c r="Q21" s="155"/>
      <x:c r="R21" s="155"/>
      <x:c r="S21" s="155"/>
      <x:c r="T21" s="155"/>
      <x:c r="U21" s="155"/>
      <x:c r="V21" s="156" t="str">
        <x:v>HK2</x:v>
      </x:c>
      <x:c r="W21" s="172" t="str">
        <x:v>SPT</x:v>
      </x:c>
      <x:c r="X21" s="172" t="n">
        <x:v>1</x:v>
      </x:c>
      <x:c r="Y21" s="172" t="n">
        <x:v>0</x:v>
      </x:c>
      <x:c r="Z21" s="172" t="n">
        <x:v>4</x:v>
      </x:c>
      <x:c r="AA21" s="172" t="n">
        <x:v>4</x:v>
      </x:c>
      <x:c r="AB21" s="172" t="n">
        <x:v>2</x:v>
      </x:c>
      <x:c r="AC21" s="172" t="n">
        <x:v>20</x:v>
      </x:c>
      <x:c r="AD21" s="172" t="n">
        <x:v>1</x:v>
      </x:c>
      <x:c r="AE21" s="172" t="n">
        <x:v>1.6</x:v>
      </x:c>
      <x:c r="AF21" s="200" t="n">
        <x:f>IF(V21="","",AA21*AC21*AD21*AE21)</x:f>
        <x:v>128</x:v>
      </x:c>
      <x:c r="AG21" s="157" t="str">
        <x:v>TCVN 10304:2025 · Phụ lục D · Bảng D.1 · trang 110–111</x:v>
      </x:c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5"/>
      <x:c r="Q22" s="155"/>
      <x:c r="R22" s="155"/>
      <x:c r="S22" s="155"/>
      <x:c r="T22" s="155"/>
      <x:c r="U22" s="155"/>
      <x:c r="V22" s="156" t="str">
        <x:v>HK2</x:v>
      </x:c>
      <x:c r="W22" s="172" t="str">
        <x:v>SPT</x:v>
      </x:c>
      <x:c r="X22" s="172" t="n">
        <x:v>2</x:v>
      </x:c>
      <x:c r="Y22" s="172" t="n">
        <x:v>4</x:v>
      </x:c>
      <x:c r="Z22" s="172" t="n">
        <x:v>9</x:v>
      </x:c>
      <x:c r="AA22" s="172" t="n">
        <x:v>5</x:v>
      </x:c>
      <x:c r="AB22" s="172" t="n">
        <x:v>6.5</x:v>
      </x:c>
      <x:c r="AC22" s="172" t="n">
        <x:v>30</x:v>
      </x:c>
      <x:c r="AD22" s="172" t="n">
        <x:v>1</x:v>
      </x:c>
      <x:c r="AE22" s="172" t="n">
        <x:v>1.6</x:v>
      </x:c>
      <x:c r="AF22" s="200" t="n">
        <x:f>IF(V22="","",AA22*AC22*AD22*AE22)</x:f>
        <x:v>240</x:v>
      </x:c>
      <x:c r="AG22" s="157" t="str">
        <x:v>TCVN 10304:2025 · Phụ lục D · Bảng D.1 · trang 110–111</x:v>
      </x:c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5"/>
      <x:c r="Q23" s="155"/>
      <x:c r="R23" s="155"/>
      <x:c r="S23" s="155"/>
      <x:c r="T23" s="155"/>
      <x:c r="U23" s="155"/>
      <x:c r="V23" s="156" t="str">
        <x:v>HK2</x:v>
      </x:c>
      <x:c r="W23" s="172" t="str">
        <x:v>SPT</x:v>
      </x:c>
      <x:c r="X23" s="172" t="n">
        <x:v>3</x:v>
      </x:c>
      <x:c r="Y23" s="172" t="n">
        <x:v>9</x:v>
      </x:c>
      <x:c r="Z23" s="172" t="n">
        <x:v>12</x:v>
      </x:c>
      <x:c r="AA23" s="172" t="n">
        <x:v>3</x:v>
      </x:c>
      <x:c r="AB23" s="172" t="n">
        <x:v>10.5</x:v>
      </x:c>
      <x:c r="AC23" s="172" t="n">
        <x:v>40</x:v>
      </x:c>
      <x:c r="AD23" s="172" t="n">
        <x:v>1</x:v>
      </x:c>
      <x:c r="AE23" s="172" t="n">
        <x:v>1.6</x:v>
      </x:c>
      <x:c r="AF23" s="200" t="n">
        <x:f>IF(V23="","",AA23*AC23*AD23*AE23)</x:f>
        <x:v>192</x:v>
      </x:c>
      <x:c r="AG23" s="157" t="str">
        <x:v>TCVN 10304:2025 · Phụ lục D · Bảng D.1 · trang 110–111</x:v>
      </x:c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5"/>
      <x:c r="Q24" s="155"/>
      <x:c r="R24" s="155"/>
      <x:c r="S24" s="155"/>
      <x:c r="T24" s="155"/>
      <x:c r="U24" s="155"/>
      <x:c r="V24" s="156" t="str">
        <x:v>HK3</x:v>
      </x:c>
      <x:c r="W24" s="172" t="str">
        <x:v>CƠ LÝ</x:v>
      </x:c>
      <x:c r="X24" s="172" t="n">
        <x:v>1</x:v>
      </x:c>
      <x:c r="Y24" s="172" t="n">
        <x:v>0</x:v>
      </x:c>
      <x:c r="Z24" s="172" t="n">
        <x:v>2</x:v>
      </x:c>
      <x:c r="AA24" s="172" t="n">
        <x:v>2</x:v>
      </x:c>
      <x:c r="AB24" s="172" t="n">
        <x:v>1</x:v>
      </x:c>
      <x:c r="AC24" s="172" t="n">
        <x:v>35</x:v>
      </x:c>
      <x:c r="AD24" s="172" t="n">
        <x:v>1</x:v>
      </x:c>
      <x:c r="AE24" s="172" t="n">
        <x:v>1.6</x:v>
      </x:c>
      <x:c r="AF24" s="200" t="n">
        <x:f>IF(V24="","",AA24*AC24*AD24*AE24)</x:f>
        <x:v>112</x:v>
      </x:c>
      <x:c r="AG24" s="157" t="str">
        <x:v>TCVN 10304:2025 · Bảng 3 + Bảng 4 · trang 33–35</x:v>
      </x:c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5"/>
      <x:c r="Q25" s="155"/>
      <x:c r="R25" s="155"/>
      <x:c r="S25" s="155"/>
      <x:c r="T25" s="155"/>
      <x:c r="U25" s="155"/>
      <x:c r="V25" s="156" t="str">
        <x:v>HK3</x:v>
      </x:c>
      <x:c r="W25" s="172" t="str">
        <x:v>CƠ LÝ</x:v>
      </x:c>
      <x:c r="X25" s="172" t="n">
        <x:v>2</x:v>
      </x:c>
      <x:c r="Y25" s="172" t="n">
        <x:v>2</x:v>
      </x:c>
      <x:c r="Z25" s="172" t="n">
        <x:v>4</x:v>
      </x:c>
      <x:c r="AA25" s="172" t="n">
        <x:v>2</x:v>
      </x:c>
      <x:c r="AB25" s="172" t="n">
        <x:v>3</x:v>
      </x:c>
      <x:c r="AC25" s="172" t="n">
        <x:v>48</x:v>
      </x:c>
      <x:c r="AD25" s="172" t="n">
        <x:v>1</x:v>
      </x:c>
      <x:c r="AE25" s="172" t="n">
        <x:v>1.6</x:v>
      </x:c>
      <x:c r="AF25" s="200" t="n">
        <x:f>IF(V25="","",AA25*AC25*AD25*AE25)</x:f>
        <x:v>153.60000000000002</x:v>
      </x:c>
      <x:c r="AG25" s="157" t="str">
        <x:v>TCVN 10304:2025 · Bảng 3 + Bảng 4 · trang 33–35</x:v>
      </x:c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5"/>
      <x:c r="Q26" s="155"/>
      <x:c r="R26" s="155"/>
      <x:c r="S26" s="155"/>
      <x:c r="T26" s="155"/>
      <x:c r="U26" s="155"/>
      <x:c r="V26" s="156" t="str">
        <x:v>HK3</x:v>
      </x:c>
      <x:c r="W26" s="172" t="str">
        <x:v>CƠ LÝ</x:v>
      </x:c>
      <x:c r="X26" s="172" t="n">
        <x:v>3</x:v>
      </x:c>
      <x:c r="Y26" s="172" t="n">
        <x:v>4</x:v>
      </x:c>
      <x:c r="Z26" s="172" t="n">
        <x:v>6</x:v>
      </x:c>
      <x:c r="AA26" s="172" t="n">
        <x:v>2</x:v>
      </x:c>
      <x:c r="AB26" s="172" t="n">
        <x:v>5</x:v>
      </x:c>
      <x:c r="AC26" s="172" t="n">
        <x:v>56</x:v>
      </x:c>
      <x:c r="AD26" s="172" t="n">
        <x:v>1</x:v>
      </x:c>
      <x:c r="AE26" s="172" t="n">
        <x:v>1.6</x:v>
      </x:c>
      <x:c r="AF26" s="200" t="n">
        <x:f>IF(V26="","",AA26*AC26*AD26*AE26)</x:f>
        <x:v>179.20000000000002</x:v>
      </x:c>
      <x:c r="AG26" s="157" t="str">
        <x:v>TCVN 10304:2025 · Bảng 3 + Bảng 4 · trang 33–35</x:v>
      </x:c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5"/>
      <x:c r="Q27" s="155"/>
      <x:c r="R27" s="155"/>
      <x:c r="S27" s="155"/>
      <x:c r="T27" s="155"/>
      <x:c r="U27" s="155"/>
      <x:c r="V27" s="156" t="str">
        <x:v>HK3</x:v>
      </x:c>
      <x:c r="W27" s="172" t="str">
        <x:v>CƠ LÝ</x:v>
      </x:c>
      <x:c r="X27" s="172" t="n">
        <x:v>4</x:v>
      </x:c>
      <x:c r="Y27" s="172" t="n">
        <x:v>6</x:v>
      </x:c>
      <x:c r="Z27" s="172" t="n">
        <x:v>8</x:v>
      </x:c>
      <x:c r="AA27" s="172" t="n">
        <x:v>2</x:v>
      </x:c>
      <x:c r="AB27" s="172" t="n">
        <x:v>7</x:v>
      </x:c>
      <x:c r="AC27" s="172" t="n">
        <x:v>60</x:v>
      </x:c>
      <x:c r="AD27" s="172" t="n">
        <x:v>1</x:v>
      </x:c>
      <x:c r="AE27" s="172" t="n">
        <x:v>1.6</x:v>
      </x:c>
      <x:c r="AF27" s="200" t="n">
        <x:f>IF(V27="","",AA27*AC27*AD27*AE27)</x:f>
        <x:v>192</x:v>
      </x:c>
      <x:c r="AG27" s="157" t="str">
        <x:v>TCVN 10304:2025 · Bảng 3 + Bảng 4 · trang 33–35</x:v>
      </x:c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5"/>
      <x:c r="Q28" s="155"/>
      <x:c r="R28" s="155"/>
      <x:c r="S28" s="155"/>
      <x:c r="T28" s="155"/>
      <x:c r="U28" s="155"/>
      <x:c r="V28" s="156" t="str">
        <x:v>HK3</x:v>
      </x:c>
      <x:c r="W28" s="172" t="str">
        <x:v>CƠ LÝ</x:v>
      </x:c>
      <x:c r="X28" s="172" t="n">
        <x:v>5</x:v>
      </x:c>
      <x:c r="Y28" s="172" t="n">
        <x:v>8</x:v>
      </x:c>
      <x:c r="Z28" s="172" t="n">
        <x:v>9</x:v>
      </x:c>
      <x:c r="AA28" s="172" t="n">
        <x:v>1</x:v>
      </x:c>
      <x:c r="AB28" s="172" t="n">
        <x:v>8.5</x:v>
      </x:c>
      <x:c r="AC28" s="172" t="n">
        <x:v>62.75</x:v>
      </x:c>
      <x:c r="AD28" s="172" t="n">
        <x:v>1</x:v>
      </x:c>
      <x:c r="AE28" s="172" t="n">
        <x:v>1.6</x:v>
      </x:c>
      <x:c r="AF28" s="200" t="n">
        <x:f>IF(V28="","",AA28*AC28*AD28*AE28)</x:f>
        <x:v>100.4</x:v>
      </x:c>
      <x:c r="AG28" s="157" t="str">
        <x:v>TCVN 10304:2025 · Bảng 3 + Bảng 4 · trang 33–35</x:v>
      </x:c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5"/>
      <x:c r="Q29" s="155"/>
      <x:c r="R29" s="155"/>
      <x:c r="S29" s="155"/>
      <x:c r="T29" s="155"/>
      <x:c r="U29" s="155"/>
      <x:c r="V29" s="156" t="str">
        <x:v>HK3</x:v>
      </x:c>
      <x:c r="W29" s="172" t="str">
        <x:v>CƠ LÝ</x:v>
      </x:c>
      <x:c r="X29" s="172" t="n">
        <x:v>6</x:v>
      </x:c>
      <x:c r="Y29" s="172" t="n">
        <x:v>9</x:v>
      </x:c>
      <x:c r="Z29" s="172" t="n">
        <x:v>11</x:v>
      </x:c>
      <x:c r="AA29" s="172" t="n">
        <x:v>2</x:v>
      </x:c>
      <x:c r="AB29" s="172" t="n">
        <x:v>10</x:v>
      </x:c>
      <x:c r="AC29" s="172" t="n">
        <x:v>65</x:v>
      </x:c>
      <x:c r="AD29" s="172" t="n">
        <x:v>1</x:v>
      </x:c>
      <x:c r="AE29" s="172" t="n">
        <x:v>1.6</x:v>
      </x:c>
      <x:c r="AF29" s="200" t="n">
        <x:f>IF(V29="","",AA29*AC29*AD29*AE29)</x:f>
        <x:v>208</x:v>
      </x:c>
      <x:c r="AG29" s="157" t="str">
        <x:v>TCVN 10304:2025 · Bảng 3 + Bảng 4 · trang 33–35</x:v>
      </x:c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5"/>
      <x:c r="Q30" s="155"/>
      <x:c r="R30" s="155"/>
      <x:c r="S30" s="155"/>
      <x:c r="T30" s="155"/>
      <x:c r="U30" s="155"/>
      <x:c r="V30" s="156" t="str">
        <x:v>HK3</x:v>
      </x:c>
      <x:c r="W30" s="172" t="str">
        <x:v>CƠ LÝ</x:v>
      </x:c>
      <x:c r="X30" s="172" t="n">
        <x:v>7</x:v>
      </x:c>
      <x:c r="Y30" s="172" t="n">
        <x:v>11</x:v>
      </x:c>
      <x:c r="Z30" s="172" t="n">
        <x:v>12</x:v>
      </x:c>
      <x:c r="AA30" s="172" t="n">
        <x:v>1</x:v>
      </x:c>
      <x:c r="AB30" s="172" t="n">
        <x:v>11.5</x:v>
      </x:c>
      <x:c r="AC30" s="172" t="n">
        <x:v>67.1</x:v>
      </x:c>
      <x:c r="AD30" s="172" t="n">
        <x:v>1</x:v>
      </x:c>
      <x:c r="AE30" s="172" t="n">
        <x:v>1.6</x:v>
      </x:c>
      <x:c r="AF30" s="200" t="n">
        <x:f>IF(V30="","",AA30*AC30*AD30*AE30)</x:f>
        <x:v>107.36</x:v>
      </x:c>
      <x:c r="AG30" s="157" t="str">
        <x:v>TCVN 10304:2025 · Bảng 3 + Bảng 4 · trang 33–35</x:v>
      </x:c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5"/>
      <x:c r="B31" s="155"/>
      <x:c r="C31" s="155"/>
      <x:c r="D31" s="155"/>
      <x:c r="E31" s="155"/>
      <x:c r="F31" s="155"/>
      <x:c r="G31" s="155"/>
      <x:c r="H31" s="155"/>
      <x:c r="I31" s="155"/>
      <x:c r="J31" s="155"/>
      <x:c r="K31" s="155"/>
      <x:c r="L31" s="155"/>
      <x:c r="M31" s="155"/>
      <x:c r="N31" s="155"/>
      <x:c r="O31" s="155"/>
      <x:c r="P31" s="155"/>
      <x:c r="Q31" s="155"/>
      <x:c r="R31" s="155"/>
      <x:c r="S31" s="155"/>
      <x:c r="T31" s="155"/>
      <x:c r="U31" s="155"/>
      <x:c r="V31" s="156" t="str">
        <x:v>HK3</x:v>
      </x:c>
      <x:c r="W31" s="172" t="str">
        <x:v>SPT</x:v>
      </x:c>
      <x:c r="X31" s="172" t="n">
        <x:v>1</x:v>
      </x:c>
      <x:c r="Y31" s="172" t="n">
        <x:v>0</x:v>
      </x:c>
      <x:c r="Z31" s="172" t="n">
        <x:v>4</x:v>
      </x:c>
      <x:c r="AA31" s="172" t="n">
        <x:v>4</x:v>
      </x:c>
      <x:c r="AB31" s="172" t="n">
        <x:v>2</x:v>
      </x:c>
      <x:c r="AC31" s="172" t="n">
        <x:v>50</x:v>
      </x:c>
      <x:c r="AD31" s="172" t="n">
        <x:v>1</x:v>
      </x:c>
      <x:c r="AE31" s="172" t="n">
        <x:v>1.6</x:v>
      </x:c>
      <x:c r="AF31" s="200" t="n">
        <x:f>IF(V31="","",AA31*AC31*AD31*AE31)</x:f>
        <x:v>320</x:v>
      </x:c>
      <x:c r="AG31" s="157" t="str">
        <x:v>TCVN 10304:2025 · Phụ lục D · Bảng D.1 · trang 110–111</x:v>
      </x:c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5"/>
      <x:c r="B32" s="155"/>
      <x:c r="C32" s="155"/>
      <x:c r="D32" s="155"/>
      <x:c r="E32" s="155"/>
      <x:c r="F32" s="155"/>
      <x:c r="G32" s="155"/>
      <x:c r="H32" s="155"/>
      <x:c r="I32" s="155"/>
      <x:c r="J32" s="155"/>
      <x:c r="K32" s="155"/>
      <x:c r="L32" s="155"/>
      <x:c r="M32" s="155"/>
      <x:c r="N32" s="155"/>
      <x:c r="O32" s="155"/>
      <x:c r="P32" s="155"/>
      <x:c r="Q32" s="155"/>
      <x:c r="R32" s="155"/>
      <x:c r="S32" s="155"/>
      <x:c r="T32" s="155"/>
      <x:c r="U32" s="155"/>
      <x:c r="V32" s="156" t="str">
        <x:v>HK3</x:v>
      </x:c>
      <x:c r="W32" s="172" t="str">
        <x:v>SPT</x:v>
      </x:c>
      <x:c r="X32" s="172" t="n">
        <x:v>2</x:v>
      </x:c>
      <x:c r="Y32" s="172" t="n">
        <x:v>4</x:v>
      </x:c>
      <x:c r="Z32" s="172" t="n">
        <x:v>9</x:v>
      </x:c>
      <x:c r="AA32" s="172" t="n">
        <x:v>5</x:v>
      </x:c>
      <x:c r="AB32" s="172" t="n">
        <x:v>6.5</x:v>
      </x:c>
      <x:c r="AC32" s="172" t="n">
        <x:v>70</x:v>
      </x:c>
      <x:c r="AD32" s="172" t="n">
        <x:v>1</x:v>
      </x:c>
      <x:c r="AE32" s="172" t="n">
        <x:v>1.6</x:v>
      </x:c>
      <x:c r="AF32" s="200" t="n">
        <x:f>IF(V32="","",AA32*AC32*AD32*AE32)</x:f>
        <x:v>560</x:v>
      </x:c>
      <x:c r="AG32" s="157" t="str">
        <x:v>TCVN 10304:2025 · Phụ lục D · Bảng D.1 · trang 110–111</x:v>
      </x:c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5"/>
      <x:c r="B33" s="155"/>
      <x:c r="C33" s="155"/>
      <x:c r="D33" s="155"/>
      <x:c r="E33" s="155"/>
      <x:c r="F33" s="155"/>
      <x:c r="G33" s="155"/>
      <x:c r="H33" s="155"/>
      <x:c r="I33" s="155"/>
      <x:c r="J33" s="155"/>
      <x:c r="K33" s="155"/>
      <x:c r="L33" s="155"/>
      <x:c r="M33" s="155"/>
      <x:c r="N33" s="155"/>
      <x:c r="O33" s="155"/>
      <x:c r="P33" s="155"/>
      <x:c r="Q33" s="155"/>
      <x:c r="R33" s="155"/>
      <x:c r="S33" s="155"/>
      <x:c r="T33" s="155"/>
      <x:c r="U33" s="155"/>
      <x:c r="V33" s="158" t="str">
        <x:v>HK3</x:v>
      </x:c>
      <x:c r="W33" s="174" t="str">
        <x:v>SPT</x:v>
      </x:c>
      <x:c r="X33" s="174" t="n">
        <x:v>3</x:v>
      </x:c>
      <x:c r="Y33" s="174" t="n">
        <x:v>9</x:v>
      </x:c>
      <x:c r="Z33" s="174" t="n">
        <x:v>12</x:v>
      </x:c>
      <x:c r="AA33" s="174" t="n">
        <x:v>3</x:v>
      </x:c>
      <x:c r="AB33" s="174" t="n">
        <x:v>10.5</x:v>
      </x:c>
      <x:c r="AC33" s="174" t="n">
        <x:v>90</x:v>
      </x:c>
      <x:c r="AD33" s="174" t="n">
        <x:v>1</x:v>
      </x:c>
      <x:c r="AE33" s="174" t="n">
        <x:v>1.6</x:v>
      </x:c>
      <x:c r="AF33" s="203" t="n">
        <x:f>IF(V33="","",AA33*AC33*AD33*AE33)</x:f>
        <x:v>432</x:v>
      </x:c>
      <x:c r="AG33" s="159" t="str">
        <x:v>TCVN 10304:2025 · Phụ lục D · Bảng D.1 · trang 110–111</x:v>
      </x:c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5"/>
      <x:c r="B34" s="155"/>
      <x:c r="C34" s="155"/>
      <x:c r="D34" s="155"/>
      <x:c r="E34" s="155"/>
      <x:c r="F34" s="155"/>
      <x:c r="G34" s="155"/>
      <x:c r="H34" s="155"/>
      <x:c r="I34" s="155"/>
      <x:c r="J34" s="155"/>
      <x:c r="K34" s="155"/>
      <x:c r="L34" s="155"/>
      <x:c r="M34" s="155"/>
      <x:c r="N34" s="155"/>
      <x:c r="O34" s="155"/>
      <x:c r="P34" s="155"/>
      <x:c r="Q34" s="155"/>
      <x:c r="R34" s="155"/>
      <x:c r="S34" s="155"/>
      <x:c r="T34" s="155"/>
      <x:c r="U34" s="155"/>
      <x:c r="V34" s="155"/>
      <x:c r="W34" s="155"/>
      <x:c r="X34" s="155"/>
      <x:c r="Y34" s="155"/>
      <x:c r="Z34" s="155"/>
      <x:c r="AA34" s="155"/>
      <x:c r="AB34" s="155"/>
      <x:c r="AC34" s="155"/>
      <x:c r="AD34" s="155"/>
      <x:c r="AE34" s="155"/>
      <x:c r="AF34" s="155" t="str">
        <x:f>IF(V34="","",AA34*AC34*AD34*AE34)</x:f>
      </x:c>
      <x:c r="AG34" s="155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5"/>
      <x:c r="B35" s="155"/>
      <x:c r="C35" s="155"/>
      <x:c r="D35" s="155"/>
      <x:c r="E35" s="155"/>
      <x:c r="F35" s="155"/>
      <x:c r="G35" s="155"/>
      <x:c r="H35" s="155"/>
      <x:c r="I35" s="155"/>
      <x:c r="J35" s="155"/>
      <x:c r="K35" s="155"/>
      <x:c r="L35" s="155"/>
      <x:c r="M35" s="155"/>
      <x:c r="N35" s="155"/>
      <x:c r="O35" s="155"/>
      <x:c r="P35" s="155"/>
      <x:c r="Q35" s="155"/>
      <x:c r="R35" s="155"/>
      <x:c r="S35" s="155"/>
      <x:c r="T35" s="155"/>
      <x:c r="U35" s="155"/>
      <x:c r="V35" s="155"/>
      <x:c r="W35" s="155"/>
      <x:c r="X35" s="155"/>
      <x:c r="Y35" s="155"/>
      <x:c r="Z35" s="155"/>
      <x:c r="AA35" s="155"/>
      <x:c r="AB35" s="155"/>
      <x:c r="AC35" s="155"/>
      <x:c r="AD35" s="155"/>
      <x:c r="AE35" s="155"/>
      <x:c r="AF35" s="155" t="str">
        <x:f>IF(V35="","",AA35*AC35*AD35*AE35)</x:f>
      </x:c>
      <x:c r="AG35" s="155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5"/>
      <x:c r="B36" s="155"/>
      <x:c r="C36" s="155"/>
      <x:c r="D36" s="155"/>
      <x:c r="E36" s="155"/>
      <x:c r="F36" s="155"/>
      <x:c r="G36" s="155"/>
      <x:c r="H36" s="155"/>
      <x:c r="I36" s="155"/>
      <x:c r="J36" s="155"/>
      <x:c r="K36" s="155"/>
      <x:c r="L36" s="155"/>
      <x:c r="M36" s="155"/>
      <x:c r="N36" s="155"/>
      <x:c r="O36" s="155"/>
      <x:c r="P36" s="155"/>
      <x:c r="Q36" s="155"/>
      <x:c r="R36" s="155"/>
      <x:c r="S36" s="155"/>
      <x:c r="T36" s="155"/>
      <x:c r="U36" s="155"/>
      <x:c r="V36" s="155"/>
      <x:c r="W36" s="155"/>
      <x:c r="X36" s="155"/>
      <x:c r="Y36" s="155"/>
      <x:c r="Z36" s="155"/>
      <x:c r="AA36" s="155"/>
      <x:c r="AB36" s="155"/>
      <x:c r="AC36" s="155"/>
      <x:c r="AD36" s="155"/>
      <x:c r="AE36" s="155"/>
      <x:c r="AF36" s="155" t="str">
        <x:f>IF(V36="","",AA36*AC36*AD36*AE36)</x:f>
      </x:c>
      <x:c r="AG36" s="155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5"/>
      <x:c r="B37" s="155"/>
      <x:c r="C37" s="155"/>
      <x:c r="D37" s="155"/>
      <x:c r="E37" s="155"/>
      <x:c r="F37" s="155"/>
      <x:c r="G37" s="155"/>
      <x:c r="H37" s="155"/>
      <x:c r="I37" s="155"/>
      <x:c r="J37" s="155"/>
      <x:c r="K37" s="155"/>
      <x:c r="L37" s="155"/>
      <x:c r="M37" s="155"/>
      <x:c r="N37" s="155"/>
      <x:c r="O37" s="155"/>
      <x:c r="P37" s="155"/>
      <x:c r="Q37" s="155"/>
      <x:c r="R37" s="155"/>
      <x:c r="S37" s="155"/>
      <x:c r="T37" s="155"/>
      <x:c r="U37" s="155"/>
      <x:c r="V37" s="155"/>
      <x:c r="W37" s="155"/>
      <x:c r="X37" s="155"/>
      <x:c r="Y37" s="155"/>
      <x:c r="Z37" s="155"/>
      <x:c r="AA37" s="155"/>
      <x:c r="AB37" s="155"/>
      <x:c r="AC37" s="155"/>
      <x:c r="AD37" s="155"/>
      <x:c r="AE37" s="155"/>
      <x:c r="AF37" s="155" t="str">
        <x:f>IF(V37="","",AA37*AC37*AD37*AE37)</x:f>
      </x:c>
      <x:c r="AG37" s="155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5"/>
      <x:c r="B38" s="155"/>
      <x:c r="C38" s="155"/>
      <x:c r="D38" s="155"/>
      <x:c r="E38" s="155"/>
      <x:c r="F38" s="155"/>
      <x:c r="G38" s="155"/>
      <x:c r="H38" s="155"/>
      <x:c r="I38" s="155"/>
      <x:c r="J38" s="155"/>
      <x:c r="K38" s="155"/>
      <x:c r="L38" s="155"/>
      <x:c r="M38" s="155"/>
      <x:c r="N38" s="155"/>
      <x:c r="O38" s="155"/>
      <x:c r="P38" s="155"/>
      <x:c r="Q38" s="155"/>
      <x:c r="R38" s="155"/>
      <x:c r="S38" s="155"/>
      <x:c r="T38" s="155"/>
      <x:c r="U38" s="155"/>
      <x:c r="V38" s="155"/>
      <x:c r="W38" s="155"/>
      <x:c r="X38" s="155"/>
      <x:c r="Y38" s="155"/>
      <x:c r="Z38" s="155"/>
      <x:c r="AA38" s="155"/>
      <x:c r="AB38" s="155"/>
      <x:c r="AC38" s="155"/>
      <x:c r="AD38" s="155"/>
      <x:c r="AE38" s="155"/>
      <x:c r="AF38" s="155" t="str">
        <x:f>IF(V38="","",AA38*AC38*AD38*AE38)</x:f>
      </x:c>
      <x:c r="AG38" s="155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5"/>
      <x:c r="B39" s="155"/>
      <x:c r="C39" s="155"/>
      <x:c r="D39" s="155"/>
      <x:c r="E39" s="155"/>
      <x:c r="F39" s="155"/>
      <x:c r="G39" s="155"/>
      <x:c r="H39" s="155"/>
      <x:c r="I39" s="155"/>
      <x:c r="J39" s="155"/>
      <x:c r="K39" s="155"/>
      <x:c r="L39" s="155"/>
      <x:c r="M39" s="155"/>
      <x:c r="N39" s="155"/>
      <x:c r="O39" s="155"/>
      <x:c r="P39" s="155"/>
      <x:c r="Q39" s="155"/>
      <x:c r="R39" s="155"/>
      <x:c r="S39" s="155"/>
      <x:c r="T39" s="155"/>
      <x:c r="U39" s="155"/>
      <x:c r="V39" s="155"/>
      <x:c r="W39" s="155"/>
      <x:c r="X39" s="155"/>
      <x:c r="Y39" s="155"/>
      <x:c r="Z39" s="155"/>
      <x:c r="AA39" s="155"/>
      <x:c r="AB39" s="155"/>
      <x:c r="AC39" s="155"/>
      <x:c r="AD39" s="155"/>
      <x:c r="AE39" s="155"/>
      <x:c r="AF39" s="155" t="str">
        <x:f>IF(V39="","",AA39*AC39*AD39*AE39)</x:f>
      </x:c>
      <x:c r="AG39" s="155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5"/>
      <x:c r="B40" s="155"/>
      <x:c r="C40" s="155"/>
      <x:c r="D40" s="155"/>
      <x:c r="E40" s="155"/>
      <x:c r="F40" s="155"/>
      <x:c r="G40" s="155"/>
      <x:c r="H40" s="155"/>
      <x:c r="I40" s="155"/>
      <x:c r="J40" s="155"/>
      <x:c r="K40" s="155"/>
      <x:c r="L40" s="155"/>
      <x:c r="M40" s="155"/>
      <x:c r="N40" s="155"/>
      <x:c r="O40" s="155"/>
      <x:c r="P40" s="155"/>
      <x:c r="Q40" s="155"/>
      <x:c r="R40" s="155"/>
      <x:c r="S40" s="155"/>
      <x:c r="T40" s="155"/>
      <x:c r="U40" s="155"/>
      <x:c r="V40" s="155"/>
      <x:c r="W40" s="155"/>
      <x:c r="X40" s="155"/>
      <x:c r="Y40" s="155"/>
      <x:c r="Z40" s="155"/>
      <x:c r="AA40" s="155"/>
      <x:c r="AB40" s="155"/>
      <x:c r="AC40" s="155"/>
      <x:c r="AD40" s="155"/>
      <x:c r="AE40" s="155"/>
      <x:c r="AF40" s="155" t="str">
        <x:f>IF(V40="","",AA40*AC40*AD40*AE40)</x:f>
      </x:c>
      <x:c r="AG40" s="155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5"/>
      <x:c r="B41" s="155"/>
      <x:c r="C41" s="155"/>
      <x:c r="D41" s="155"/>
      <x:c r="E41" s="155"/>
      <x:c r="F41" s="155"/>
      <x:c r="G41" s="155"/>
      <x:c r="H41" s="155"/>
      <x:c r="I41" s="155"/>
      <x:c r="J41" s="155"/>
      <x:c r="K41" s="155"/>
      <x:c r="L41" s="155"/>
      <x:c r="M41" s="155"/>
      <x:c r="N41" s="155"/>
      <x:c r="O41" s="155"/>
      <x:c r="P41" s="155"/>
      <x:c r="Q41" s="155"/>
      <x:c r="R41" s="155"/>
      <x:c r="S41" s="155"/>
      <x:c r="T41" s="155"/>
      <x:c r="U41" s="155"/>
      <x:c r="V41" s="155"/>
      <x:c r="W41" s="155"/>
      <x:c r="X41" s="155"/>
      <x:c r="Y41" s="155"/>
      <x:c r="Z41" s="155"/>
      <x:c r="AA41" s="155"/>
      <x:c r="AB41" s="155"/>
      <x:c r="AC41" s="155"/>
      <x:c r="AD41" s="155"/>
      <x:c r="AE41" s="155"/>
      <x:c r="AF41" s="155" t="str">
        <x:f>IF(V41="","",AA41*AC41*AD41*AE41)</x:f>
      </x:c>
      <x:c r="AG41" s="155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5"/>
      <x:c r="B42" s="155"/>
      <x:c r="C42" s="155"/>
      <x:c r="D42" s="155"/>
      <x:c r="E42" s="155"/>
      <x:c r="F42" s="155"/>
      <x:c r="G42" s="155"/>
      <x:c r="H42" s="155"/>
      <x:c r="I42" s="155"/>
      <x:c r="J42" s="155"/>
      <x:c r="K42" s="155"/>
      <x:c r="L42" s="155"/>
      <x:c r="M42" s="155"/>
      <x:c r="N42" s="155"/>
      <x:c r="O42" s="155"/>
      <x:c r="P42" s="155"/>
      <x:c r="Q42" s="155"/>
      <x:c r="R42" s="155"/>
      <x:c r="S42" s="155"/>
      <x:c r="T42" s="155"/>
      <x:c r="U42" s="155"/>
      <x:c r="V42" s="155"/>
      <x:c r="W42" s="155"/>
      <x:c r="X42" s="155"/>
      <x:c r="Y42" s="155"/>
      <x:c r="Z42" s="155"/>
      <x:c r="AA42" s="155"/>
      <x:c r="AB42" s="155"/>
      <x:c r="AC42" s="155"/>
      <x:c r="AD42" s="155"/>
      <x:c r="AE42" s="155"/>
      <x:c r="AF42" s="155" t="str">
        <x:f>IF(V42="","",AA42*AC42*AD42*AE42)</x:f>
      </x:c>
      <x:c r="AG42" s="155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5"/>
      <x:c r="B43" s="155"/>
      <x:c r="C43" s="155"/>
      <x:c r="D43" s="155"/>
      <x:c r="E43" s="155"/>
      <x:c r="F43" s="155"/>
      <x:c r="G43" s="155"/>
      <x:c r="H43" s="155"/>
      <x:c r="I43" s="155"/>
      <x:c r="J43" s="155"/>
      <x:c r="K43" s="155"/>
      <x:c r="L43" s="155"/>
      <x:c r="M43" s="155"/>
      <x:c r="N43" s="155"/>
      <x:c r="O43" s="155"/>
      <x:c r="P43" s="155"/>
      <x:c r="Q43" s="155"/>
      <x:c r="R43" s="155"/>
      <x:c r="S43" s="155"/>
      <x:c r="T43" s="155"/>
      <x:c r="U43" s="155"/>
      <x:c r="V43" s="155"/>
      <x:c r="W43" s="155"/>
      <x:c r="X43" s="155"/>
      <x:c r="Y43" s="155"/>
      <x:c r="Z43" s="155"/>
      <x:c r="AA43" s="155"/>
      <x:c r="AB43" s="155"/>
      <x:c r="AC43" s="155"/>
      <x:c r="AD43" s="155"/>
      <x:c r="AE43" s="155"/>
      <x:c r="AF43" s="155" t="str">
        <x:f>IF(V43="","",AA43*AC43*AD43*AE43)</x:f>
      </x:c>
      <x:c r="AG43" s="155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5"/>
      <x:c r="B44" s="155"/>
      <x:c r="C44" s="155"/>
      <x:c r="D44" s="155"/>
      <x:c r="E44" s="155"/>
      <x:c r="F44" s="155"/>
      <x:c r="G44" s="155"/>
      <x:c r="H44" s="155"/>
      <x:c r="I44" s="155"/>
      <x:c r="J44" s="155"/>
      <x:c r="K44" s="155"/>
      <x:c r="L44" s="155"/>
      <x:c r="M44" s="155"/>
      <x:c r="N44" s="155"/>
      <x:c r="O44" s="155"/>
      <x:c r="P44" s="155"/>
      <x:c r="Q44" s="155"/>
      <x:c r="R44" s="155"/>
      <x:c r="S44" s="155"/>
      <x:c r="T44" s="155"/>
      <x:c r="U44" s="155"/>
      <x:c r="V44" s="155"/>
      <x:c r="W44" s="155"/>
      <x:c r="X44" s="155"/>
      <x:c r="Y44" s="155"/>
      <x:c r="Z44" s="155"/>
      <x:c r="AA44" s="155"/>
      <x:c r="AB44" s="155"/>
      <x:c r="AC44" s="155"/>
      <x:c r="AD44" s="155"/>
      <x:c r="AE44" s="155"/>
      <x:c r="AF44" s="155" t="str">
        <x:f>IF(V44="","",AA44*AC44*AD44*AE44)</x:f>
      </x:c>
      <x:c r="AG44" s="155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5"/>
      <x:c r="B45" s="155"/>
      <x:c r="C45" s="155"/>
      <x:c r="D45" s="155"/>
      <x:c r="E45" s="155"/>
      <x:c r="F45" s="155"/>
      <x:c r="G45" s="155"/>
      <x:c r="H45" s="155"/>
      <x:c r="I45" s="155"/>
      <x:c r="J45" s="155"/>
      <x:c r="K45" s="155"/>
      <x:c r="L45" s="155"/>
      <x:c r="M45" s="155"/>
      <x:c r="N45" s="155"/>
      <x:c r="O45" s="155"/>
      <x:c r="P45" s="155"/>
      <x:c r="Q45" s="155"/>
      <x:c r="R45" s="155"/>
      <x:c r="S45" s="155"/>
      <x:c r="T45" s="155"/>
      <x:c r="U45" s="155"/>
      <x:c r="V45" s="155"/>
      <x:c r="W45" s="155"/>
      <x:c r="X45" s="155"/>
      <x:c r="Y45" s="155"/>
      <x:c r="Z45" s="155"/>
      <x:c r="AA45" s="155"/>
      <x:c r="AB45" s="155"/>
      <x:c r="AC45" s="155"/>
      <x:c r="AD45" s="155"/>
      <x:c r="AE45" s="155"/>
      <x:c r="AF45" s="155" t="str">
        <x:f>IF(V45="","",AA45*AC45*AD45*AE45)</x:f>
      </x:c>
      <x:c r="AG45" s="155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5"/>
      <x:c r="B46" s="155"/>
      <x:c r="C46" s="155"/>
      <x:c r="D46" s="155"/>
      <x:c r="E46" s="155"/>
      <x:c r="F46" s="155"/>
      <x:c r="G46" s="155"/>
      <x:c r="H46" s="155"/>
      <x:c r="I46" s="155"/>
      <x:c r="J46" s="155"/>
      <x:c r="K46" s="155"/>
      <x:c r="L46" s="155"/>
      <x:c r="M46" s="155"/>
      <x:c r="N46" s="155"/>
      <x:c r="O46" s="155"/>
      <x:c r="P46" s="155"/>
      <x:c r="Q46" s="155"/>
      <x:c r="R46" s="155"/>
      <x:c r="S46" s="155"/>
      <x:c r="T46" s="155"/>
      <x:c r="U46" s="155"/>
      <x:c r="V46" s="155"/>
      <x:c r="W46" s="155"/>
      <x:c r="X46" s="155"/>
      <x:c r="Y46" s="155"/>
      <x:c r="Z46" s="155"/>
      <x:c r="AA46" s="155"/>
      <x:c r="AB46" s="155"/>
      <x:c r="AC46" s="155"/>
      <x:c r="AD46" s="155"/>
      <x:c r="AE46" s="155"/>
      <x:c r="AF46" s="155" t="str">
        <x:f>IF(V46="","",AA46*AC46*AD46*AE46)</x:f>
      </x:c>
      <x:c r="AG46" s="155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5"/>
      <x:c r="B47" s="155"/>
      <x:c r="C47" s="155"/>
      <x:c r="D47" s="155"/>
      <x:c r="E47" s="155"/>
      <x:c r="F47" s="155"/>
      <x:c r="G47" s="155"/>
      <x:c r="H47" s="155"/>
      <x:c r="I47" s="155"/>
      <x:c r="J47" s="155"/>
      <x:c r="K47" s="155"/>
      <x:c r="L47" s="155"/>
      <x:c r="M47" s="155"/>
      <x:c r="N47" s="155"/>
      <x:c r="O47" s="155"/>
      <x:c r="P47" s="155"/>
      <x:c r="Q47" s="155"/>
      <x:c r="R47" s="155"/>
      <x:c r="S47" s="155"/>
      <x:c r="T47" s="155"/>
      <x:c r="U47" s="155"/>
      <x:c r="V47" s="155"/>
      <x:c r="W47" s="155"/>
      <x:c r="X47" s="155"/>
      <x:c r="Y47" s="155"/>
      <x:c r="Z47" s="155"/>
      <x:c r="AA47" s="155"/>
      <x:c r="AB47" s="155"/>
      <x:c r="AC47" s="155"/>
      <x:c r="AD47" s="155"/>
      <x:c r="AE47" s="155"/>
      <x:c r="AF47" s="155" t="str">
        <x:f>IF(V47="","",AA47*AC47*AD47*AE47)</x:f>
      </x:c>
      <x:c r="AG47" s="155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5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5"/>
      <x:c r="L48" s="155"/>
      <x:c r="M48" s="155"/>
      <x:c r="N48" s="155"/>
      <x:c r="O48" s="155"/>
      <x:c r="P48" s="155"/>
      <x:c r="Q48" s="155"/>
      <x:c r="R48" s="155"/>
      <x:c r="S48" s="155"/>
      <x:c r="T48" s="155"/>
      <x:c r="U48" s="155"/>
      <x:c r="V48" s="155"/>
      <x:c r="W48" s="155"/>
      <x:c r="X48" s="155"/>
      <x:c r="Y48" s="155"/>
      <x:c r="Z48" s="155"/>
      <x:c r="AA48" s="155"/>
      <x:c r="AB48" s="155"/>
      <x:c r="AC48" s="155"/>
      <x:c r="AD48" s="155"/>
      <x:c r="AE48" s="155"/>
      <x:c r="AF48" s="155" t="str">
        <x:f>IF(V48="","",AA48*AC48*AD48*AE48)</x:f>
      </x:c>
      <x:c r="AG48" s="155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5"/>
      <x:c r="B49" s="155"/>
      <x:c r="C49" s="155"/>
      <x:c r="D49" s="155"/>
      <x:c r="E49" s="155"/>
      <x:c r="F49" s="155"/>
      <x:c r="G49" s="155"/>
      <x:c r="H49" s="155"/>
      <x:c r="I49" s="155"/>
      <x:c r="J49" s="155"/>
      <x:c r="K49" s="155"/>
      <x:c r="L49" s="155"/>
      <x:c r="M49" s="155"/>
      <x:c r="N49" s="155"/>
      <x:c r="O49" s="155"/>
      <x:c r="P49" s="155"/>
      <x:c r="Q49" s="155"/>
      <x:c r="R49" s="155"/>
      <x:c r="S49" s="155"/>
      <x:c r="T49" s="155"/>
      <x:c r="U49" s="155"/>
      <x:c r="V49" s="155"/>
      <x:c r="W49" s="155"/>
      <x:c r="X49" s="155"/>
      <x:c r="Y49" s="155"/>
      <x:c r="Z49" s="155"/>
      <x:c r="AA49" s="155"/>
      <x:c r="AB49" s="155"/>
      <x:c r="AC49" s="155"/>
      <x:c r="AD49" s="155"/>
      <x:c r="AE49" s="155"/>
      <x:c r="AF49" s="155" t="str">
        <x:f>IF(V49="","",AA49*AC49*AD49*AE49)</x:f>
      </x:c>
      <x:c r="AG49" s="155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5"/>
      <x:c r="B50" s="155"/>
      <x:c r="C50" s="155"/>
      <x:c r="D50" s="155"/>
      <x:c r="E50" s="155"/>
      <x:c r="F50" s="155"/>
      <x:c r="G50" s="155"/>
      <x:c r="H50" s="155"/>
      <x:c r="I50" s="155"/>
      <x:c r="J50" s="155"/>
      <x:c r="K50" s="155"/>
      <x:c r="L50" s="155"/>
      <x:c r="M50" s="155"/>
      <x:c r="N50" s="155"/>
      <x:c r="O50" s="155"/>
      <x:c r="P50" s="155"/>
      <x:c r="Q50" s="155"/>
      <x:c r="R50" s="155"/>
      <x:c r="S50" s="155"/>
      <x:c r="T50" s="155"/>
      <x:c r="U50" s="155"/>
      <x:c r="V50" s="155"/>
      <x:c r="W50" s="155"/>
      <x:c r="X50" s="155"/>
      <x:c r="Y50" s="155"/>
      <x:c r="Z50" s="155"/>
      <x:c r="AA50" s="155"/>
      <x:c r="AB50" s="155"/>
      <x:c r="AC50" s="155"/>
      <x:c r="AD50" s="155"/>
      <x:c r="AE50" s="155"/>
      <x:c r="AF50" s="155" t="str">
        <x:f>IF(V50="","",AA50*AC50*AD50*AE50)</x:f>
      </x:c>
      <x:c r="AG50" s="155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 t="str">
        <x:f>IF(V51="","",AA51*AC51*AD51*AE51)</x:f>
      </x:c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 t="str">
        <x:f>IF(V52="","",AA52*AC52*AD52*AE52)</x:f>
      </x:c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 t="str">
        <x:f>IF(V53="","",AA53*AC53*AD53*AE53)</x:f>
      </x:c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 t="str">
        <x:f>IF(V54="","",AA54*AC54*AD54*AE54)</x:f>
      </x:c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 t="str">
        <x:f>IF(V55="","",AA55*AC55*AD55*AE55)</x:f>
      </x:c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 t="str">
        <x:f>IF(V56="","",AA56*AC56*AD56*AE56)</x:f>
      </x:c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 t="str">
        <x:f>IF(V57="","",AA57*AC57*AD57*AE57)</x:f>
      </x:c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 t="str">
        <x:f>IF(V58="","",AA58*AC58*AD58*AE58)</x:f>
      </x:c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 t="str">
        <x:f>IF(V59="","",AA59*AC59*AD59*AE59)</x:f>
      </x:c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 t="str">
        <x:f>IF(V60="","",AA60*AC60*AD60*AE60)</x:f>
      </x:c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 t="str">
        <x:f>IF(V61="","",AA61*AC61*AD61*AE61)</x:f>
      </x:c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 t="str">
        <x:f>IF(V62="","",AA62*AC62*AD62*AE62)</x:f>
      </x:c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 t="str">
        <x:f>IF(V63="","",AA63*AC63*AD63*AE63)</x:f>
      </x:c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 t="str">
        <x:f>IF(V64="","",AA64*AC64*AD64*AE64)</x:f>
      </x:c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 t="str">
        <x:f>IF(V65="","",AA65*AC65*AD65*AE65)</x:f>
      </x:c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 t="str">
        <x:f>IF(V66="","",AA66*AC66*AD66*AE66)</x:f>
      </x:c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 t="str">
        <x:f>IF(V67="","",AA67*AC67*AD67*AE67)</x:f>
      </x:c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 t="str">
        <x:f>IF(V68="","",AA68*AC68*AD68*AE68)</x:f>
      </x:c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 t="str">
        <x:f>IF(V69="","",AA69*AC69*AD69*AE69)</x:f>
      </x:c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 t="str">
        <x:f>IF(V70="","",AA70*AC70*AD70*AE70)</x:f>
      </x:c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 t="str">
        <x:f>IF(V71="","",AA71*AC71*AD71*AE71)</x:f>
      </x:c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 t="str">
        <x:f>IF(V72="","",AA72*AC72*AD72*AE72)</x:f>
      </x:c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 t="str">
        <x:f>IF(V73="","",AA73*AC73*AD73*AE73)</x:f>
      </x:c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 t="str">
        <x:f>IF(V74="","",AA74*AC74*AD74*AE74)</x:f>
      </x:c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 t="str">
        <x:f>IF(V75="","",AA75*AC75*AD75*AE75)</x:f>
      </x:c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 t="str">
        <x:f>IF(V76="","",AA76*AC76*AD76*AE76)</x:f>
      </x:c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 t="str">
        <x:f>IF(V77="","",AA77*AC77*AD77*AE77)</x:f>
      </x:c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 t="str">
        <x:f>IF(V78="","",AA78*AC78*AD78*AE78)</x:f>
      </x:c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 t="str">
        <x:f>IF(V79="","",AA79*AC79*AD79*AE79)</x:f>
      </x:c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 t="str">
        <x:f>IF(V80="","",AA80*AC80*AD80*AE80)</x:f>
      </x:c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  <x:row r="81">
      <x:c r="AF81" t="str">
        <x:f>IF(V81="","",AA81*AC81*AD81*AE81)</x:f>
      </x:c>
    </x:row>
    <x:row r="82">
      <x:c r="AF82" t="str">
        <x:f>IF(V82="","",AA82*AC82*AD82*AE82)</x:f>
      </x:c>
    </x:row>
    <x:row r="83">
      <x:c r="AF83" t="str">
        <x:f>IF(V83="","",AA83*AC83*AD83*AE83)</x:f>
      </x:c>
    </x:row>
    <x:row r="84">
      <x:c r="AF84" t="str">
        <x:f>IF(V84="","",AA84*AC84*AD84*AE84)</x:f>
      </x:c>
    </x:row>
    <x:row r="85">
      <x:c r="AF85" t="str">
        <x:f>IF(V85="","",AA85*AC85*AD85*AE85)</x:f>
      </x:c>
    </x:row>
    <x:row r="86">
      <x:c r="AF86" t="str">
        <x:f>IF(V86="","",AA86*AC86*AD86*AE86)</x:f>
      </x:c>
    </x:row>
    <x:row r="87">
      <x:c r="AF87" t="str">
        <x:f>IF(V87="","",AA87*AC87*AD87*AE87)</x:f>
      </x:c>
    </x:row>
    <x:row r="88">
      <x:c r="AF88" t="str">
        <x:f>IF(V88="","",AA88*AC88*AD88*AE88)</x:f>
      </x:c>
    </x:row>
    <x:row r="89">
      <x:c r="AF89" t="str">
        <x:f>IF(V89="","",AA89*AC89*AD89*AE89)</x:f>
      </x:c>
    </x:row>
    <x:row r="90">
      <x:c r="AF90" t="str">
        <x:f>IF(V90="","",AA90*AC90*AD90*AE90)</x:f>
      </x:c>
    </x:row>
    <x:row r="91">
      <x:c r="AF91" t="str">
        <x:f>IF(V91="","",AA91*AC91*AD91*AE91)</x:f>
      </x:c>
    </x:row>
    <x:row r="92">
      <x:c r="AF92" t="str">
        <x:f>IF(V92="","",AA92*AC92*AD92*AE92)</x:f>
      </x:c>
    </x:row>
    <x:row r="93">
      <x:c r="AF93" t="str">
        <x:f>IF(V93="","",AA93*AC93*AD93*AE93)</x:f>
      </x:c>
    </x:row>
    <x:row r="94">
      <x:c r="AF94" t="str">
        <x:f>IF(V94="","",AA94*AC94*AD94*AE94)</x:f>
      </x:c>
    </x:row>
    <x:row r="95">
      <x:c r="AF95" t="str">
        <x:f>IF(V95="","",AA95*AC95*AD95*AE95)</x:f>
      </x:c>
    </x:row>
    <x:row r="96">
      <x:c r="AF96" t="str">
        <x:f>IF(V96="","",AA96*AC96*AD96*AE96)</x:f>
      </x:c>
    </x:row>
    <x:row r="97">
      <x:c r="AF97" t="str">
        <x:f>IF(V97="","",AA97*AC97*AD97*AE97)</x:f>
      </x:c>
    </x:row>
    <x:row r="98">
      <x:c r="AF98" t="str">
        <x:f>IF(V98="","",AA98*AC98*AD98*AE98)</x:f>
      </x:c>
    </x:row>
    <x:row r="99">
      <x:c r="AF99" t="str">
        <x:f>IF(V99="","",AA99*AC99*AD99*AE99)</x:f>
      </x:c>
    </x:row>
    <x:row r="100">
      <x:c r="AF100" t="str">
        <x:f>IF(V100="","",AA100*AC100*AD100*AE100)</x:f>
      </x:c>
    </x:row>
    <x:row r="101">
      <x:c r="AF101" t="str">
        <x:f>IF(V101="","",AA101*AC101*AD101*AE101)</x:f>
      </x:c>
    </x:row>
    <x:row r="102">
      <x:c r="AF102" t="str">
        <x:f>IF(V102="","",AA102*AC102*AD102*AE102)</x:f>
      </x:c>
    </x:row>
    <x:row r="103">
      <x:c r="AF103" t="str">
        <x:f>IF(V103="","",AA103*AC103*AD103*AE103)</x:f>
      </x:c>
    </x:row>
    <x:row r="104">
      <x:c r="AF104" t="str">
        <x:f>IF(V104="","",AA104*AC104*AD104*AE104)</x:f>
      </x:c>
    </x:row>
    <x:row r="105">
      <x:c r="AF105" t="str">
        <x:f>IF(V105="","",AA105*AC105*AD105*AE105)</x:f>
      </x:c>
    </x:row>
    <x:row r="106">
      <x:c r="AF106" t="str">
        <x:f>IF(V106="","",AA106*AC106*AD106*AE106)</x:f>
      </x:c>
    </x:row>
    <x:row r="107">
      <x:c r="AF107" t="str">
        <x:f>IF(V107="","",AA107*AC107*AD107*AE107)</x:f>
      </x:c>
    </x:row>
    <x:row r="108">
      <x:c r="AF108" t="str">
        <x:f>IF(V108="","",AA108*AC108*AD108*AE108)</x:f>
      </x:c>
    </x:row>
    <x:row r="109">
      <x:c r="AF109" t="str">
        <x:f>IF(V109="","",AA109*AC109*AD109*AE109)</x:f>
      </x:c>
    </x:row>
    <x:row r="110">
      <x:c r="AF110" t="str">
        <x:f>IF(V110="","",AA110*AC110*AD110*AE110)</x:f>
      </x:c>
    </x:row>
    <x:row r="111">
      <x:c r="AF111" t="str">
        <x:f>IF(V111="","",AA111*AC111*AD111*AE111)</x:f>
      </x:c>
    </x:row>
    <x:row r="112">
      <x:c r="AF112" t="str">
        <x:f>IF(V112="","",AA112*AC112*AD112*AE112)</x:f>
      </x:c>
    </x:row>
    <x:row r="113">
      <x:c r="AF113" t="str">
        <x:f>IF(V113="","",AA113*AC113*AD113*AE113)</x:f>
      </x:c>
    </x:row>
    <x:row r="114">
      <x:c r="AF114" t="str">
        <x:f>IF(V114="","",AA114*AC114*AD114*AE114)</x:f>
      </x:c>
    </x:row>
    <x:row r="115">
      <x:c r="AF115" t="str">
        <x:f>IF(V115="","",AA115*AC115*AD115*AE115)</x:f>
      </x:c>
    </x:row>
    <x:row r="116">
      <x:c r="AF116" t="str">
        <x:f>IF(V116="","",AA116*AC116*AD116*AE116)</x:f>
      </x:c>
    </x:row>
    <x:row r="117">
      <x:c r="AF117" t="str">
        <x:f>IF(V117="","",AA117*AC117*AD117*AE117)</x:f>
      </x:c>
    </x:row>
    <x:row r="118">
      <x:c r="AF118" t="str">
        <x:f>IF(V118="","",AA118*AC118*AD118*AE118)</x:f>
      </x:c>
    </x:row>
    <x:row r="119">
      <x:c r="AF119" t="str">
        <x:f>IF(V119="","",AA119*AC119*AD119*AE119)</x:f>
      </x:c>
    </x:row>
    <x:row r="120">
      <x:c r="AF120" t="str">
        <x:f>IF(V120="","",AA120*AC120*AD120*AE120)</x:f>
      </x:c>
    </x:row>
    <x:row r="121">
      <x:c r="AF121" t="str">
        <x:f>IF(V121="","",AA121*AC121*AD121*AE121)</x:f>
      </x:c>
    </x:row>
    <x:row r="122">
      <x:c r="AF122" t="str">
        <x:f>IF(V122="","",AA122*AC122*AD122*AE122)</x:f>
      </x:c>
    </x:row>
    <x:row r="123">
      <x:c r="AF123" t="str">
        <x:f>IF(V123="","",AA123*AC123*AD123*AE123)</x:f>
      </x:c>
    </x:row>
    <x:row r="124">
      <x:c r="AF124" t="str">
        <x:f>IF(V124="","",AA124*AC124*AD124*AE124)</x:f>
      </x:c>
    </x:row>
    <x:row r="125">
      <x:c r="AF125" t="str">
        <x:f>IF(V125="","",AA125*AC125*AD125*AE125)</x:f>
      </x:c>
    </x:row>
    <x:row r="126">
      <x:c r="AF126" t="str">
        <x:f>IF(V126="","",AA126*AC126*AD126*AE126)</x:f>
      </x:c>
    </x:row>
    <x:row r="127">
      <x:c r="AF127" t="str">
        <x:f>IF(V127="","",AA127*AC127*AD127*AE127)</x:f>
      </x:c>
    </x:row>
    <x:row r="128">
      <x:c r="AF128" t="str">
        <x:f>IF(V128="","",AA128*AC128*AD128*AE128)</x:f>
      </x:c>
    </x:row>
    <x:row r="129">
      <x:c r="AF129" t="str">
        <x:f>IF(V129="","",AA129*AC129*AD129*AE129)</x:f>
      </x:c>
    </x:row>
    <x:row r="130">
      <x:c r="AF130" t="str">
        <x:f>IF(V130="","",AA130*AC130*AD130*AE130)</x:f>
      </x:c>
    </x:row>
    <x:row r="131">
      <x:c r="AF131" t="str">
        <x:f>IF(V131="","",AA131*AC131*AD131*AE131)</x:f>
      </x:c>
    </x:row>
    <x:row r="132">
      <x:c r="AF132" t="str">
        <x:f>IF(V132="","",AA132*AC132*AD132*AE132)</x:f>
      </x:c>
    </x:row>
    <x:row r="133">
      <x:c r="AF133" t="str">
        <x:f>IF(V133="","",AA133*AC133*AD133*AE133)</x:f>
      </x:c>
    </x:row>
    <x:row r="134">
      <x:c r="AF134" t="str">
        <x:f>IF(V134="","",AA134*AC134*AD134*AE134)</x:f>
      </x:c>
    </x:row>
    <x:row r="135">
      <x:c r="AF135" t="str">
        <x:f>IF(V135="","",AA135*AC135*AD135*AE135)</x:f>
      </x:c>
    </x:row>
    <x:row r="136">
      <x:c r="AF136" t="str">
        <x:f>IF(V136="","",AA136*AC136*AD136*AE136)</x:f>
      </x:c>
    </x:row>
    <x:row r="137">
      <x:c r="AF137" t="str">
        <x:f>IF(V137="","",AA137*AC137*AD137*AE137)</x:f>
      </x:c>
    </x:row>
    <x:row r="138">
      <x:c r="AF138" t="str">
        <x:f>IF(V138="","",AA138*AC138*AD138*AE138)</x:f>
      </x:c>
    </x:row>
    <x:row r="139">
      <x:c r="AF139" t="str">
        <x:f>IF(V139="","",AA139*AC139*AD139*AE139)</x:f>
      </x:c>
    </x:row>
    <x:row r="140">
      <x:c r="AF140" t="str">
        <x:f>IF(V140="","",AA140*AC140*AD140*AE140)</x:f>
      </x:c>
    </x:row>
    <x:row r="141">
      <x:c r="AF141" t="str">
        <x:f>IF(V141="","",AA141*AC141*AD141*AE141)</x:f>
      </x:c>
    </x:row>
    <x:row r="142">
      <x:c r="AF142" t="str">
        <x:f>IF(V142="","",AA142*AC142*AD142*AE142)</x:f>
      </x:c>
    </x:row>
    <x:row r="143">
      <x:c r="AF143" t="str">
        <x:f>IF(V143="","",AA143*AC143*AD143*AE143)</x:f>
      </x:c>
    </x:row>
    <x:row r="144">
      <x:c r="AF144" t="str">
        <x:f>IF(V144="","",AA144*AC144*AD144*AE144)</x:f>
      </x:c>
    </x:row>
    <x:row r="145">
      <x:c r="AF145" t="str">
        <x:f>IF(V145="","",AA145*AC145*AD145*AE145)</x:f>
      </x:c>
    </x:row>
    <x:row r="146">
      <x:c r="AF146" t="str">
        <x:f>IF(V146="","",AA146*AC146*AD146*AE146)</x:f>
      </x:c>
    </x:row>
    <x:row r="147">
      <x:c r="AF147" t="str">
        <x:f>IF(V147="","",AA147*AC147*AD147*AE147)</x:f>
      </x:c>
    </x:row>
    <x:row r="148">
      <x:c r="AF148" t="str">
        <x:f>IF(V148="","",AA148*AC148*AD148*AE148)</x:f>
      </x:c>
    </x:row>
    <x:row r="149">
      <x:c r="AF149" t="str">
        <x:f>IF(V149="","",AA149*AC149*AD149*AE149)</x:f>
      </x:c>
    </x:row>
    <x:row r="150">
      <x:c r="AF150" t="str">
        <x:f>IF(V150="","",AA150*AC150*AD150*AE150)</x:f>
      </x:c>
    </x:row>
    <x:row r="151">
      <x:c r="AF151" t="str">
        <x:f>IF(V151="","",AA151*AC151*AD151*AE151)</x:f>
      </x:c>
    </x:row>
    <x:row r="152">
      <x:c r="AF152" t="str">
        <x:f>IF(V152="","",AA152*AC152*AD152*AE152)</x:f>
      </x:c>
    </x:row>
    <x:row r="153">
      <x:c r="AF153" t="str">
        <x:f>IF(V153="","",AA153*AC153*AD153*AE153)</x:f>
      </x:c>
    </x:row>
    <x:row r="154">
      <x:c r="AF154" t="str">
        <x:f>IF(V154="","",AA154*AC154*AD154*AE154)</x:f>
      </x:c>
    </x:row>
    <x:row r="155">
      <x:c r="AF155" t="str">
        <x:f>IF(V155="","",AA155*AC155*AD155*AE155)</x:f>
      </x:c>
    </x:row>
    <x:row r="156">
      <x:c r="AF156" t="str">
        <x:f>IF(V156="","",AA156*AC156*AD156*AE156)</x:f>
      </x:c>
    </x:row>
    <x:row r="157">
      <x:c r="AF157" t="str">
        <x:f>IF(V157="","",AA157*AC157*AD157*AE157)</x:f>
      </x:c>
    </x:row>
    <x:row r="158">
      <x:c r="AF158" t="str">
        <x:f>IF(V158="","",AA158*AC158*AD158*AE158)</x:f>
      </x:c>
    </x:row>
    <x:row r="159">
      <x:c r="AF159" t="str">
        <x:f>IF(V159="","",AA159*AC159*AD159*AE159)</x:f>
      </x:c>
    </x:row>
    <x:row r="160">
      <x:c r="AF160" t="str">
        <x:f>IF(V160="","",AA160*AC160*AD160*AE160)</x:f>
      </x:c>
    </x:row>
    <x:row r="161">
      <x:c r="AF161" t="str">
        <x:f>IF(V161="","",AA161*AC161*AD161*AE161)</x:f>
      </x:c>
    </x:row>
    <x:row r="162">
      <x:c r="AF162" t="str">
        <x:f>IF(V162="","",AA162*AC162*AD162*AE162)</x:f>
      </x:c>
    </x:row>
    <x:row r="163">
      <x:c r="AF163" t="str">
        <x:f>IF(V163="","",AA163*AC163*AD163*AE163)</x:f>
      </x:c>
    </x:row>
    <x:row r="164">
      <x:c r="AF164" t="str">
        <x:f>IF(V164="","",AA164*AC164*AD164*AE164)</x:f>
      </x:c>
    </x:row>
    <x:row r="165">
      <x:c r="AF165" t="str">
        <x:f>IF(V165="","",AA165*AC165*AD165*AE165)</x:f>
      </x:c>
    </x:row>
    <x:row r="166">
      <x:c r="AF166" t="str">
        <x:f>IF(V166="","",AA166*AC166*AD166*AE166)</x:f>
      </x:c>
    </x:row>
    <x:row r="167">
      <x:c r="AF167" t="str">
        <x:f>IF(V167="","",AA167*AC167*AD167*AE167)</x:f>
      </x:c>
    </x:row>
    <x:row r="168">
      <x:c r="AF168" t="str">
        <x:f>IF(V168="","",AA168*AC168*AD168*AE168)</x:f>
      </x:c>
    </x:row>
    <x:row r="169">
      <x:c r="AF169" t="str">
        <x:f>IF(V169="","",AA169*AC169*AD169*AE169)</x:f>
      </x:c>
    </x:row>
    <x:row r="170">
      <x:c r="AF170" t="str">
        <x:f>IF(V170="","",AA170*AC170*AD170*AE170)</x:f>
      </x:c>
    </x:row>
    <x:row r="171">
      <x:c r="AF171" t="str">
        <x:f>IF(V171="","",AA171*AC171*AD171*AE171)</x:f>
      </x:c>
    </x:row>
    <x:row r="172">
      <x:c r="AF172" t="str">
        <x:f>IF(V172="","",AA172*AC172*AD172*AE172)</x:f>
      </x:c>
    </x:row>
    <x:row r="173">
      <x:c r="AF173" t="str">
        <x:f>IF(V173="","",AA173*AC173*AD173*AE173)</x:f>
      </x:c>
    </x:row>
    <x:row r="174">
      <x:c r="AF174" t="str">
        <x:f>IF(V174="","",AA174*AC174*AD174*AE174)</x:f>
      </x:c>
    </x:row>
    <x:row r="175">
      <x:c r="AF175" t="str">
        <x:f>IF(V175="","",AA175*AC175*AD175*AE175)</x:f>
      </x:c>
    </x:row>
    <x:row r="176">
      <x:c r="AF176" t="str">
        <x:f>IF(V176="","",AA176*AC176*AD176*AE176)</x:f>
      </x:c>
    </x:row>
    <x:row r="177">
      <x:c r="AF177" t="str">
        <x:f>IF(V177="","",AA177*AC177*AD177*AE177)</x:f>
      </x:c>
    </x:row>
    <x:row r="178">
      <x:c r="AF178" t="str">
        <x:f>IF(V178="","",AA178*AC178*AD178*AE178)</x:f>
      </x:c>
    </x:row>
    <x:row r="179">
      <x:c r="AF179" t="str">
        <x:f>IF(V179="","",AA179*AC179*AD179*AE179)</x:f>
      </x:c>
    </x:row>
    <x:row r="180">
      <x:c r="AF180" t="str">
        <x:f>IF(V180="","",AA180*AC180*AD180*AE180)</x:f>
      </x:c>
    </x:row>
    <x:row r="181">
      <x:c r="AF181" t="str">
        <x:f>IF(V181="","",AA181*AC181*AD181*AE181)</x:f>
      </x:c>
    </x:row>
    <x:row r="182">
      <x:c r="AF182" t="str">
        <x:f>IF(V182="","",AA182*AC182*AD182*AE182)</x:f>
      </x:c>
    </x:row>
    <x:row r="183">
      <x:c r="AF183" t="str">
        <x:f>IF(V183="","",AA183*AC183*AD183*AE183)</x:f>
      </x:c>
    </x:row>
    <x:row r="184">
      <x:c r="AF184" t="str">
        <x:f>IF(V184="","",AA184*AC184*AD184*AE184)</x:f>
      </x:c>
    </x:row>
    <x:row r="185">
      <x:c r="AF185" t="str">
        <x:f>IF(V185="","",AA185*AC185*AD185*AE185)</x:f>
      </x:c>
    </x:row>
    <x:row r="186">
      <x:c r="AF186" t="str">
        <x:f>IF(V186="","",AA186*AC186*AD186*AE186)</x:f>
      </x:c>
    </x:row>
    <x:row r="187">
      <x:c r="AF187" t="str">
        <x:f>IF(V187="","",AA187*AC187*AD187*AE187)</x:f>
      </x:c>
    </x:row>
    <x:row r="188">
      <x:c r="AF188" t="str">
        <x:f>IF(V188="","",AA188*AC188*AD188*AE188)</x:f>
      </x:c>
    </x:row>
    <x:row r="189">
      <x:c r="AF189" t="str">
        <x:f>IF(V189="","",AA189*AC189*AD189*AE189)</x:f>
      </x:c>
    </x:row>
    <x:row r="190">
      <x:c r="AF190" t="str">
        <x:f>IF(V190="","",AA190*AC190*AD190*AE190)</x:f>
      </x:c>
    </x:row>
    <x:row r="191">
      <x:c r="AF191" t="str">
        <x:f>IF(V191="","",AA191*AC191*AD191*AE191)</x:f>
      </x:c>
    </x:row>
    <x:row r="192">
      <x:c r="AF192" t="str">
        <x:f>IF(V192="","",AA192*AC192*AD192*AE192)</x:f>
      </x:c>
    </x:row>
    <x:row r="193">
      <x:c r="AF193" t="str">
        <x:f>IF(V193="","",AA193*AC193*AD193*AE193)</x:f>
      </x:c>
    </x:row>
    <x:row r="194">
      <x:c r="AF194" t="str">
        <x:f>IF(V194="","",AA194*AC194*AD194*AE194)</x:f>
      </x:c>
    </x:row>
    <x:row r="195">
      <x:c r="AF195" t="str">
        <x:f>IF(V195="","",AA195*AC195*AD195*AE195)</x:f>
      </x:c>
    </x:row>
    <x:row r="196">
      <x:c r="AF196" t="str">
        <x:f>IF(V196="","",AA196*AC196*AD196*AE196)</x:f>
      </x:c>
    </x:row>
    <x:row r="197">
      <x:c r="AF197" t="str">
        <x:f>IF(V197="","",AA197*AC197*AD197*AE197)</x:f>
      </x:c>
    </x:row>
    <x:row r="198">
      <x:c r="AF198" t="str">
        <x:f>IF(V198="","",AA198*AC198*AD198*AE198)</x:f>
      </x:c>
    </x:row>
    <x:row r="199">
      <x:c r="AF199" t="str">
        <x:f>IF(V199="","",AA199*AC199*AD199*AE199)</x:f>
      </x:c>
    </x:row>
  </x:sheetData>
  <x:mergeCells>
    <x:mergeCell ref="A1:S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  <x:col min="4" max="4" width="55" hidden="0" customWidth="1"/>
    <x:col min="6" max="6" width="30" hidden="0" customWidth="1"/>
    <x:col min="7" max="7" width="48" hidden="0" customWidth="1"/>
  </x:cols>
  <x:sheetData>
    <x:row r="1">
      <x:c r="A1" s="6" t="str">
        <x:v>SỨC CHỊU TẢI THEO VẬT LIỆU – TCVN 5574:2018</x:v>
      </x:c>
      <x:c r="B1" s="6"/>
      <x:c r="C1" s="6"/>
      <x:c r="D1" s="6"/>
      <x:c r="E1" s="6"/>
      <x:c r="F1" s="6"/>
      <x:c r="G1" s="155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Thông số</x:v>
      </x:c>
      <x:c r="B3" s="29" t="str">
        <x:v>Giá trị</x:v>
      </x:c>
      <x:c r="C3" s="29" t="str">
        <x:v>Đơn vị</x:v>
      </x:c>
      <x:c r="D3" s="30" t="str">
        <x:v>Nguồn</x:v>
      </x:c>
      <x:c r="E3" s="155"/>
      <x:c r="F3" s="155"/>
      <x:c r="G3" s="155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Cấp bê tông</x:v>
      </x:c>
      <x:c r="B4" s="172" t="str">
        <x:f>'02_ĐẦU_VÀO'!C13</x:f>
        <x:v>B30</x:v>
      </x:c>
      <x:c r="C4" s="172" t="str">
        <x:v>-</x:v>
      </x:c>
      <x:c r="D4" s="157" t="str">
        <x:v>Bảng 7 / Bảng 10</x:v>
      </x:c>
      <x:c r="E4" s="155"/>
      <x:c r="F4" s="155"/>
      <x:c r="G4" s="155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Cấp thép</x:v>
      </x:c>
      <x:c r="B5" s="172" t="str">
        <x:f>'02_ĐẦU_VÀO'!C14</x:f>
        <x:v>CB400-V</x:v>
      </x:c>
      <x:c r="C5" s="172" t="str">
        <x:v>-</x:v>
      </x:c>
      <x:c r="D5" s="157" t="str">
        <x:v>Bảng 13 / Bảng 14</x:v>
      </x:c>
      <x:c r="E5" s="155"/>
      <x:c r="F5" s="155"/>
      <x:c r="G5" s="155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Bề rộng b</x:v>
      </x:c>
      <x:c r="B6" s="172" t="n">
        <x:f>'02_ĐẦU_VÀO'!C5</x:f>
        <x:v>400</x:v>
      </x:c>
      <x:c r="C6" s="172" t="str">
        <x:v>mm</x:v>
      </x:c>
      <x:c r="D6" s="157" t="str">
        <x:v>Đầu vào</x:v>
      </x:c>
      <x:c r="E6" s="155"/>
      <x:c r="F6" s="155"/>
      <x:c r="G6" s="155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Chiều cao h</x:v>
      </x:c>
      <x:c r="B7" s="172" t="n">
        <x:f>'02_ĐẦU_VÀO'!C5</x:f>
        <x:v>400</x:v>
      </x:c>
      <x:c r="C7" s="172" t="str">
        <x:v>mm</x:v>
      </x:c>
      <x:c r="D7" s="157" t="str">
        <x:v>Đầu vào</x:v>
      </x:c>
      <x:c r="E7" s="155"/>
      <x:c r="F7" s="155"/>
      <x:c r="G7" s="155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As,tot</x:v>
      </x:c>
      <x:c r="B8" s="172" t="n">
        <x:f>'02_ĐẦU_VÀO'!C15</x:f>
        <x:v>1600</x:v>
      </x:c>
      <x:c r="C8" s="172" t="str">
        <x:v>mm²</x:v>
      </x:c>
      <x:c r="D8" s="157" t="str">
        <x:v>Đầu vào</x:v>
      </x:c>
      <x:c r="E8" s="155"/>
      <x:c r="F8" s="155"/>
      <x:c r="G8" s="155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L0</x:v>
      </x:c>
      <x:c r="B9" s="172" t="n">
        <x:f>'02_ĐẦU_VÀO'!C16</x:f>
        <x:v>4000</x:v>
      </x:c>
      <x:c r="C9" s="172" t="str">
        <x:v>mm</x:v>
      </x:c>
      <x:c r="D9" s="157" t="str">
        <x:v>Đầu vào</x:v>
      </x:c>
      <x:c r="E9" s="155"/>
      <x:c r="F9" s="155"/>
      <x:c r="G9" s="155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e0</x:v>
      </x:c>
      <x:c r="B10" s="172" t="n">
        <x:f>'02_ĐẦU_VÀO'!C17</x:f>
        <x:v>13.333333333333334</x:v>
      </x:c>
      <x:c r="C10" s="172" t="str">
        <x:v>mm</x:v>
      </x:c>
      <x:c r="D10" s="157" t="str">
        <x:v>Đầu vào</x:v>
      </x:c>
      <x:c r="E10" s="155"/>
      <x:c r="F10" s="155"/>
      <x:c r="G10" s="155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Tải trọng</x:v>
      </x:c>
      <x:c r="B11" s="172" t="str">
        <x:v>Dài hạn</x:v>
      </x:c>
      <x:c r="C11" s="172" t="str">
        <x:v>-</x:v>
      </x:c>
      <x:c r="D11" s="157" t="str">
        <x:v>Bảng 16</x:v>
      </x:c>
      <x:c r="E11" s="155"/>
      <x:c r="F11" s="155"/>
      <x:c r="G11" s="155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Điều kiện cốt dọc</x:v>
      </x:c>
      <x:c r="B12" s="174" t="str">
        <x:v>Hai phía đối diện</x:v>
      </x:c>
      <x:c r="C12" s="174" t="str">
        <x:v>-</x:v>
      </x:c>
      <x:c r="D12" s="159" t="str">
        <x:v>8.1.2.4.3</x:v>
      </x:c>
      <x:c r="E12" s="155"/>
      <x:c r="F12" s="155"/>
      <x:c r="G12" s="155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5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8" t="str">
        <x:v>Bước tính</x:v>
      </x:c>
      <x:c r="B14" s="29" t="str">
        <x:v>Giá trị</x:v>
      </x:c>
      <x:c r="C14" s="29" t="str">
        <x:v>Đơn vị</x:v>
      </x:c>
      <x:c r="D14" s="30" t="str">
        <x:v>Công thức / nguồn</x:v>
      </x:c>
      <x:c r="E14" s="155"/>
      <x:c r="F14" s="16" t="str">
        <x:v>Điều kiện Production</x:v>
      </x:c>
      <x:c r="G14" s="16" t="str">
        <x:v>Kết quả</x:v>
      </x:c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Diện tích A</x:v>
      </x:c>
      <x:c r="B15" s="199" t="n">
        <x:f>B6*B7</x:f>
        <x:v>160000</x:v>
      </x:c>
      <x:c r="C15" s="172" t="str">
        <x:v>mm²</x:v>
      </x:c>
      <x:c r="D15" s="157" t="str">
        <x:v>A=b×h</x:v>
      </x:c>
      <x:c r="E15" s="155"/>
      <x:c r="F15" s="155" t="str">
        <x:v>L0/h ≤ 20</x:v>
      </x:c>
      <x:c r="G15" s="155" t="str">
        <x:f>IF(B16&lt;=20,"ĐẠT","KHÓA TÍNH")</x:f>
        <x:v>ĐẠT</x:v>
      </x:c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Độ mảnh L0/h</x:v>
      </x:c>
      <x:c r="B16" s="199" t="n">
        <x:f>B9/B7</x:f>
        <x:v>10</x:v>
      </x:c>
      <x:c r="C16" s="172" t="str">
        <x:v>-</x:v>
      </x:c>
      <x:c r="D16" s="157" t="str">
        <x:v>8.1.2.4.3</x:v>
      </x:c>
      <x:c r="E16" s="155"/>
      <x:c r="F16" s="155" t="str">
        <x:v>e0 ≤ h/30</x:v>
      </x:c>
      <x:c r="G16" s="155" t="str">
        <x:f>IF(B10&lt;=B7/30,"ĐẠT","KHÓA TÍNH")</x:f>
        <x:v>ĐẠT</x:v>
      </x:c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Cấp bê tông dạng số</x:v>
      </x:c>
      <x:c r="B17" s="199" t="n">
        <x:f>VALUE(SUBSTITUTE(B4,"B",""))</x:f>
        <x:v>30</x:v>
      </x:c>
      <x:c r="C17" s="172" t="str">
        <x:v>-</x:v>
      </x:c>
      <x:c r="D17" s="157" t="str">
        <x:v>Phục vụ chọn dòng Bảng 16</x:v>
      </x:c>
      <x:c r="E17" s="155"/>
      <x:c r="F17" s="155" t="str">
        <x:v>L0/h trong Bảng 16 (6…20)</x:v>
      </x:c>
      <x:c r="G17" s="155" t="str">
        <x:f>IF(AND(B16&gt;=6,B16&lt;=20),"ĐẠT","KHÓA TÍNH")</x:f>
        <x:v>ĐẠT</x:v>
      </x:c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v>Rb</x:v>
      </x:c>
      <x:c r="B18" s="199" t="n">
        <x:f>VLOOKUP(B4,'11_BẢNG_TRA'!$A$4:$D$22,2,FALSE)</x:f>
        <x:v>17</x:v>
      </x:c>
      <x:c r="C18" s="172" t="str">
        <x:v>MPa</x:v>
      </x:c>
      <x:c r="D18" s="157" t="str">
        <x:v>VLOOKUP Bảng 7</x:v>
      </x:c>
      <x:c r="E18" s="155"/>
      <x:c r="F18" s="155" t="str">
        <x:v>Nu Excel≈Engine</x:v>
      </x:c>
      <x:c r="G18" s="155" t="str">
        <x:f>IF(ABS(B25)&lt;1E-6,"ĐẠT","KHÔNG KHỚP")</x:f>
        <x:v>ĐẠT</x:v>
      </x:c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v>Rsc</x:v>
      </x:c>
      <x:c r="B19" s="199" t="n">
        <x:f>VLOOKUP(B5,'11_BẢNG_TRA'!$F$4:$I$8,3,FALSE)</x:f>
        <x:v>350</x:v>
      </x:c>
      <x:c r="C19" s="172" t="str">
        <x:v>MPa</x:v>
      </x:c>
      <x:c r="D19" s="157" t="str">
        <x:v>VLOOKUP Bảng 13</x:v>
      </x:c>
      <x:c r="E19" s="155"/>
      <x:c r="F19" s="155" t="str">
        <x:v>Trạng thái</x:v>
      </x:c>
      <x:c r="G19" s="155" t="str">
        <x:f>IF(COUNTIF(G15:G18,"ĐẠT")=4,"VERIFIED","KHÓA TÍNH")</x:f>
        <x:v>VERIFIED</x:v>
      </x:c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v>φ</x:v>
      </x:c>
      <x:c r="B20" s="199" t="n">
        <x:f>IF(OR(B16&lt;6,B16&gt;20),NA(),IF(B17&lt;=55,IF(B16&lt;=10,'11_BẢNG_TRA'!$L$4+(B16-6)*('11_BẢNG_TRA'!$M$4-'11_BẢNG_TRA'!$L$4)/4,IF(B16&lt;=15,'11_BẢNG_TRA'!$M$4+(B16-10)*('11_BẢNG_TRA'!$N$4-'11_BẢNG_TRA'!$M$4)/5,'11_BẢNG_TRA'!$N$4+(B16-15)*('11_BẢNG_TRA'!$O$4-'11_BẢNG_TRA'!$N$4)/5)),IF(B17&lt;=70,IF(B16&lt;=10,'11_BẢNG_TRA'!$L$5+(B16-6)*('11_BẢNG_TRA'!$M$5-'11_BẢNG_TRA'!$L$5)/4,IF(B16&lt;=15,'11_BẢNG_TRA'!$M$5+(B16-10)*('11_BẢNG_TRA'!$N$5-'11_BẢNG_TRA'!$M$5)/5,'11_BẢNG_TRA'!$N$5+(B16-15)*('11_BẢNG_TRA'!$O$5-'11_BẢNG_TRA'!$N$5)/5)),IF(B17&lt;=90,IF(B16&lt;=10,'11_BẢNG_TRA'!$L$6+(B16-6)*('11_BẢNG_TRA'!$M$6-'11_BẢNG_TRA'!$L$6)/4,IF(B16&lt;=15,'11_BẢNG_TRA'!$M$6+(B16-10)*('11_BẢNG_TRA'!$N$6-'11_BẢNG_TRA'!$M$6)/5,'11_BẢNG_TRA'!$N$6+(B16-15)*('11_BẢNG_TRA'!$O$6-'11_BẢNG_TRA'!$N$6)/5)),IF(B17=100,IF(B16&lt;=10,'11_BẢNG_TRA'!$L$7+(B16-6)*('11_BẢNG_TRA'!$M$7-'11_BẢNG_TRA'!$L$7)/4,IF(B16&lt;=15,'11_BẢNG_TRA'!$M$7+(B16-10)*('11_BẢNG_TRA'!$N$7-'11_BẢNG_TRA'!$M$7)/5,'11_BẢNG_TRA'!$N$7+(B16-15)*('11_BẢNG_TRA'!$O$7-'11_BẢNG_TRA'!$N$7)/5)),NA())))))</x:f>
        <x:v>0.9</x:v>
      </x:c>
      <x:c r="C20" s="172" t="str">
        <x:v>-</x:v>
      </x:c>
      <x:c r="D20" s="157" t="str">
        <x:v>Bảng 16; nội suy 1D trong miền 6…20</x:v>
      </x:c>
      <x:c r="E20" s="155"/>
      <x:c r="F20" s="155" t="str">
        <x:v>Nguồn</x:v>
      </x:c>
      <x:c r="G20" s="155" t="str">
        <x:v>TCVN 5574:2018 · 8.1.2.4.3 · CT (49)–(50) · Bảng 16 · trang 61–62 / PDF 59–60</x:v>
      </x:c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v>Phần bê tông</x:v>
      </x:c>
      <x:c r="B21" s="199" t="n">
        <x:f>B20*B18*B15/1000</x:f>
        <x:v>2448</x:v>
      </x:c>
      <x:c r="C21" s="172" t="str">
        <x:v>kN</x:v>
      </x:c>
      <x:c r="D21" s="157" t="str">
        <x:v>φ×Rb×A/1000</x:v>
      </x:c>
      <x:c r="E21" s="155"/>
      <x:c r="F21" s="155"/>
      <x:c r="G21" s="155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6" t="str">
        <x:v>Phần cốt thép</x:v>
      </x:c>
      <x:c r="B22" s="199" t="n">
        <x:f>B20*B19*B8/1000</x:f>
        <x:v>504</x:v>
      </x:c>
      <x:c r="C22" s="172" t="str">
        <x:v>kN</x:v>
      </x:c>
      <x:c r="D22" s="157" t="str">
        <x:v>φ×Rsc×As/1000</x:v>
      </x:c>
      <x:c r="E22" s="155"/>
      <x:c r="F22" s="155"/>
      <x:c r="G22" s="155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6" t="str">
        <x:v>Nu = Rmaterial</x:v>
      </x:c>
      <x:c r="B23" s="199" t="n">
        <x:f>B21+B22</x:f>
        <x:v>2952</x:v>
      </x:c>
      <x:c r="C23" s="172" t="str">
        <x:v>kN</x:v>
      </x:c>
      <x:c r="D23" s="157" t="str">
        <x:v>CT (50)</x:v>
      </x:c>
      <x:c r="E23" s="155"/>
      <x:c r="F23" s="155"/>
      <x:c r="G23" s="155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6" t="str">
        <x:v>Nu Engine LOCKED</x:v>
      </x:c>
      <x:c r="B24" s="212" t="n">
        <x:v>2952</x:v>
      </x:c>
      <x:c r="C24" s="172" t="str">
        <x:v>kN</x:v>
      </x:c>
      <x:c r="D24" s="157" t="str">
        <x:v>Đối chiếu PileMaterialEngine</x:v>
      </x:c>
      <x:c r="E24" s="155"/>
      <x:c r="F24" s="155"/>
      <x:c r="G24" s="155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8" t="str">
        <x:v>Sai lệch Excel↔Engine</x:v>
      </x:c>
      <x:c r="B25" s="213" t="n">
        <x:f>B23-B24</x:f>
        <x:v>0</x:v>
      </x:c>
      <x:c r="C25" s="174" t="str">
        <x:v>kN</x:v>
      </x:c>
      <x:c r="D25" s="159" t="str">
        <x:v>Phải ≈ 0</x:v>
      </x:c>
      <x:c r="E25" s="155"/>
      <x:c r="F25" s="155"/>
      <x:c r="G25" s="155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54" hidden="0" customWidth="1"/>
  </x:cols>
  <x:sheetData>
    <x:row r="1">
      <x:c r="A1" s="6" t="str">
        <x:v>TỔNG HỢP SỨC CHỊU TẢI CỌC – CHUỖI Rsoil → Rmaterial → Rpile → Nd,max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Bước</x:v>
      </x:c>
      <x:c r="B3" s="29" t="str">
        <x:v>Giá trị</x:v>
      </x:c>
      <x:c r="C3" s="29" t="str">
        <x:v>Đơn vị</x:v>
      </x:c>
      <x:c r="D3" s="29" t="str">
        <x:v>Công thức</x:v>
      </x:c>
      <x:c r="E3" s="29" t="str">
        <x:v>Khống chế / Trạng thái</x:v>
      </x:c>
      <x:c r="F3" s="30" t="str">
        <x:v>Nguồn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 = Rd,min</x:v>
      </x:c>
      <x:c r="B4" s="199" t="n">
        <x:f>'04_TÍNH_ĐẤT'!B13</x:f>
        <x:v>843.4285714285716</x:v>
      </x:c>
      <x:c r="C4" s="172" t="str">
        <x:v>kN</x:v>
      </x:c>
      <x:c r="D4" s="172" t="str">
        <x:v>MIN(Rd HK×method)</x:v>
      </x:c>
      <x:c r="E4" s="172" t="str">
        <x:f>IF(B4&lt;=B5,"ĐẤT NỀN","VẬT LIỆU")</x:f>
        <x:v>ĐẤT NỀN</x:v>
      </x:c>
      <x:c r="F4" s="157" t="str">
        <x:v>TCVN 10304:2025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 = Nu</x:v>
      </x:c>
      <x:c r="B5" s="199" t="n">
        <x:f>'05_VẬT_LIỆU'!B23</x:f>
        <x:v>2952</x:v>
      </x:c>
      <x:c r="C5" s="172" t="str">
        <x:v>kN</x:v>
      </x:c>
      <x:c r="D5" s="172" t="str">
        <x:v>CT (50)</x:v>
      </x:c>
      <x:c r="E5" s="172" t="str">
        <x:f>IF(B5&lt;B4,"VẬT LIỆU","KHÔNG KHỐNG CHẾ")</x:f>
        <x:v>KHÔNG KHỐNG CHẾ</x:v>
      </x:c>
      <x:c r="F5" s="157" t="str">
        <x:v>TCVN 5574:2018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99" t="n">
        <x:f>MIN(B4,B5)</x:f>
        <x:v>843.4285714285716</x:v>
      </x:c>
      <x:c r="C6" s="172" t="str">
        <x:v>kN</x:v>
      </x:c>
      <x:c r="D6" s="172" t="str">
        <x:v>MIN(Rsoil,Rmaterial)</x:v>
      </x:c>
      <x:c r="E6" s="172" t="str">
        <x:f>IF(B4&lt;=B5,"ĐẤT NỀN KHỐNG CHẾ","VẬT LIỆU KHỐNG CHẾ")</x:f>
        <x:v>ĐẤT NỀN KHỐNG CHẾ</x:v>
      </x:c>
      <x:c r="F6" s="157" t="str">
        <x:v>HNL LOCKED composition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99" t="n">
        <x:f>'02_ĐẦU_VÀO'!C12</x:f>
        <x:v>1.15</x:v>
      </x:c>
      <x:c r="C7" s="172" t="str">
        <x:v>-</x:v>
      </x:c>
      <x:c r="D7" s="172" t="str">
        <x:v>Đầu vào</x:v>
      </x:c>
      <x:c r="E7" s="172" t="str">
        <x:v>ÁP DỤNG SAU Rpile</x:v>
      </x:c>
      <x:c r="F7" s="157" t="str">
        <x:v>Hệ số sau phép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 / cọc</x:v>
      </x:c>
      <x:c r="B8" s="199" t="n">
        <x:f>B6/B7</x:f>
        <x:v>733.4161490683232</x:v>
      </x:c>
      <x:c r="C8" s="172" t="str">
        <x:v>kN</x:v>
      </x:c>
      <x:c r="D8" s="172" t="str">
        <x:v>Rpile/γn</x:v>
      </x:c>
      <x:c r="E8" s="172" t="str">
        <x:v>SẴN SÀNG KIỂM PHẢN LỰC</x:v>
      </x:c>
      <x:c r="F8" s="157" t="str">
        <x:v>Giới hạn tác động thiết kế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Lỗ khoan bất lợi</x:v>
      </x:c>
      <x:c r="B9" s="172" t="str">
        <x:v>HK2</x:v>
      </x:c>
      <x:c r="C9" s="172" t="str">
        <x:v>-</x:v>
      </x:c>
      <x:c r="D9" s="172" t="str">
        <x:v>Engine</x:v>
      </x:c>
      <x:c r="E9" s="172"/>
      <x:c r="F9" s="157" t="str">
        <x:v>Multi-Borehole LOCKED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8" t="str">
        <x:v>Phương pháp bất lợi</x:v>
      </x:c>
      <x:c r="B10" s="174" t="str">
        <x:v>CƠ LÝ · 7.2.2 CỌC ĐÓNG/ÉP</x:v>
      </x:c>
      <x:c r="C10" s="174" t="str">
        <x:v>-</x:v>
      </x:c>
      <x:c r="D10" s="174" t="str">
        <x:v>Engine</x:v>
      </x:c>
      <x:c r="E10" s="174"/>
      <x:c r="F10" s="159" t="str">
        <x:v>Multi-Borehole LOCKED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/>
      <x:c r="B11" s="155"/>
      <x:c r="C11" s="155"/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8" t="str">
        <x:v>Đối chiếu Engine</x:v>
      </x:c>
      <x:c r="B12" s="29" t="str">
        <x:v>Excel</x:v>
      </x:c>
      <x:c r="C12" s="29" t="str">
        <x:v>Engine LOCKED</x:v>
      </x:c>
      <x:c r="D12" s="29" t="str">
        <x:v>Sai lệch</x:v>
      </x:c>
      <x:c r="E12" s="29" t="str">
        <x:v>Gate</x:v>
      </x:c>
      <x:c r="F12" s="30" t="str">
        <x:v>Ghi chú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v>Rsoil</x:v>
      </x:c>
      <x:c r="B13" s="198" t="n">
        <x:f>B4</x:f>
        <x:v>843.4285714285716</x:v>
      </x:c>
      <x:c r="C13" s="198" t="n">
        <x:v>843.4285714285716</x:v>
      </x:c>
      <x:c r="D13" s="198" t="n">
        <x:f>B13-C13</x:f>
        <x:v>0</x:v>
      </x:c>
      <x:c r="E13" s="198" t="str">
        <x:f>IF(ABS(D13)&lt;1E-6,"ĐẠT","KHÔNG KHỚP")</x:f>
        <x:v>ĐẠT</x:v>
      </x:c>
      <x:c r="F13" s="157" t="str">
        <x:v>HK2 · cơ lý</x:v>
      </x:c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v>Rmaterial</x:v>
      </x:c>
      <x:c r="B14" s="198" t="n">
        <x:f>B5</x:f>
        <x:v>2952</x:v>
      </x:c>
      <x:c r="C14" s="198" t="n">
        <x:v>2952</x:v>
      </x:c>
      <x:c r="D14" s="198" t="n">
        <x:f>B14-C14</x:f>
        <x:v>0</x:v>
      </x:c>
      <x:c r="E14" s="198" t="str">
        <x:f>IF(ABS(D14)&lt;1E-6,"ĐẠT","KHÔNG KHỚP")</x:f>
        <x:v>ĐẠT</x:v>
      </x:c>
      <x:c r="F14" s="157" t="str">
        <x:v>CT (50)</x:v>
      </x:c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v>Rpile</x:v>
      </x:c>
      <x:c r="B15" s="198" t="n">
        <x:f>B6</x:f>
        <x:v>843.4285714285716</x:v>
      </x:c>
      <x:c r="C15" s="198" t="n">
        <x:v>843.4285714285716</x:v>
      </x:c>
      <x:c r="D15" s="198" t="n">
        <x:f>B15-C15</x:f>
        <x:v>0</x:v>
      </x:c>
      <x:c r="E15" s="198" t="str">
        <x:f>IF(ABS(D15)&lt;1E-6,"ĐẠT","KHÔNG KHỚP")</x:f>
        <x:v>ĐẠT</x:v>
      </x:c>
      <x:c r="F15" s="157" t="str">
        <x:v>min</x:v>
      </x:c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v>γn</x:v>
      </x:c>
      <x:c r="B16" s="198" t="n">
        <x:f>B7</x:f>
        <x:v>1.15</x:v>
      </x:c>
      <x:c r="C16" s="198" t="n">
        <x:v>1.15</x:v>
      </x:c>
      <x:c r="D16" s="198" t="n">
        <x:f>B16-C16</x:f>
        <x:v>0</x:v>
      </x:c>
      <x:c r="E16" s="198" t="str">
        <x:f>IF(ABS(D16)&lt;1E-6,"ĐẠT","KHÔNG KHỚP")</x:f>
        <x:v>ĐẠT</x:v>
      </x:c>
      <x:c r="F16" s="157" t="str">
        <x:v>sau min</x:v>
      </x:c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v>Nd,max</x:v>
      </x:c>
      <x:c r="B17" s="198" t="n">
        <x:f>B8</x:f>
        <x:v>733.4161490683232</x:v>
      </x:c>
      <x:c r="C17" s="198" t="n">
        <x:v>733.4161490683232</x:v>
      </x:c>
      <x:c r="D17" s="198" t="n">
        <x:f>B17-C17</x:f>
        <x:v>0</x:v>
      </x:c>
      <x:c r="E17" s="198" t="str">
        <x:f>IF(ABS(D17)&lt;1E-6,"ĐẠT","KHÔNG KHỚP")</x:f>
        <x:v>ĐẠT</x:v>
      </x:c>
      <x:c r="F17" s="157" t="str">
        <x:v>Rpile/γn</x:v>
      </x:c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8" t="str">
        <x:v>Trạng thái tổng</x:v>
      </x:c>
      <x:c r="B18" s="174" t="str">
        <x:f>IF(COUNTIF(E13:E17,"ĐẠT")=5,"ĐẠT","KHÓA TÍNH")</x:f>
        <x:v>ĐẠT</x:v>
      </x:c>
      <x:c r="C18" s="174"/>
      <x:c r="D18" s="174"/>
      <x:c r="E18" s="174"/>
      <x:c r="F18" s="159" t="str">
        <x:v>Phải ĐẠT trước khi sang phản lực</x:v>
      </x:c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32" hidden="0" customWidth="1"/>
  </x:cols>
  <x:sheetData>
    <x:row r="1">
      <x:c r="A1" s="6" t="str">
        <x:v>DỮ LIỆU KẾT CẤU ĐÃ NHẬP VÀ CHUẨN HÓA – PASS 5 CORE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Z (m)</x:v>
      </x:c>
      <x:c r="F3" s="29" t="str">
        <x:v>Fz thô (kN)</x:v>
      </x:c>
      <x:c r="G3" s="29" t="str">
        <x:v>Nhu cầu nén (kN)</x:v>
      </x:c>
      <x:c r="H3" s="29" t="str">
        <x:v>Fx</x:v>
      </x:c>
      <x:c r="I3" s="29" t="str">
        <x:v>Fy</x:v>
      </x:c>
      <x:c r="J3" s="29" t="str">
        <x:v>Mx</x:v>
      </x:c>
      <x:c r="K3" s="29" t="str">
        <x:v>My</x:v>
      </x:c>
      <x:c r="L3" s="29" t="str">
        <x:v>Mz</x:v>
      </x:c>
      <x:c r="M3" s="29" t="str">
        <x:v>Loại kiểm</x:v>
      </x:c>
      <x:c r="N3" s="30" t="str">
        <x:v>Nguồn</x:v>
      </x:c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216" t="str">
        <x:v>136</x:v>
      </x:c>
      <x:c r="B4" s="217" t="str">
        <x:v>EULS</x:v>
      </x:c>
      <x:c r="C4" s="212" t="n">
        <x:v>1.8499999999999999</x:v>
      </x:c>
      <x:c r="D4" s="212" t="n">
        <x:v>4.96</x:v>
      </x:c>
      <x:c r="E4" s="212" t="n">
        <x:v>0</x:v>
      </x:c>
      <x:c r="F4" s="212" t="n">
        <x:v>286.91991774862805</x:v>
      </x:c>
      <x:c r="G4" s="212" t="n">
        <x:v>286.91991774862805</x:v>
      </x:c>
      <x:c r="H4" s="212" t="n">
        <x:v>6.114587136873498</x:v>
      </x:c>
      <x:c r="I4" s="212" t="n">
        <x:v>7.60160881133767</x:v>
      </x:c>
      <x:c r="J4" s="212" t="n">
        <x:v>0</x:v>
      </x:c>
      <x:c r="K4" s="212" t="n">
        <x:v>0</x:v>
      </x:c>
      <x:c r="L4" s="212" t="n">
        <x:v>0</x:v>
      </x:c>
      <x:c r="M4" s="217" t="str">
        <x:v>NÉN</x:v>
      </x:c>
      <x:c r="N4" s="218" t="str">
        <x:v>DCE/CSV → Pass 5 canonical</x:v>
      </x:c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216" t="str">
        <x:v>137</x:v>
      </x:c>
      <x:c r="B5" s="217" t="str">
        <x:v>EULS</x:v>
      </x:c>
      <x:c r="C5" s="212" t="n">
        <x:v>1.68</x:v>
      </x:c>
      <x:c r="D5" s="212" t="n">
        <x:v>4.03</x:v>
      </x:c>
      <x:c r="E5" s="212" t="n">
        <x:v>0</x:v>
      </x:c>
      <x:c r="F5" s="212" t="n">
        <x:v>260.9278268061119</x:v>
      </x:c>
      <x:c r="G5" s="212" t="n">
        <x:v>260.9278268061119</x:v>
      </x:c>
      <x:c r="H5" s="212" t="n">
        <x:v>6.024313228742632</x:v>
      </x:c>
      <x:c r="I5" s="212" t="n">
        <x:v>7.565465189987405</x:v>
      </x:c>
      <x:c r="J5" s="212" t="n">
        <x:v>0</x:v>
      </x:c>
      <x:c r="K5" s="212" t="n">
        <x:v>0</x:v>
      </x:c>
      <x:c r="L5" s="212" t="n">
        <x:v>0</x:v>
      </x:c>
      <x:c r="M5" s="217" t="str">
        <x:v>NÉN</x:v>
      </x:c>
      <x:c r="N5" s="218" t="str">
        <x:v>DCE/CSV → Pass 5 canonical</x:v>
      </x:c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216" t="str">
        <x:v>144</x:v>
      </x:c>
      <x:c r="B6" s="217" t="str">
        <x:v>EULS</x:v>
      </x:c>
      <x:c r="C6" s="212" t="n">
        <x:v>0.75</x:v>
      </x:c>
      <x:c r="D6" s="212" t="n">
        <x:v>4.03</x:v>
      </x:c>
      <x:c r="E6" s="212" t="n">
        <x:v>0</x:v>
      </x:c>
      <x:c r="F6" s="212" t="n">
        <x:v>270.8934985824897</x:v>
      </x:c>
      <x:c r="G6" s="212" t="n">
        <x:v>270.8934985824897</x:v>
      </x:c>
      <x:c r="H6" s="212" t="n">
        <x:v>6.023922627709259</x:v>
      </x:c>
      <x:c r="I6" s="212" t="n">
        <x:v>7.367116593119833</x:v>
      </x:c>
      <x:c r="J6" s="212" t="n">
        <x:v>0</x:v>
      </x:c>
      <x:c r="K6" s="212" t="n">
        <x:v>0</x:v>
      </x:c>
      <x:c r="L6" s="212" t="n">
        <x:v>0</x:v>
      </x:c>
      <x:c r="M6" s="217" t="str">
        <x:v>NÉN</x:v>
      </x:c>
      <x:c r="N6" s="218" t="str">
        <x:v>DCE/CSV → Pass 5 canonical</x:v>
      </x:c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216" t="str">
        <x:v>145</x:v>
      </x:c>
      <x:c r="B7" s="217" t="str">
        <x:v>EULS</x:v>
      </x:c>
      <x:c r="C7" s="212" t="n">
        <x:v>0.75</x:v>
      </x:c>
      <x:c r="D7" s="212" t="n">
        <x:v>4.96</x:v>
      </x:c>
      <x:c r="E7" s="212" t="n">
        <x:v>0</x:v>
      </x:c>
      <x:c r="F7" s="212" t="n">
        <x:v>285.1184277095996</x:v>
      </x:c>
      <x:c r="G7" s="212" t="n">
        <x:v>285.1184277095996</x:v>
      </x:c>
      <x:c r="H7" s="212" t="n">
        <x:v>6.115032894584146</x:v>
      </x:c>
      <x:c r="I7" s="212" t="n">
        <x:v>7.367175449779903</x:v>
      </x:c>
      <x:c r="J7" s="212" t="n">
        <x:v>0</x:v>
      </x:c>
      <x:c r="K7" s="212" t="n">
        <x:v>0</x:v>
      </x:c>
      <x:c r="L7" s="212" t="n">
        <x:v>0</x:v>
      </x:c>
      <x:c r="M7" s="217" t="str">
        <x:v>NÉN</x:v>
      </x:c>
      <x:c r="N7" s="218" t="str">
        <x:v>DCE/CSV → Pass 5 canonical</x:v>
      </x:c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216" t="str">
        <x:v>146</x:v>
      </x:c>
      <x:c r="B8" s="217" t="str">
        <x:v>EULS</x:v>
      </x:c>
      <x:c r="C8" s="212" t="n">
        <x:v>3.33</x:v>
      </x:c>
      <x:c r="D8" s="212" t="n">
        <x:v>5.39</x:v>
      </x:c>
      <x:c r="E8" s="212" t="n">
        <x:v>0</x:v>
      </x:c>
      <x:c r="F8" s="212" t="n">
        <x:v>297.4859063516979</x:v>
      </x:c>
      <x:c r="G8" s="212" t="n">
        <x:v>297.4859063516979</x:v>
      </x:c>
      <x:c r="H8" s="212" t="n">
        <x:v>6.151526405771362</x:v>
      </x:c>
      <x:c r="I8" s="212" t="n">
        <x:v>7.920268130304808</x:v>
      </x:c>
      <x:c r="J8" s="212" t="n">
        <x:v>0</x:v>
      </x:c>
      <x:c r="K8" s="212" t="n">
        <x:v>0</x:v>
      </x:c>
      <x:c r="L8" s="212" t="n">
        <x:v>0</x:v>
      </x:c>
      <x:c r="M8" s="217" t="str">
        <x:v>NÉN</x:v>
      </x:c>
      <x:c r="N8" s="218" t="str">
        <x:v>DCE/CSV → Pass 5 canonical</x:v>
      </x:c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216" t="str">
        <x:v>147</x:v>
      </x:c>
      <x:c r="B9" s="217" t="str">
        <x:v>EULS</x:v>
      </x:c>
      <x:c r="C9" s="212" t="n">
        <x:v>4.07</x:v>
      </x:c>
      <x:c r="D9" s="212" t="n">
        <x:v>5.48</x:v>
      </x:c>
      <x:c r="E9" s="212" t="n">
        <x:v>0</x:v>
      </x:c>
      <x:c r="F9" s="212" t="n">
        <x:v>300.3376508670345</x:v>
      </x:c>
      <x:c r="G9" s="212" t="n">
        <x:v>300.3376508670345</x:v>
      </x:c>
      <x:c r="H9" s="212" t="n">
        <x:v>6.161931381625057</x:v>
      </x:c>
      <x:c r="I9" s="212" t="n">
        <x:v>8.087346492023325</x:v>
      </x:c>
      <x:c r="J9" s="212" t="n">
        <x:v>0</x:v>
      </x:c>
      <x:c r="K9" s="212" t="n">
        <x:v>0</x:v>
      </x:c>
      <x:c r="L9" s="212" t="n">
        <x:v>0</x:v>
      </x:c>
      <x:c r="M9" s="217" t="str">
        <x:v>NÉN</x:v>
      </x:c>
      <x:c r="N9" s="218" t="str">
        <x:v>DCE/CSV → Pass 5 canonical</x:v>
      </x:c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216" t="str">
        <x:v>148</x:v>
      </x:c>
      <x:c r="B10" s="217" t="str">
        <x:v>EULS</x:v>
      </x:c>
      <x:c r="C10" s="212" t="n">
        <x:v>4.81</x:v>
      </x:c>
      <x:c r="D10" s="212" t="n">
        <x:v>5.57</x:v>
      </x:c>
      <x:c r="E10" s="212" t="n">
        <x:v>0</x:v>
      </x:c>
      <x:c r="F10" s="212" t="n">
        <x:v>300.04555821930734</x:v>
      </x:c>
      <x:c r="G10" s="212" t="n">
        <x:v>300.04555821930734</x:v>
      </x:c>
      <x:c r="H10" s="212" t="n">
        <x:v>6.1732453085127945</x:v>
      </x:c>
      <x:c r="I10" s="212" t="n">
        <x:v>8.252345699073759</x:v>
      </x:c>
      <x:c r="J10" s="212" t="n">
        <x:v>0</x:v>
      </x:c>
      <x:c r="K10" s="212" t="n">
        <x:v>0</x:v>
      </x:c>
      <x:c r="L10" s="212" t="n">
        <x:v>0</x:v>
      </x:c>
      <x:c r="M10" s="217" t="str">
        <x:v>NÉN</x:v>
      </x:c>
      <x:c r="N10" s="218" t="str">
        <x:v>DCE/CSV → Pass 5 canonical</x:v>
      </x:c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216" t="str">
        <x:v>159</x:v>
      </x:c>
      <x:c r="B11" s="217" t="str">
        <x:v>EULS</x:v>
      </x:c>
      <x:c r="C11" s="212" t="n">
        <x:v>7.19</x:v>
      </x:c>
      <x:c r="D11" s="212" t="n">
        <x:v>5.72</x:v>
      </x:c>
      <x:c r="E11" s="212" t="n">
        <x:v>0</x:v>
      </x:c>
      <x:c r="F11" s="212" t="n">
        <x:v>303.4136821443748</x:v>
      </x:c>
      <x:c r="G11" s="212" t="n">
        <x:v>303.4136821443748</x:v>
      </x:c>
      <x:c r="H11" s="212" t="n">
        <x:v>6.142195768650366</x:v>
      </x:c>
      <x:c r="I11" s="212" t="n">
        <x:v>8.859360969705284</x:v>
      </x:c>
      <x:c r="J11" s="212" t="n">
        <x:v>0</x:v>
      </x:c>
      <x:c r="K11" s="212" t="n">
        <x:v>0</x:v>
      </x:c>
      <x:c r="L11" s="212" t="n">
        <x:v>0</x:v>
      </x:c>
      <x:c r="M11" s="217" t="str">
        <x:v>NÉN</x:v>
      </x:c>
      <x:c r="N11" s="218" t="str">
        <x:v>DCE/CSV → Pass 5 canonical</x:v>
      </x:c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216" t="str">
        <x:v>160</x:v>
      </x:c>
      <x:c r="B12" s="217" t="str">
        <x:v>EULS</x:v>
      </x:c>
      <x:c r="C12" s="212" t="n">
        <x:v>7.93</x:v>
      </x:c>
      <x:c r="D12" s="212" t="n">
        <x:v>5.81</x:v>
      </x:c>
      <x:c r="E12" s="212" t="n">
        <x:v>0</x:v>
      </x:c>
      <x:c r="F12" s="212" t="n">
        <x:v>343.63918974684805</x:v>
      </x:c>
      <x:c r="G12" s="212" t="n">
        <x:v>343.63918974684805</x:v>
      </x:c>
      <x:c r="H12" s="212" t="n">
        <x:v>6.1583195951613225</x:v>
      </x:c>
      <x:c r="I12" s="212" t="n">
        <x:v>9.061839847568978</x:v>
      </x:c>
      <x:c r="J12" s="212" t="n">
        <x:v>0</x:v>
      </x:c>
      <x:c r="K12" s="212" t="n">
        <x:v>0</x:v>
      </x:c>
      <x:c r="L12" s="212" t="n">
        <x:v>0</x:v>
      </x:c>
      <x:c r="M12" s="217" t="str">
        <x:v>NÉN</x:v>
      </x:c>
      <x:c r="N12" s="218" t="str">
        <x:v>DCE/CSV → Pass 5 canonical</x:v>
      </x:c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216" t="str">
        <x:v>161</x:v>
      </x:c>
      <x:c r="B13" s="217" t="str">
        <x:v>EULS</x:v>
      </x:c>
      <x:c r="C13" s="212" t="n">
        <x:v>8.2</x:v>
      </x:c>
      <x:c r="D13" s="212" t="n">
        <x:v>5.11</x:v>
      </x:c>
      <x:c r="E13" s="212" t="n">
        <x:v>0</x:v>
      </x:c>
      <x:c r="F13" s="212" t="n">
        <x:v>280.22771574243876</x:v>
      </x:c>
      <x:c r="G13" s="212" t="n">
        <x:v>280.22771574243876</x:v>
      </x:c>
      <x:c r="H13" s="212" t="n">
        <x:v>6.031814131395742</x:v>
      </x:c>
      <x:c r="I13" s="212" t="n">
        <x:v>9.13403868642082</x:v>
      </x:c>
      <x:c r="J13" s="212" t="n">
        <x:v>0</x:v>
      </x:c>
      <x:c r="K13" s="212" t="n">
        <x:v>0</x:v>
      </x:c>
      <x:c r="L13" s="212" t="n">
        <x:v>0</x:v>
      </x:c>
      <x:c r="M13" s="217" t="str">
        <x:v>NÉN</x:v>
      </x:c>
      <x:c r="N13" s="218" t="str">
        <x:v>DCE/CSV → Pass 5 canonical</x:v>
      </x:c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216" t="str">
        <x:v>167</x:v>
      </x:c>
      <x:c r="B14" s="217" t="str">
        <x:v>EULS</x:v>
      </x:c>
      <x:c r="C14" s="212" t="n">
        <x:v>6.9</x:v>
      </x:c>
      <x:c r="D14" s="212" t="n">
        <x:v>0.46</x:v>
      </x:c>
      <x:c r="E14" s="212" t="n">
        <x:v>0</x:v>
      </x:c>
      <x:c r="F14" s="212" t="n">
        <x:v>310.9017790337088</x:v>
      </x:c>
      <x:c r="G14" s="212" t="n">
        <x:v>310.9017790337088</x:v>
      </x:c>
      <x:c r="H14" s="212" t="n">
        <x:v>5.786179924709186</x:v>
      </x:c>
      <x:c r="I14" s="212" t="n">
        <x:v>8.706874064178617</x:v>
      </x:c>
      <x:c r="J14" s="212" t="n">
        <x:v>0</x:v>
      </x:c>
      <x:c r="K14" s="212" t="n">
        <x:v>0</x:v>
      </x:c>
      <x:c r="L14" s="212" t="n">
        <x:v>0</x:v>
      </x:c>
      <x:c r="M14" s="217" t="str">
        <x:v>NÉN</x:v>
      </x:c>
      <x:c r="N14" s="218" t="str">
        <x:v>DCE/CSV → Pass 5 canonical</x:v>
      </x:c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216" t="str">
        <x:v>168</x:v>
      </x:c>
      <x:c r="B15" s="217" t="str">
        <x:v>EULS</x:v>
      </x:c>
      <x:c r="C15" s="212" t="n">
        <x:v>7.65</x:v>
      </x:c>
      <x:c r="D15" s="212" t="n">
        <x:v>0.46</x:v>
      </x:c>
      <x:c r="E15" s="212" t="n">
        <x:v>0</x:v>
      </x:c>
      <x:c r="F15" s="212" t="n">
        <x:v>365.2920507005818</x:v>
      </x:c>
      <x:c r="G15" s="212" t="n">
        <x:v>365.2920507005818</x:v>
      </x:c>
      <x:c r="H15" s="212" t="n">
        <x:v>5.785111990798642</x:v>
      </x:c>
      <x:c r="I15" s="212" t="n">
        <x:v>8.93949061197766</x:v>
      </x:c>
      <x:c r="J15" s="212" t="n">
        <x:v>0</x:v>
      </x:c>
      <x:c r="K15" s="212" t="n">
        <x:v>0</x:v>
      </x:c>
      <x:c r="L15" s="212" t="n">
        <x:v>0</x:v>
      </x:c>
      <x:c r="M15" s="217" t="str">
        <x:v>NÉN</x:v>
      </x:c>
      <x:c r="N15" s="218" t="str">
        <x:v>DCE/CSV → Pass 5 canonical</x:v>
      </x:c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216" t="str">
        <x:v>169</x:v>
      </x:c>
      <x:c r="B16" s="217" t="str">
        <x:v>EULS</x:v>
      </x:c>
      <x:c r="C16" s="212" t="n">
        <x:v>7.65</x:v>
      </x:c>
      <x:c r="D16" s="212" t="n">
        <x:v>1.1</x:v>
      </x:c>
      <x:c r="E16" s="212" t="n">
        <x:v>0</x:v>
      </x:c>
      <x:c r="F16" s="212" t="n">
        <x:v>290.52138193625683</x:v>
      </x:c>
      <x:c r="G16" s="212" t="n">
        <x:v>290.52138193625683</x:v>
      </x:c>
      <x:c r="H16" s="212" t="n">
        <x:v>5.821947418471196</x:v>
      </x:c>
      <x:c r="I16" s="212" t="n">
        <x:v>8.940186832427152</x:v>
      </x:c>
      <x:c r="J16" s="212" t="n">
        <x:v>0</x:v>
      </x:c>
      <x:c r="K16" s="212" t="n">
        <x:v>0</x:v>
      </x:c>
      <x:c r="L16" s="212" t="n">
        <x:v>0</x:v>
      </x:c>
      <x:c r="M16" s="217" t="str">
        <x:v>NÉN</x:v>
      </x:c>
      <x:c r="N16" s="218" t="str">
        <x:v>DCE/CSV → Pass 5 canonical</x:v>
      </x:c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216" t="str">
        <x:v>170</x:v>
      </x:c>
      <x:c r="B17" s="217" t="str">
        <x:v>EULS</x:v>
      </x:c>
      <x:c r="C17" s="212" t="n">
        <x:v>4.82</x:v>
      </x:c>
      <x:c r="D17" s="212" t="n">
        <x:v>0.49</x:v>
      </x:c>
      <x:c r="E17" s="212" t="n">
        <x:v>0</x:v>
      </x:c>
      <x:c r="F17" s="212" t="n">
        <x:v>285.949573636969</x:v>
      </x:c>
      <x:c r="G17" s="212" t="n">
        <x:v>285.949573636969</x:v>
      </x:c>
      <x:c r="H17" s="212" t="n">
        <x:v>5.8191715581666035</x:v>
      </x:c>
      <x:c r="I17" s="212" t="n">
        <x:v>8.237220549414246</x:v>
      </x:c>
      <x:c r="J17" s="212" t="n">
        <x:v>0</x:v>
      </x:c>
      <x:c r="K17" s="212" t="n">
        <x:v>0</x:v>
      </x:c>
      <x:c r="L17" s="212" t="n">
        <x:v>0</x:v>
      </x:c>
      <x:c r="M17" s="217" t="str">
        <x:v>NÉN</x:v>
      </x:c>
      <x:c r="N17" s="218" t="str">
        <x:v>DCE/CSV → Pass 5 canonical</x:v>
      </x:c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216" t="str">
        <x:v>171</x:v>
      </x:c>
      <x:c r="B18" s="217" t="str">
        <x:v>EULS</x:v>
      </x:c>
      <x:c r="C18" s="212" t="n">
        <x:v>4.07</x:v>
      </x:c>
      <x:c r="D18" s="212" t="n">
        <x:v>0.49</x:v>
      </x:c>
      <x:c r="E18" s="212" t="n">
        <x:v>0</x:v>
      </x:c>
      <x:c r="F18" s="212" t="n">
        <x:v>285.78082587948563</x:v>
      </x:c>
      <x:c r="G18" s="212" t="n">
        <x:v>285.78082587948563</x:v>
      </x:c>
      <x:c r="H18" s="212" t="n">
        <x:v>5.819147985537895</x:v>
      </x:c>
      <x:c r="I18" s="212" t="n">
        <x:v>8.075804450906592</x:v>
      </x:c>
      <x:c r="J18" s="212" t="n">
        <x:v>0</x:v>
      </x:c>
      <x:c r="K18" s="212" t="n">
        <x:v>0</x:v>
      </x:c>
      <x:c r="L18" s="212" t="n">
        <x:v>0</x:v>
      </x:c>
      <x:c r="M18" s="217" t="str">
        <x:v>NÉN</x:v>
      </x:c>
      <x:c r="N18" s="218" t="str">
        <x:v>DCE/CSV → Pass 5 canonical</x:v>
      </x:c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216" t="str">
        <x:v>172</x:v>
      </x:c>
      <x:c r="B19" s="217" t="str">
        <x:v>EULS</x:v>
      </x:c>
      <x:c r="C19" s="212" t="n">
        <x:v>3.32</x:v>
      </x:c>
      <x:c r="D19" s="212" t="n">
        <x:v>0.49</x:v>
      </x:c>
      <x:c r="E19" s="212" t="n">
        <x:v>0</x:v>
      </x:c>
      <x:c r="F19" s="212" t="n">
        <x:v>282.45435302362756</x:v>
      </x:c>
      <x:c r="G19" s="212" t="n">
        <x:v>282.45435302362756</x:v>
      </x:c>
      <x:c r="H19" s="212" t="n">
        <x:v>5.817643430921133</x:v>
      </x:c>
      <x:c r="I19" s="212" t="n">
        <x:v>7.914175544381543</x:v>
      </x:c>
      <x:c r="J19" s="212" t="n">
        <x:v>0</x:v>
      </x:c>
      <x:c r="K19" s="212" t="n">
        <x:v>0</x:v>
      </x:c>
      <x:c r="L19" s="212" t="n">
        <x:v>0</x:v>
      </x:c>
      <x:c r="M19" s="217" t="str">
        <x:v>NÉN</x:v>
      </x:c>
      <x:c r="N19" s="218" t="str">
        <x:v>DCE/CSV → Pass 5 canonical</x:v>
      </x:c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216" t="str">
        <x:v>177</x:v>
      </x:c>
      <x:c r="B20" s="217" t="str">
        <x:v>EULS</x:v>
      </x:c>
      <x:c r="C20" s="212" t="n">
        <x:v>1.98</x:v>
      </x:c>
      <x:c r="D20" s="212" t="n">
        <x:v>0.46</x:v>
      </x:c>
      <x:c r="E20" s="212" t="n">
        <x:v>0</x:v>
      </x:c>
      <x:c r="F20" s="212" t="n">
        <x:v>284.1586952648752</x:v>
      </x:c>
      <x:c r="G20" s="212" t="n">
        <x:v>284.1586952648752</x:v>
      </x:c>
      <x:c r="H20" s="212" t="n">
        <x:v>5.784678789736269</x:v>
      </x:c>
      <x:c r="I20" s="212" t="n">
        <x:v>7.630793336483799</x:v>
      </x:c>
      <x:c r="J20" s="212" t="n">
        <x:v>0</x:v>
      </x:c>
      <x:c r="K20" s="212" t="n">
        <x:v>0</x:v>
      </x:c>
      <x:c r="L20" s="212" t="n">
        <x:v>0</x:v>
      </x:c>
      <x:c r="M20" s="217" t="str">
        <x:v>NÉN</x:v>
      </x:c>
      <x:c r="N20" s="218" t="str">
        <x:v>DCE/CSV → Pass 5 canonical</x:v>
      </x:c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216" t="str">
        <x:v>178</x:v>
      </x:c>
      <x:c r="B21" s="217" t="str">
        <x:v>EULS</x:v>
      </x:c>
      <x:c r="C21" s="212" t="n">
        <x:v>1.23</x:v>
      </x:c>
      <x:c r="D21" s="212" t="n">
        <x:v>0.46</x:v>
      </x:c>
      <x:c r="E21" s="212" t="n">
        <x:v>0</x:v>
      </x:c>
      <x:c r="F21" s="212" t="n">
        <x:v>275.85595425892734</x:v>
      </x:c>
      <x:c r="G21" s="212" t="n">
        <x:v>275.85595425892734</x:v>
      </x:c>
      <x:c r="H21" s="212" t="n">
        <x:v>5.783701766742128</x:v>
      </x:c>
      <x:c r="I21" s="212" t="n">
        <x:v>7.4669307380468535</x:v>
      </x:c>
      <x:c r="J21" s="212" t="n">
        <x:v>0</x:v>
      </x:c>
      <x:c r="K21" s="212" t="n">
        <x:v>0</x:v>
      </x:c>
      <x:c r="L21" s="212" t="n">
        <x:v>0</x:v>
      </x:c>
      <x:c r="M21" s="217" t="str">
        <x:v>NÉN</x:v>
      </x:c>
      <x:c r="N21" s="218" t="str">
        <x:v>DCE/CSV → Pass 5 canonical</x:v>
      </x:c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219" t="str">
        <x:v>179</x:v>
      </x:c>
      <x:c r="B22" s="220" t="str">
        <x:v>EULS</x:v>
      </x:c>
      <x:c r="C22" s="221" t="n">
        <x:v>0.48</x:v>
      </x:c>
      <x:c r="D22" s="221" t="n">
        <x:v>0.46</x:v>
      </x:c>
      <x:c r="E22" s="221" t="n">
        <x:v>0</x:v>
      </x:c>
      <x:c r="F22" s="221" t="n">
        <x:v>273.6354927832871</x:v>
      </x:c>
      <x:c r="G22" s="221" t="n">
        <x:v>273.6354927832871</x:v>
      </x:c>
      <x:c r="H22" s="221" t="n">
        <x:v>5.78352852822504</x:v>
      </x:c>
      <x:c r="I22" s="221" t="n">
        <x:v>7.307158132585056</x:v>
      </x:c>
      <x:c r="J22" s="221" t="n">
        <x:v>0</x:v>
      </x:c>
      <x:c r="K22" s="221" t="n">
        <x:v>0</x:v>
      </x:c>
      <x:c r="L22" s="221" t="n">
        <x:v>0</x:v>
      </x:c>
      <x:c r="M22" s="220" t="str">
        <x:v>NÉN</x:v>
      </x:c>
      <x:c r="N22" s="222" t="str">
        <x:v>DCE/CSV → Pass 5 canonical</x:v>
      </x:c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204"/>
      <x:c r="D23" s="204"/>
      <x:c r="E23" s="204"/>
      <x:c r="F23" s="204"/>
      <x:c r="G23" s="204"/>
      <x:c r="H23" s="204"/>
      <x:c r="I23" s="204"/>
      <x:c r="J23" s="204"/>
      <x:c r="K23" s="204"/>
      <x:c r="L23" s="204"/>
      <x:c r="M23" s="155"/>
      <x:c r="N23" s="155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204"/>
      <x:c r="D24" s="204"/>
      <x:c r="E24" s="204"/>
      <x:c r="F24" s="204"/>
      <x:c r="G24" s="204"/>
      <x:c r="H24" s="204"/>
      <x:c r="I24" s="204"/>
      <x:c r="J24" s="204"/>
      <x:c r="K24" s="204"/>
      <x:c r="L24" s="204"/>
      <x:c r="M24" s="155"/>
      <x:c r="N24" s="155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204"/>
      <x:c r="D25" s="204"/>
      <x:c r="E25" s="204"/>
      <x:c r="F25" s="204"/>
      <x:c r="G25" s="204"/>
      <x:c r="H25" s="204"/>
      <x:c r="I25" s="204"/>
      <x:c r="J25" s="204"/>
      <x:c r="K25" s="204"/>
      <x:c r="L25" s="204"/>
      <x:c r="M25" s="155"/>
      <x:c r="N25" s="155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32" hidden="0" customWidth="1"/>
  </x:cols>
  <x:sheetData>
    <x:row r="1">
      <x:c r="A1" s="6" t="str">
        <x:v>KIỂM TRA TỪNG CỌC – PHẢN LỰC NHẬP ↔ Nd,max LOCKED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Cọc/Point</x:v>
      </x:c>
      <x:c r="B3" s="29" t="str">
        <x:v>Tổ hợp</x:v>
      </x:c>
      <x:c r="C3" s="29" t="str">
        <x:v>X (m)</x:v>
      </x:c>
      <x:c r="D3" s="29" t="str">
        <x:v>Y (m)</x:v>
      </x:c>
      <x:c r="E3" s="29" t="str">
        <x:v>Loại</x:v>
      </x:c>
      <x:c r="F3" s="29" t="str">
        <x:v>Nhu cầu (kN)</x:v>
      </x:c>
      <x:c r="G3" s="29" t="str">
        <x:v>Nd,max/cọc (kN)</x:v>
      </x:c>
      <x:c r="H3" s="29" t="str">
        <x:v>Hệ số sử dụng</x:v>
      </x:c>
      <x:c r="I3" s="29" t="str">
        <x:v>Trạng thái</x:v>
      </x:c>
      <x:c r="J3" s="29" t="str">
        <x:v>Cọc bất lợi</x:v>
      </x:c>
      <x:c r="K3" s="29" t="str">
        <x:v>Lý do khóa</x:v>
      </x:c>
      <x:c r="L3" s="30" t="str">
        <x:v>Nguồn capacity</x:v>
      </x:c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f>'07_DỮ_LIỆU_KẾT_CẤU'!A4</x:f>
        <x:v>136</x:v>
      </x:c>
      <x:c r="B4" s="172" t="str">
        <x:f>'07_DỮ_LIỆU_KẾT_CẤU'!B4</x:f>
        <x:v>EULS</x:v>
      </x:c>
      <x:c r="C4" s="172" t="n">
        <x:f>'07_DỮ_LIỆU_KẾT_CẤU'!C4</x:f>
        <x:v>1.8499999999999999</x:v>
      </x:c>
      <x:c r="D4" s="172" t="n">
        <x:f>'07_DỮ_LIỆU_KẾT_CẤU'!D4</x:f>
        <x:v>4.96</x:v>
      </x:c>
      <x:c r="E4" s="172" t="str">
        <x:f>'07_DỮ_LIỆU_KẾT_CẤU'!M4</x:f>
        <x:v>NÉN</x:v>
      </x:c>
      <x:c r="F4" s="198" t="n">
        <x:f>'07_DỮ_LIỆU_KẾT_CẤU'!G4</x:f>
        <x:v>286.91991774862805</x:v>
      </x:c>
      <x:c r="G4" s="199" t="n">
        <x:f>'06_SỨC_CHỊU_TẢI'!$B$8</x:f>
        <x:v>733.4161490683232</x:v>
      </x:c>
      <x:c r="H4" s="199" t="n">
        <x:f>IF(G4&gt;0,F4/G4,1/0)</x:f>
        <x:v>0.39121025370536167</x:v>
      </x:c>
      <x:c r="I4" s="200" t="str">
        <x:f>IF(K4&lt;&gt;"","KHÓA TÍNH",IF(H4&lt;=1,"ĐẠT","KHÔNG ĐẠT"))</x:f>
        <x:v>ĐẠT</x:v>
      </x:c>
      <x:c r="J4" s="200" t="str">
        <x:f>IF(H4=MAX($H$4:$H$22),"CỌC BẤT LỢI","")</x:f>
      </x:c>
      <x:c r="K4" s="172" t="str"/>
      <x:c r="L4" s="157" t="str">
        <x:v>Pass 2→6 LOCKED chain</x:v>
      </x:c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f>'07_DỮ_LIỆU_KẾT_CẤU'!A5</x:f>
        <x:v>137</x:v>
      </x:c>
      <x:c r="B5" s="172" t="str">
        <x:f>'07_DỮ_LIỆU_KẾT_CẤU'!B5</x:f>
        <x:v>EULS</x:v>
      </x:c>
      <x:c r="C5" s="172" t="n">
        <x:f>'07_DỮ_LIỆU_KẾT_CẤU'!C5</x:f>
        <x:v>1.68</x:v>
      </x:c>
      <x:c r="D5" s="172" t="n">
        <x:f>'07_DỮ_LIỆU_KẾT_CẤU'!D5</x:f>
        <x:v>4.03</x:v>
      </x:c>
      <x:c r="E5" s="172" t="str">
        <x:f>'07_DỮ_LIỆU_KẾT_CẤU'!M5</x:f>
        <x:v>NÉN</x:v>
      </x:c>
      <x:c r="F5" s="198" t="n">
        <x:f>'07_DỮ_LIỆU_KẾT_CẤU'!G5</x:f>
        <x:v>260.9278268061119</x:v>
      </x:c>
      <x:c r="G5" s="199" t="n">
        <x:f>'06_SỨC_CHỊU_TẢI'!$B$8</x:f>
        <x:v>733.4161490683232</x:v>
      </x:c>
      <x:c r="H5" s="199" t="n">
        <x:f>IF(G5&gt;0,F5/G5,1/0)</x:f>
        <x:v>0.3557704955605014</x:v>
      </x:c>
      <x:c r="I5" s="200" t="str">
        <x:f>IF(K5&lt;&gt;"","KHÓA TÍNH",IF(H5&lt;=1,"ĐẠT","KHÔNG ĐẠT"))</x:f>
        <x:v>ĐẠT</x:v>
      </x:c>
      <x:c r="J5" s="200" t="str">
        <x:f>IF(H5=MAX($H$4:$H$22),"CỌC BẤT LỢI","")</x:f>
      </x:c>
      <x:c r="K5" s="172" t="str"/>
      <x:c r="L5" s="157" t="str">
        <x:v>Pass 2→6 LOCKED chain</x:v>
      </x:c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f>'07_DỮ_LIỆU_KẾT_CẤU'!A6</x:f>
        <x:v>144</x:v>
      </x:c>
      <x:c r="B6" s="172" t="str">
        <x:f>'07_DỮ_LIỆU_KẾT_CẤU'!B6</x:f>
        <x:v>EULS</x:v>
      </x:c>
      <x:c r="C6" s="172" t="n">
        <x:f>'07_DỮ_LIỆU_KẾT_CẤU'!C6</x:f>
        <x:v>0.75</x:v>
      </x:c>
      <x:c r="D6" s="172" t="n">
        <x:f>'07_DỮ_LIỆU_KẾT_CẤU'!D6</x:f>
        <x:v>4.03</x:v>
      </x:c>
      <x:c r="E6" s="172" t="str">
        <x:f>'07_DỮ_LIỆU_KẾT_CẤU'!M6</x:f>
        <x:v>NÉN</x:v>
      </x:c>
      <x:c r="F6" s="198" t="n">
        <x:f>'07_DỮ_LIỆU_KẾT_CẤU'!G6</x:f>
        <x:v>270.8934985824897</x:v>
      </x:c>
      <x:c r="G6" s="199" t="n">
        <x:f>'06_SỨC_CHỊU_TẢI'!$B$8</x:f>
        <x:v>733.4161490683232</x:v>
      </x:c>
      <x:c r="H6" s="199" t="n">
        <x:f>IF(G6&gt;0,F6/G6,1/0)</x:f>
        <x:v>0.3693585134805287</x:v>
      </x:c>
      <x:c r="I6" s="200" t="str">
        <x:f>IF(K6&lt;&gt;"","KHÓA TÍNH",IF(H6&lt;=1,"ĐẠT","KHÔNG ĐẠT"))</x:f>
        <x:v>ĐẠT</x:v>
      </x:c>
      <x:c r="J6" s="200" t="str">
        <x:f>IF(H6=MAX($H$4:$H$22),"CỌC BẤT LỢI","")</x:f>
      </x:c>
      <x:c r="K6" s="172" t="str"/>
      <x:c r="L6" s="157" t="str">
        <x:v>Pass 2→6 LOCKED chain</x:v>
      </x:c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f>'07_DỮ_LIỆU_KẾT_CẤU'!A7</x:f>
        <x:v>145</x:v>
      </x:c>
      <x:c r="B7" s="172" t="str">
        <x:f>'07_DỮ_LIỆU_KẾT_CẤU'!B7</x:f>
        <x:v>EULS</x:v>
      </x:c>
      <x:c r="C7" s="172" t="n">
        <x:f>'07_DỮ_LIỆU_KẾT_CẤU'!C7</x:f>
        <x:v>0.75</x:v>
      </x:c>
      <x:c r="D7" s="172" t="n">
        <x:f>'07_DỮ_LIỆU_KẾT_CẤU'!D7</x:f>
        <x:v>4.96</x:v>
      </x:c>
      <x:c r="E7" s="172" t="str">
        <x:f>'07_DỮ_LIỆU_KẾT_CẤU'!M7</x:f>
        <x:v>NÉN</x:v>
      </x:c>
      <x:c r="F7" s="198" t="n">
        <x:f>'07_DỮ_LIỆU_KẾT_CẤU'!G7</x:f>
        <x:v>285.1184277095996</x:v>
      </x:c>
      <x:c r="G7" s="199" t="n">
        <x:f>'06_SỨC_CHỊU_TẢI'!$B$8</x:f>
        <x:v>733.4161490683232</x:v>
      </x:c>
      <x:c r="H7" s="199" t="n">
        <x:f>IF(G7&gt;0,F7/G7,1/0)</x:f>
        <x:v>0.3887539537707107</x:v>
      </x:c>
      <x:c r="I7" s="200" t="str">
        <x:f>IF(K7&lt;&gt;"","KHÓA TÍNH",IF(H7&lt;=1,"ĐẠT","KHÔNG ĐẠT"))</x:f>
        <x:v>ĐẠT</x:v>
      </x:c>
      <x:c r="J7" s="200" t="str">
        <x:f>IF(H7=MAX($H$4:$H$22),"CỌC BẤT LỢI","")</x:f>
      </x:c>
      <x:c r="K7" s="172" t="str"/>
      <x:c r="L7" s="157" t="str">
        <x:v>Pass 2→6 LOCKED chain</x:v>
      </x:c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f>'07_DỮ_LIỆU_KẾT_CẤU'!A8</x:f>
        <x:v>146</x:v>
      </x:c>
      <x:c r="B8" s="172" t="str">
        <x:f>'07_DỮ_LIỆU_KẾT_CẤU'!B8</x:f>
        <x:v>EULS</x:v>
      </x:c>
      <x:c r="C8" s="172" t="n">
        <x:f>'07_DỮ_LIỆU_KẾT_CẤU'!C8</x:f>
        <x:v>3.33</x:v>
      </x:c>
      <x:c r="D8" s="172" t="n">
        <x:f>'07_DỮ_LIỆU_KẾT_CẤU'!D8</x:f>
        <x:v>5.39</x:v>
      </x:c>
      <x:c r="E8" s="172" t="str">
        <x:f>'07_DỮ_LIỆU_KẾT_CẤU'!M8</x:f>
        <x:v>NÉN</x:v>
      </x:c>
      <x:c r="F8" s="198" t="n">
        <x:f>'07_DỮ_LIỆU_KẾT_CẤU'!G8</x:f>
        <x:v>297.4859063516979</x:v>
      </x:c>
      <x:c r="G8" s="199" t="n">
        <x:f>'06_SỨC_CHỊU_TẢI'!$B$8</x:f>
        <x:v>733.4161490683232</x:v>
      </x:c>
      <x:c r="H8" s="199" t="n">
        <x:f>IF(G8&gt;0,F8/G8,1/0)</x:f>
        <x:v>0.4056167930438969</x:v>
      </x:c>
      <x:c r="I8" s="200" t="str">
        <x:f>IF(K8&lt;&gt;"","KHÓA TÍNH",IF(H8&lt;=1,"ĐẠT","KHÔNG ĐẠT"))</x:f>
        <x:v>ĐẠT</x:v>
      </x:c>
      <x:c r="J8" s="200" t="str">
        <x:f>IF(H8=MAX($H$4:$H$22),"CỌC BẤT LỢI","")</x:f>
      </x:c>
      <x:c r="K8" s="172" t="str"/>
      <x:c r="L8" s="157" t="str">
        <x:v>Pass 2→6 LOCKED chain</x:v>
      </x:c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f>'07_DỮ_LIỆU_KẾT_CẤU'!A9</x:f>
        <x:v>147</x:v>
      </x:c>
      <x:c r="B9" s="172" t="str">
        <x:f>'07_DỮ_LIỆU_KẾT_CẤU'!B9</x:f>
        <x:v>EULS</x:v>
      </x:c>
      <x:c r="C9" s="172" t="n">
        <x:f>'07_DỮ_LIỆU_KẾT_CẤU'!C9</x:f>
        <x:v>4.07</x:v>
      </x:c>
      <x:c r="D9" s="172" t="n">
        <x:f>'07_DỮ_LIỆU_KẾT_CẤU'!D9</x:f>
        <x:v>5.48</x:v>
      </x:c>
      <x:c r="E9" s="172" t="str">
        <x:f>'07_DỮ_LIỆU_KẾT_CẤU'!M9</x:f>
        <x:v>NÉN</x:v>
      </x:c>
      <x:c r="F9" s="198" t="n">
        <x:f>'07_DỮ_LIỆU_KẾT_CẤU'!G9</x:f>
        <x:v>300.3376508670345</x:v>
      </x:c>
      <x:c r="G9" s="199" t="n">
        <x:f>'06_SỨC_CHỊU_TẢI'!$B$8</x:f>
        <x:v>733.4161490683232</x:v>
      </x:c>
      <x:c r="H9" s="199" t="n">
        <x:f>IF(G9&gt;0,F9/G9,1/0)</x:f>
        <x:v>0.40950509645657635</x:v>
      </x:c>
      <x:c r="I9" s="200" t="str">
        <x:f>IF(K9&lt;&gt;"","KHÓA TÍNH",IF(H9&lt;=1,"ĐẠT","KHÔNG ĐẠT"))</x:f>
        <x:v>ĐẠT</x:v>
      </x:c>
      <x:c r="J9" s="200" t="str">
        <x:f>IF(H9=MAX($H$4:$H$22),"CỌC BẤT LỢI","")</x:f>
      </x:c>
      <x:c r="K9" s="172" t="str"/>
      <x:c r="L9" s="157" t="str">
        <x:v>Pass 2→6 LOCKED chain</x:v>
      </x:c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f>'07_DỮ_LIỆU_KẾT_CẤU'!A10</x:f>
        <x:v>148</x:v>
      </x:c>
      <x:c r="B10" s="172" t="str">
        <x:f>'07_DỮ_LIỆU_KẾT_CẤU'!B10</x:f>
        <x:v>EULS</x:v>
      </x:c>
      <x:c r="C10" s="172" t="n">
        <x:f>'07_DỮ_LIỆU_KẾT_CẤU'!C10</x:f>
        <x:v>4.81</x:v>
      </x:c>
      <x:c r="D10" s="172" t="n">
        <x:f>'07_DỮ_LIỆU_KẾT_CẤU'!D10</x:f>
        <x:v>5.57</x:v>
      </x:c>
      <x:c r="E10" s="172" t="str">
        <x:f>'07_DỮ_LIỆU_KẾT_CẤU'!M10</x:f>
        <x:v>NÉN</x:v>
      </x:c>
      <x:c r="F10" s="198" t="n">
        <x:f>'07_DỮ_LIỆU_KẾT_CẤU'!G10</x:f>
        <x:v>300.04555821930734</x:v>
      </x:c>
      <x:c r="G10" s="199" t="n">
        <x:f>'06_SỨC_CHỊU_TẢI'!$B$8</x:f>
        <x:v>733.4161490683232</x:v>
      </x:c>
      <x:c r="H10" s="199" t="n">
        <x:f>IF(G10&gt;0,F10/G10,1/0)</x:f>
        <x:v>0.40910683327666386</x:v>
      </x:c>
      <x:c r="I10" s="200" t="str">
        <x:f>IF(K10&lt;&gt;"","KHÓA TÍNH",IF(H10&lt;=1,"ĐẠT","KHÔNG ĐẠT"))</x:f>
        <x:v>ĐẠT</x:v>
      </x:c>
      <x:c r="J10" s="200" t="str">
        <x:f>IF(H10=MAX($H$4:$H$22),"CỌC BẤT LỢI","")</x:f>
      </x:c>
      <x:c r="K10" s="172" t="str"/>
      <x:c r="L10" s="157" t="str">
        <x:v>Pass 2→6 LOCKED chain</x:v>
      </x:c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f>'07_DỮ_LIỆU_KẾT_CẤU'!A11</x:f>
        <x:v>159</x:v>
      </x:c>
      <x:c r="B11" s="172" t="str">
        <x:f>'07_DỮ_LIỆU_KẾT_CẤU'!B11</x:f>
        <x:v>EULS</x:v>
      </x:c>
      <x:c r="C11" s="172" t="n">
        <x:f>'07_DỮ_LIỆU_KẾT_CẤU'!C11</x:f>
        <x:v>7.19</x:v>
      </x:c>
      <x:c r="D11" s="172" t="n">
        <x:f>'07_DỮ_LIỆU_KẾT_CẤU'!D11</x:f>
        <x:v>5.72</x:v>
      </x:c>
      <x:c r="E11" s="172" t="str">
        <x:f>'07_DỮ_LIỆU_KẾT_CẤU'!M11</x:f>
        <x:v>NÉN</x:v>
      </x:c>
      <x:c r="F11" s="198" t="n">
        <x:f>'07_DỮ_LIỆU_KẾT_CẤU'!G11</x:f>
        <x:v>303.4136821443748</x:v>
      </x:c>
      <x:c r="G11" s="199" t="n">
        <x:f>'06_SỨC_CHỊU_TẢI'!$B$8</x:f>
        <x:v>733.4161490683232</x:v>
      </x:c>
      <x:c r="H11" s="199" t="n">
        <x:f>IF(G11&gt;0,F11/G11,1/0)</x:f>
        <x:v>0.41369921091839706</x:v>
      </x:c>
      <x:c r="I11" s="200" t="str">
        <x:f>IF(K11&lt;&gt;"","KHÓA TÍNH",IF(H11&lt;=1,"ĐẠT","KHÔNG ĐẠT"))</x:f>
        <x:v>ĐẠT</x:v>
      </x:c>
      <x:c r="J11" s="200" t="str">
        <x:f>IF(H11=MAX($H$4:$H$22),"CỌC BẤT LỢI","")</x:f>
      </x:c>
      <x:c r="K11" s="172" t="str"/>
      <x:c r="L11" s="157" t="str">
        <x:v>Pass 2→6 LOCKED chain</x:v>
      </x:c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6" t="str">
        <x:f>'07_DỮ_LIỆU_KẾT_CẤU'!A12</x:f>
        <x:v>160</x:v>
      </x:c>
      <x:c r="B12" s="172" t="str">
        <x:f>'07_DỮ_LIỆU_KẾT_CẤU'!B12</x:f>
        <x:v>EULS</x:v>
      </x:c>
      <x:c r="C12" s="172" t="n">
        <x:f>'07_DỮ_LIỆU_KẾT_CẤU'!C12</x:f>
        <x:v>7.93</x:v>
      </x:c>
      <x:c r="D12" s="172" t="n">
        <x:f>'07_DỮ_LIỆU_KẾT_CẤU'!D12</x:f>
        <x:v>5.81</x:v>
      </x:c>
      <x:c r="E12" s="172" t="str">
        <x:f>'07_DỮ_LIỆU_KẾT_CẤU'!M12</x:f>
        <x:v>NÉN</x:v>
      </x:c>
      <x:c r="F12" s="198" t="n">
        <x:f>'07_DỮ_LIỆU_KẾT_CẤU'!G12</x:f>
        <x:v>343.63918974684805</x:v>
      </x:c>
      <x:c r="G12" s="199" t="n">
        <x:f>'06_SỨC_CHỊU_TẢI'!$B$8</x:f>
        <x:v>733.4161490683232</x:v>
      </x:c>
      <x:c r="H12" s="199" t="n">
        <x:f>IF(G12&gt;0,F12/G12,1/0)</x:f>
        <x:v>0.46854598195496716</x:v>
      </x:c>
      <x:c r="I12" s="200" t="str">
        <x:f>IF(K12&lt;&gt;"","KHÓA TÍNH",IF(H12&lt;=1,"ĐẠT","KHÔNG ĐẠT"))</x:f>
        <x:v>ĐẠT</x:v>
      </x:c>
      <x:c r="J12" s="200" t="str">
        <x:f>IF(H12=MAX($H$4:$H$22),"CỌC BẤT LỢI","")</x:f>
      </x:c>
      <x:c r="K12" s="172" t="str"/>
      <x:c r="L12" s="157" t="str">
        <x:v>Pass 2→6 LOCKED chain</x:v>
      </x:c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6" t="str">
        <x:f>'07_DỮ_LIỆU_KẾT_CẤU'!A13</x:f>
        <x:v>161</x:v>
      </x:c>
      <x:c r="B13" s="172" t="str">
        <x:f>'07_DỮ_LIỆU_KẾT_CẤU'!B13</x:f>
        <x:v>EULS</x:v>
      </x:c>
      <x:c r="C13" s="172" t="n">
        <x:f>'07_DỮ_LIỆU_KẾT_CẤU'!C13</x:f>
        <x:v>8.2</x:v>
      </x:c>
      <x:c r="D13" s="172" t="n">
        <x:f>'07_DỮ_LIỆU_KẾT_CẤU'!D13</x:f>
        <x:v>5.11</x:v>
      </x:c>
      <x:c r="E13" s="172" t="str">
        <x:f>'07_DỮ_LIỆU_KẾT_CẤU'!M13</x:f>
        <x:v>NÉN</x:v>
      </x:c>
      <x:c r="F13" s="198" t="n">
        <x:f>'07_DỮ_LIỆU_KẾT_CẤU'!G13</x:f>
        <x:v>280.22771574243876</x:v>
      </x:c>
      <x:c r="G13" s="199" t="n">
        <x:f>'06_SỨC_CHỊU_TẢI'!$B$8</x:f>
        <x:v>733.4161490683232</x:v>
      </x:c>
      <x:c r="H13" s="199" t="n">
        <x:f>IF(G13&gt;0,F13/G13,1/0)</x:f>
        <x:v>0.3820855541542397</x:v>
      </x:c>
      <x:c r="I13" s="200" t="str">
        <x:f>IF(K13&lt;&gt;"","KHÓA TÍNH",IF(H13&lt;=1,"ĐẠT","KHÔNG ĐẠT"))</x:f>
        <x:v>ĐẠT</x:v>
      </x:c>
      <x:c r="J13" s="200" t="str">
        <x:f>IF(H13=MAX($H$4:$H$22),"CỌC BẤT LỢI","")</x:f>
      </x:c>
      <x:c r="K13" s="172" t="str"/>
      <x:c r="L13" s="157" t="str">
        <x:v>Pass 2→6 LOCKED chain</x:v>
      </x:c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6" t="str">
        <x:f>'07_DỮ_LIỆU_KẾT_CẤU'!A14</x:f>
        <x:v>167</x:v>
      </x:c>
      <x:c r="B14" s="172" t="str">
        <x:f>'07_DỮ_LIỆU_KẾT_CẤU'!B14</x:f>
        <x:v>EULS</x:v>
      </x:c>
      <x:c r="C14" s="172" t="n">
        <x:f>'07_DỮ_LIỆU_KẾT_CẤU'!C14</x:f>
        <x:v>6.9</x:v>
      </x:c>
      <x:c r="D14" s="172" t="n">
        <x:f>'07_DỮ_LIỆU_KẾT_CẤU'!D14</x:f>
        <x:v>0.46</x:v>
      </x:c>
      <x:c r="E14" s="172" t="str">
        <x:f>'07_DỮ_LIỆU_KẾT_CẤU'!M14</x:f>
        <x:v>NÉN</x:v>
      </x:c>
      <x:c r="F14" s="198" t="n">
        <x:f>'07_DỮ_LIỆU_KẾT_CẤU'!G14</x:f>
        <x:v>310.9017790337088</x:v>
      </x:c>
      <x:c r="G14" s="199" t="n">
        <x:f>'06_SỨC_CHỊU_TẢI'!$B$8</x:f>
        <x:v>733.4161490683232</x:v>
      </x:c>
      <x:c r="H14" s="199" t="n">
        <x:f>IF(G14&gt;0,F14/G14,1/0)</x:f>
        <x:v>0.42390909912285824</x:v>
      </x:c>
      <x:c r="I14" s="200" t="str">
        <x:f>IF(K14&lt;&gt;"","KHÓA TÍNH",IF(H14&lt;=1,"ĐẠT","KHÔNG ĐẠT"))</x:f>
        <x:v>ĐẠT</x:v>
      </x:c>
      <x:c r="J14" s="200" t="str">
        <x:f>IF(H14=MAX($H$4:$H$22),"CỌC BẤT LỢI","")</x:f>
      </x:c>
      <x:c r="K14" s="172" t="str"/>
      <x:c r="L14" s="157" t="str">
        <x:v>Pass 2→6 LOCKED chain</x:v>
      </x:c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6" t="str">
        <x:f>'07_DỮ_LIỆU_KẾT_CẤU'!A15</x:f>
        <x:v>168</x:v>
      </x:c>
      <x:c r="B15" s="172" t="str">
        <x:f>'07_DỮ_LIỆU_KẾT_CẤU'!B15</x:f>
        <x:v>EULS</x:v>
      </x:c>
      <x:c r="C15" s="172" t="n">
        <x:f>'07_DỮ_LIỆU_KẾT_CẤU'!C15</x:f>
        <x:v>7.65</x:v>
      </x:c>
      <x:c r="D15" s="172" t="n">
        <x:f>'07_DỮ_LIỆU_KẾT_CẤU'!D15</x:f>
        <x:v>0.46</x:v>
      </x:c>
      <x:c r="E15" s="172" t="str">
        <x:f>'07_DỮ_LIỆU_KẾT_CẤU'!M15</x:f>
        <x:v>NÉN</x:v>
      </x:c>
      <x:c r="F15" s="198" t="n">
        <x:f>'07_DỮ_LIỆU_KẾT_CẤU'!G15</x:f>
        <x:v>365.2920507005818</x:v>
      </x:c>
      <x:c r="G15" s="199" t="n">
        <x:f>'06_SỨC_CHỊU_TẢI'!$B$8</x:f>
        <x:v>733.4161490683232</x:v>
      </x:c>
      <x:c r="H15" s="199" t="n">
        <x:f>IF(G15&gt;0,F15/G15,1/0)</x:f>
        <x:v>0.4980692764464232</x:v>
      </x:c>
      <x:c r="I15" s="200" t="str">
        <x:f>IF(K15&lt;&gt;"","KHÓA TÍNH",IF(H15&lt;=1,"ĐẠT","KHÔNG ĐẠT"))</x:f>
        <x:v>ĐẠT</x:v>
      </x:c>
      <x:c r="J15" s="200" t="str">
        <x:f>IF(H15=MAX($H$4:$H$22),"CỌC BẤT LỢI","")</x:f>
        <x:v>CỌC BẤT LỢI</x:v>
      </x:c>
      <x:c r="K15" s="172" t="str"/>
      <x:c r="L15" s="157" t="str">
        <x:v>Pass 2→6 LOCKED chain</x:v>
      </x:c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6" t="str">
        <x:f>'07_DỮ_LIỆU_KẾT_CẤU'!A16</x:f>
        <x:v>169</x:v>
      </x:c>
      <x:c r="B16" s="172" t="str">
        <x:f>'07_DỮ_LIỆU_KẾT_CẤU'!B16</x:f>
        <x:v>EULS</x:v>
      </x:c>
      <x:c r="C16" s="172" t="n">
        <x:f>'07_DỮ_LIỆU_KẾT_CẤU'!C16</x:f>
        <x:v>7.65</x:v>
      </x:c>
      <x:c r="D16" s="172" t="n">
        <x:f>'07_DỮ_LIỆU_KẾT_CẤU'!D16</x:f>
        <x:v>1.1</x:v>
      </x:c>
      <x:c r="E16" s="172" t="str">
        <x:f>'07_DỮ_LIỆU_KẾT_CẤU'!M16</x:f>
        <x:v>NÉN</x:v>
      </x:c>
      <x:c r="F16" s="198" t="n">
        <x:f>'07_DỮ_LIỆU_KẾT_CẤU'!G16</x:f>
        <x:v>290.52138193625683</x:v>
      </x:c>
      <x:c r="G16" s="199" t="n">
        <x:f>'06_SỨC_CHỊU_TẢI'!$B$8</x:f>
        <x:v>733.4161490683232</x:v>
      </x:c>
      <x:c r="H16" s="199" t="n">
        <x:f>IF(G16&gt;0,F16/G16,1/0)</x:f>
        <x:v>0.3961207866847674</x:v>
      </x:c>
      <x:c r="I16" s="200" t="str">
        <x:f>IF(K16&lt;&gt;"","KHÓA TÍNH",IF(H16&lt;=1,"ĐẠT","KHÔNG ĐẠT"))</x:f>
        <x:v>ĐẠT</x:v>
      </x:c>
      <x:c r="J16" s="200" t="str">
        <x:f>IF(H16=MAX($H$4:$H$22),"CỌC BẤT LỢI","")</x:f>
      </x:c>
      <x:c r="K16" s="172" t="str"/>
      <x:c r="L16" s="157" t="str">
        <x:v>Pass 2→6 LOCKED chain</x:v>
      </x:c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6" t="str">
        <x:f>'07_DỮ_LIỆU_KẾT_CẤU'!A17</x:f>
        <x:v>170</x:v>
      </x:c>
      <x:c r="B17" s="172" t="str">
        <x:f>'07_DỮ_LIỆU_KẾT_CẤU'!B17</x:f>
        <x:v>EULS</x:v>
      </x:c>
      <x:c r="C17" s="172" t="n">
        <x:f>'07_DỮ_LIỆU_KẾT_CẤU'!C17</x:f>
        <x:v>4.82</x:v>
      </x:c>
      <x:c r="D17" s="172" t="n">
        <x:f>'07_DỮ_LIỆU_KẾT_CẤU'!D17</x:f>
        <x:v>0.49</x:v>
      </x:c>
      <x:c r="E17" s="172" t="str">
        <x:f>'07_DỮ_LIỆU_KẾT_CẤU'!M17</x:f>
        <x:v>NÉN</x:v>
      </x:c>
      <x:c r="F17" s="198" t="n">
        <x:f>'07_DỮ_LIỆU_KẾT_CẤU'!G17</x:f>
        <x:v>285.949573636969</x:v>
      </x:c>
      <x:c r="G17" s="199" t="n">
        <x:f>'06_SỨC_CHỊU_TẢI'!$B$8</x:f>
        <x:v>733.4161490683232</x:v>
      </x:c>
      <x:c r="H17" s="199" t="n">
        <x:f>IF(G17&gt;0,F17/G17,1/0)</x:f>
        <x:v>0.38988720660189696</x:v>
      </x:c>
      <x:c r="I17" s="200" t="str">
        <x:f>IF(K17&lt;&gt;"","KHÓA TÍNH",IF(H17&lt;=1,"ĐẠT","KHÔNG ĐẠT"))</x:f>
        <x:v>ĐẠT</x:v>
      </x:c>
      <x:c r="J17" s="200" t="str">
        <x:f>IF(H17=MAX($H$4:$H$22),"CỌC BẤT LỢI","")</x:f>
      </x:c>
      <x:c r="K17" s="172" t="str"/>
      <x:c r="L17" s="157" t="str">
        <x:v>Pass 2→6 LOCKED chain</x:v>
      </x:c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6" t="str">
        <x:f>'07_DỮ_LIỆU_KẾT_CẤU'!A18</x:f>
        <x:v>171</x:v>
      </x:c>
      <x:c r="B18" s="172" t="str">
        <x:f>'07_DỮ_LIỆU_KẾT_CẤU'!B18</x:f>
        <x:v>EULS</x:v>
      </x:c>
      <x:c r="C18" s="172" t="n">
        <x:f>'07_DỮ_LIỆU_KẾT_CẤU'!C18</x:f>
        <x:v>4.07</x:v>
      </x:c>
      <x:c r="D18" s="172" t="n">
        <x:f>'07_DỮ_LIỆU_KẾT_CẤU'!D18</x:f>
        <x:v>0.49</x:v>
      </x:c>
      <x:c r="E18" s="172" t="str">
        <x:f>'07_DỮ_LIỆU_KẾT_CẤU'!M18</x:f>
        <x:v>NÉN</x:v>
      </x:c>
      <x:c r="F18" s="198" t="n">
        <x:f>'07_DỮ_LIỆU_KẾT_CẤU'!G18</x:f>
        <x:v>285.78082587948563</x:v>
      </x:c>
      <x:c r="G18" s="199" t="n">
        <x:f>'06_SỨC_CHỊU_TẢI'!$B$8</x:f>
        <x:v>733.4161490683232</x:v>
      </x:c>
      <x:c r="H18" s="199" t="n">
        <x:f>IF(G18&gt;0,F18/G18,1/0)</x:f>
        <x:v>0.3896571220070899</x:v>
      </x:c>
      <x:c r="I18" s="200" t="str">
        <x:f>IF(K18&lt;&gt;"","KHÓA TÍNH",IF(H18&lt;=1,"ĐẠT","KHÔNG ĐẠT"))</x:f>
        <x:v>ĐẠT</x:v>
      </x:c>
      <x:c r="J18" s="200" t="str">
        <x:f>IF(H18=MAX($H$4:$H$22),"CỌC BẤT LỢI","")</x:f>
      </x:c>
      <x:c r="K18" s="172" t="str"/>
      <x:c r="L18" s="157" t="str">
        <x:v>Pass 2→6 LOCKED chain</x:v>
      </x:c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6" t="str">
        <x:f>'07_DỮ_LIỆU_KẾT_CẤU'!A19</x:f>
        <x:v>172</x:v>
      </x:c>
      <x:c r="B19" s="172" t="str">
        <x:f>'07_DỮ_LIỆU_KẾT_CẤU'!B19</x:f>
        <x:v>EULS</x:v>
      </x:c>
      <x:c r="C19" s="172" t="n">
        <x:f>'07_DỮ_LIỆU_KẾT_CẤU'!C19</x:f>
        <x:v>3.32</x:v>
      </x:c>
      <x:c r="D19" s="172" t="n">
        <x:f>'07_DỮ_LIỆU_KẾT_CẤU'!D19</x:f>
        <x:v>0.49</x:v>
      </x:c>
      <x:c r="E19" s="172" t="str">
        <x:f>'07_DỮ_LIỆU_KẾT_CẤU'!M19</x:f>
        <x:v>NÉN</x:v>
      </x:c>
      <x:c r="F19" s="198" t="n">
        <x:f>'07_DỮ_LIỆU_KẾT_CẤU'!G19</x:f>
        <x:v>282.45435302362756</x:v>
      </x:c>
      <x:c r="G19" s="199" t="n">
        <x:f>'06_SỨC_CHỊU_TẢI'!$B$8</x:f>
        <x:v>733.4161490683232</x:v>
      </x:c>
      <x:c r="H19" s="199" t="n">
        <x:f>IF(G19&gt;0,F19/G19,1/0)</x:f>
        <x:v>0.3851215348645327</x:v>
      </x:c>
      <x:c r="I19" s="200" t="str">
        <x:f>IF(K19&lt;&gt;"","KHÓA TÍNH",IF(H19&lt;=1,"ĐẠT","KHÔNG ĐẠT"))</x:f>
        <x:v>ĐẠT</x:v>
      </x:c>
      <x:c r="J19" s="200" t="str">
        <x:f>IF(H19=MAX($H$4:$H$22),"CỌC BẤT LỢI","")</x:f>
      </x:c>
      <x:c r="K19" s="172" t="str"/>
      <x:c r="L19" s="157" t="str">
        <x:v>Pass 2→6 LOCKED chain</x:v>
      </x:c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6" t="str">
        <x:f>'07_DỮ_LIỆU_KẾT_CẤU'!A20</x:f>
        <x:v>177</x:v>
      </x:c>
      <x:c r="B20" s="172" t="str">
        <x:f>'07_DỮ_LIỆU_KẾT_CẤU'!B20</x:f>
        <x:v>EULS</x:v>
      </x:c>
      <x:c r="C20" s="172" t="n">
        <x:f>'07_DỮ_LIỆU_KẾT_CẤU'!C20</x:f>
        <x:v>1.98</x:v>
      </x:c>
      <x:c r="D20" s="172" t="n">
        <x:f>'07_DỮ_LIỆU_KẾT_CẤU'!D20</x:f>
        <x:v>0.46</x:v>
      </x:c>
      <x:c r="E20" s="172" t="str">
        <x:f>'07_DỮ_LIỆU_KẾT_CẤU'!M20</x:f>
        <x:v>NÉN</x:v>
      </x:c>
      <x:c r="F20" s="198" t="n">
        <x:f>'07_DỮ_LIỆU_KẾT_CẤU'!G20</x:f>
        <x:v>284.1586952648752</x:v>
      </x:c>
      <x:c r="G20" s="199" t="n">
        <x:f>'06_SỨC_CHỊU_TẢI'!$B$8</x:f>
        <x:v>733.4161490683232</x:v>
      </x:c>
      <x:c r="H20" s="199" t="n">
        <x:f>IF(G20&gt;0,F20/G20,1/0)</x:f>
        <x:v>0.38744537548818503</x:v>
      </x:c>
      <x:c r="I20" s="200" t="str">
        <x:f>IF(K20&lt;&gt;"","KHÓA TÍNH",IF(H20&lt;=1,"ĐẠT","KHÔNG ĐẠT"))</x:f>
        <x:v>ĐẠT</x:v>
      </x:c>
      <x:c r="J20" s="200" t="str">
        <x:f>IF(H20=MAX($H$4:$H$22),"CỌC BẤT LỢI","")</x:f>
      </x:c>
      <x:c r="K20" s="172" t="str"/>
      <x:c r="L20" s="157" t="str">
        <x:v>Pass 2→6 LOCKED chain</x:v>
      </x:c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6" t="str">
        <x:f>'07_DỮ_LIỆU_KẾT_CẤU'!A21</x:f>
        <x:v>178</x:v>
      </x:c>
      <x:c r="B21" s="172" t="str">
        <x:f>'07_DỮ_LIỆU_KẾT_CẤU'!B21</x:f>
        <x:v>EULS</x:v>
      </x:c>
      <x:c r="C21" s="172" t="n">
        <x:f>'07_DỮ_LIỆU_KẾT_CẤU'!C21</x:f>
        <x:v>1.23</x:v>
      </x:c>
      <x:c r="D21" s="172" t="n">
        <x:f>'07_DỮ_LIỆU_KẾT_CẤU'!D21</x:f>
        <x:v>0.46</x:v>
      </x:c>
      <x:c r="E21" s="172" t="str">
        <x:f>'07_DỮ_LIỆU_KẾT_CẤU'!M21</x:f>
        <x:v>NÉN</x:v>
      </x:c>
      <x:c r="F21" s="198" t="n">
        <x:f>'07_DỮ_LIỆU_KẾT_CẤU'!G21</x:f>
        <x:v>275.85595425892734</x:v>
      </x:c>
      <x:c r="G21" s="199" t="n">
        <x:f>'06_SỨC_CHỊU_TẢI'!$B$8</x:f>
        <x:v>733.4161490683232</x:v>
      </x:c>
      <x:c r="H21" s="199" t="n">
        <x:f>IF(G21&gt;0,F21/G21,1/0)</x:f>
        <x:v>0.37612473438082056</x:v>
      </x:c>
      <x:c r="I21" s="200" t="str">
        <x:f>IF(K21&lt;&gt;"","KHÓA TÍNH",IF(H21&lt;=1,"ĐẠT","KHÔNG ĐẠT"))</x:f>
        <x:v>ĐẠT</x:v>
      </x:c>
      <x:c r="J21" s="200" t="str">
        <x:f>IF(H21=MAX($H$4:$H$22),"CỌC BẤT LỢI","")</x:f>
      </x:c>
      <x:c r="K21" s="172" t="str"/>
      <x:c r="L21" s="157" t="str">
        <x:v>Pass 2→6 LOCKED chain</x:v>
      </x:c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8" t="str">
        <x:f>'07_DỮ_LIỆU_KẾT_CẤU'!A22</x:f>
        <x:v>179</x:v>
      </x:c>
      <x:c r="B22" s="174" t="str">
        <x:f>'07_DỮ_LIỆU_KẾT_CẤU'!B22</x:f>
        <x:v>EULS</x:v>
      </x:c>
      <x:c r="C22" s="174" t="n">
        <x:f>'07_DỮ_LIỆU_KẾT_CẤU'!C22</x:f>
        <x:v>0.48</x:v>
      </x:c>
      <x:c r="D22" s="174" t="n">
        <x:f>'07_DỮ_LIỆU_KẾT_CẤU'!D22</x:f>
        <x:v>0.46</x:v>
      </x:c>
      <x:c r="E22" s="174" t="str">
        <x:f>'07_DỮ_LIỆU_KẾT_CẤU'!M22</x:f>
        <x:v>NÉN</x:v>
      </x:c>
      <x:c r="F22" s="201" t="n">
        <x:f>'07_DỮ_LIỆU_KẾT_CẤU'!G22</x:f>
        <x:v>273.6354927832871</x:v>
      </x:c>
      <x:c r="G22" s="202" t="n">
        <x:f>'06_SỨC_CHỊU_TẢI'!$B$8</x:f>
        <x:v>733.4161490683232</x:v>
      </x:c>
      <x:c r="H22" s="202" t="n">
        <x:f>IF(G22&gt;0,F22/G22,1/0)</x:f>
        <x:v>0.3730971742726051</x:v>
      </x:c>
      <x:c r="I22" s="203" t="str">
        <x:f>IF(K22&lt;&gt;"","KHÓA TÍNH",IF(H22&lt;=1,"ĐẠT","KHÔNG ĐẠT"))</x:f>
        <x:v>ĐẠT</x:v>
      </x:c>
      <x:c r="J22" s="203" t="str">
        <x:f>IF(H22=MAX($H$4:$H$22),"CỌC BẤT LỢI","")</x:f>
      </x:c>
      <x:c r="K22" s="174" t="str"/>
      <x:c r="L22" s="159" t="str">
        <x:v>Pass 2→6 LOCKED chain</x:v>
      </x:c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5"/>
      <x:c r="B25" s="155"/>
      <x:c r="C25" s="155"/>
      <x:c r="D25" s="155"/>
      <x:c r="E25" s="155"/>
      <x:c r="F25" s="155"/>
      <x:c r="G25" s="155"/>
      <x:c r="H25" s="155"/>
      <x:c r="I25" s="155"/>
      <x:c r="J25" s="155"/>
      <x:c r="K25" s="155"/>
      <x:c r="L25" s="155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/>
      <x:c r="B26" s="155"/>
      <x:c r="C26" s="155"/>
      <x:c r="D26" s="155"/>
      <x:c r="E26" s="155"/>
      <x:c r="F26" s="155"/>
      <x:c r="G26" s="155"/>
      <x:c r="H26" s="155"/>
      <x:c r="I26" s="155"/>
      <x:c r="J26" s="155"/>
      <x:c r="K26" s="155"/>
      <x:c r="L26" s="155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/>
      <x:c r="B27" s="155"/>
      <x:c r="C27" s="155"/>
      <x:c r="D27" s="155"/>
      <x:c r="E27" s="155"/>
      <x:c r="F27" s="155"/>
      <x:c r="G27" s="155"/>
      <x:c r="H27" s="155"/>
      <x:c r="I27" s="155"/>
      <x:c r="J27" s="155"/>
      <x:c r="K27" s="155"/>
      <x:c r="L27" s="155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/>
      <x:c r="B28" s="155"/>
      <x:c r="C28" s="155"/>
      <x:c r="D28" s="155"/>
      <x:c r="E28" s="155"/>
      <x:c r="F28" s="155"/>
      <x:c r="G28" s="155"/>
      <x:c r="H28" s="155"/>
      <x:c r="I28" s="155"/>
      <x:c r="J28" s="155"/>
      <x:c r="K28" s="155"/>
      <x:c r="L28" s="155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L1"/>
  </x:mergeCells>
  <x:conditionalFormatting sqref="I4:I22">
    <x:cfRule type="expression" dxfId="0" priority="1">
      <x:formula>I4="ĐẠT"</x:formula>
    </x:cfRule>
    <x:cfRule type="expression" dxfId="1" priority="2">
      <x:formula>I4="KHÔNG ĐẠT"</x:formula>
    </x:cfRule>
    <x:cfRule type="expression" dxfId="2" priority="3">
      <x:formula>I4="KHÓA TÍNH"</x:formula>
    </x:cfRule>
  </x:conditionalFormatting>
  <x:conditionalFormatting sqref="J4:J22">
    <x:cfRule type="expression" dxfId="3" priority="4">
      <x:formula>J4="CỌC BẤT LỢI"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2" hidden="0" customWidth="1"/>
    <x:col min="5" max="5" width="28" hidden="0" customWidth="1"/>
    <x:col min="6" max="6" width="88" hidden="0" customWidth="1"/>
  </x:cols>
  <x:sheetData>
    <x:row r="1">
      <x:c r="A1" s="6" t="str">
        <x:v>CỌC BẤT LỢI VÀ KẾT LUẬN CUỐI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Hạng mục</x:v>
      </x:c>
      <x:c r="B3" s="29" t="str">
        <x:v>Giá trị</x:v>
      </x:c>
      <x:c r="C3" s="30" t="str">
        <x:v>Đơn vị</x:v>
      </x:c>
      <x:c r="D3" s="155"/>
      <x:c r="E3" s="16" t="str">
        <x:v>Diễn giải kỹ thuật</x:v>
      </x:c>
      <x:c r="F3" s="16" t="str">
        <x:v>Nội dung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bất lợi</x:v>
      </x:c>
      <x:c r="B4" s="230" t="n">
        <x:f>INDEX('08_KIỂM_TRA_CỌC'!A4:A22,MATCH(MAX('08_KIỂM_TRA_CỌC'!H4:H22),'08_KIỂM_TRA_CỌC'!H4:H22,0))</x:f>
        <x:v>168</x:v>
      </x:c>
      <x:c r="C4" s="157" t="str">
        <x:v>-</x:v>
      </x:c>
      <x:c r="D4" s="155"/>
      <x:c r="E4" s="155" t="str">
        <x:v>Chuỗi tính</x:v>
      </x:c>
      <x:c r="F4" s="155" t="str">
        <x:v>Rsoil → Rmaterial → Rpile → γn → Nd,max → phản lực từng cọc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Tổ hợp bất lợi</x:v>
      </x:c>
      <x:c r="B5" s="230" t="str">
        <x:f>INDEX('08_KIỂM_TRA_CỌC'!B4:B22,MATCH(MAX('08_KIỂM_TRA_CỌC'!H4:H22),'08_KIỂM_TRA_CỌC'!H4:H22,0))</x:f>
        <x:v>EULS</x:v>
      </x:c>
      <x:c r="C5" s="157" t="str">
        <x:v>-</x:v>
      </x:c>
      <x:c r="D5" s="155"/>
      <x:c r="E5" s="155" t="str">
        <x:v>Địa chất bất lợi</x:v>
      </x:c>
      <x:c r="F5" s="155" t="str">
        <x:v>HK2 · CƠ LÝ · 7.2.2 CỌC ĐÓNG/ÉP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Phản lực nén bất lợi</x:v>
      </x:c>
      <x:c r="B6" s="231" t="n">
        <x:f>INDEX('08_KIỂM_TRA_CỌC'!F4:F22,MATCH(MAX('08_KIỂM_TRA_CỌC'!H4:H22),'08_KIỂM_TRA_CỌC'!H4:H22,0))</x:f>
        <x:v>365.2920507005818</x:v>
      </x:c>
      <x:c r="C6" s="157" t="str">
        <x:v>kN</x:v>
      </x:c>
      <x:c r="D6" s="155"/>
      <x:c r="E6" s="155" t="str">
        <x:v>Nguyên nhân khống chế</x:v>
      </x:c>
      <x:c r="F6" s="155" t="str">
        <x:v>Đất nền khống chế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Nd,max/cọc</x:v>
      </x:c>
      <x:c r="B7" s="231" t="n">
        <x:f>'06_SỨC_CHỊU_TẢI'!B8</x:f>
        <x:v>733.4161490683232</x:v>
      </x:c>
      <x:c r="C7" s="157" t="str">
        <x:v>kN</x:v>
      </x:c>
      <x:c r="D7" s="155"/>
      <x:c r="E7" s="155" t="str">
        <x:v>Golden governing</x:v>
      </x:c>
      <x:c r="F7" s="155" t="str">
        <x:v>Point 168 · EULS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sử dụng</x:v>
      </x:c>
      <x:c r="B8" s="231" t="n">
        <x:f>MAX('08_KIỂM_TRA_CỌC'!H4:H22)</x:f>
        <x:v>0.4980692764464232</x:v>
      </x:c>
      <x:c r="C8" s="157" t="str">
        <x:v>-</x:v>
      </x:c>
      <x:c r="D8" s="155"/>
      <x:c r="E8" s="155" t="str">
        <x:v>Engine utilization</x:v>
      </x:c>
      <x:c r="F8" s="204" t="n">
        <x:v>0.4980692764464232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Rsoil</x:v>
      </x:c>
      <x:c r="B9" s="231" t="n">
        <x:f>'06_SỨC_CHỊU_TẢI'!B4</x:f>
        <x:v>843.4285714285716</x:v>
      </x:c>
      <x:c r="C9" s="157" t="str">
        <x:v>kN</x:v>
      </x:c>
      <x:c r="D9" s="155"/>
      <x:c r="E9" s="155" t="str">
        <x:v>Kết luận Engine</x:v>
      </x:c>
      <x:c r="F9" s="155" t="str">
        <x:v>ĐẠT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Rmaterial</x:v>
      </x:c>
      <x:c r="B10" s="231" t="n">
        <x:f>'06_SỨC_CHỊU_TẢI'!B5</x:f>
        <x:v>2952</x:v>
      </x:c>
      <x:c r="C10" s="157" t="str">
        <x:v>kN</x:v>
      </x:c>
      <x:c r="D10" s="155"/>
      <x:c r="E10" s="155" t="str">
        <x:v>Câu kết luận</x:v>
      </x:c>
      <x:c r="F10" s="155" t="str">
        <x:v>ĐẠT: cọc bất lợi 168 · tổ hợp EULS · hệ số sử dụng 0.4981 ≤ 1,0000. Sức chịu tải cọc Rpile=843.429 kN; giới hạn tác động Nd,max=733.416 kN/cọc. Địa chất bất lợi: HK2 · CƠ LÝ · 7.2.2 CỌC ĐÓNG/ÉP; đất nền khống chế.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Rpile</x:v>
      </x:c>
      <x:c r="B11" s="231" t="n">
        <x:f>'06_SỨC_CHỊU_TẢI'!B6</x:f>
        <x:v>843.4285714285716</x:v>
      </x:c>
      <x:c r="C11" s="157" t="str">
        <x:v>kN</x:v>
      </x:c>
      <x:c r="D11" s="155"/>
      <x:c r="E11" s="155"/>
      <x:c r="F11" s="155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232" t="str">
        <x:f>IF(COUNTIF('08_KIỂM_TRA_CỌC'!I4:I22,"KHÓA TÍNH")&gt;0,"KHÓA TÍNH",IF(MAX('08_KIỂM_TRA_CỌC'!H4:H22)&lt;=1,"ĐẠT","KHÔNG ĐẠT"))</x:f>
        <x:v>ĐẠT</x:v>
      </x:c>
      <x:c r="C12" s="159" t="str">
        <x:v>-</x:v>
      </x:c>
      <x:c r="D12" s="155"/>
      <x:c r="E12" s="155"/>
      <x:c r="F12" s="155"/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4"/>
      <x:c r="B16" s="154"/>
      <x:c r="C16" s="154"/>
      <x:c r="D16" s="154"/>
      <x:c r="E16" s="154"/>
      <x:c r="F16" s="154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4"/>
      <x:c r="B17" s="154"/>
      <x:c r="C17" s="154"/>
      <x:c r="D17" s="154"/>
      <x:c r="E17" s="154"/>
      <x:c r="F17" s="154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4"/>
      <x:c r="B18" s="154"/>
      <x:c r="C18" s="154"/>
      <x:c r="D18" s="154"/>
      <x:c r="E18" s="154"/>
      <x:c r="F18" s="154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4"/>
      <x:c r="B19" s="154"/>
      <x:c r="C19" s="154"/>
      <x:c r="D19" s="154"/>
      <x:c r="E19" s="154"/>
      <x:c r="F19" s="154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4"/>
      <x:c r="B20" s="154"/>
      <x:c r="C20" s="154"/>
      <x:c r="D20" s="154"/>
      <x:c r="E20" s="154"/>
      <x:c r="F20" s="154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conditionalFormatting sqref="B12:B12">
    <x:cfRule type="expression" dxfId="4" priority="1">
      <x:formula>B12="ĐẠT"</x:formula>
    </x:cfRule>
    <x:cfRule type="expression" dxfId="5" priority="2">
      <x:formula>B12&lt;&gt;"ĐẠT"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5" hidden="0" customWidth="1"/>
    <x:col min="4" max="4" width="34" hidden="0" customWidth="1"/>
    <x:col min="5" max="5" width="38" hidden="0" customWidth="1"/>
    <x:col min="6" max="6" width="26" hidden="0" customWidth="1"/>
  </x:cols>
  <x:sheetData>
    <x:row r="1">
      <x:c r="A1" s="6" t="str">
        <x:v>NGUỒN TIÊU CHUẨN, CÔNG THỨC, BẢNG TRA VÀ PROVENANCE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Khối</x:v>
      </x:c>
      <x:c r="B3" s="29" t="str">
        <x:v>Tiêu chuẩn / nguồn</x:v>
      </x:c>
      <x:c r="C3" s="29" t="str">
        <x:v>Điều / Công thức</x:v>
      </x:c>
      <x:c r="D3" s="29" t="str">
        <x:v>Bảng</x:v>
      </x:c>
      <x:c r="E3" s="29" t="str">
        <x:v>Trang chuẩn / PDF</x:v>
      </x:c>
      <x:c r="F3" s="30" t="str">
        <x:v>Trạng thái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Cọc đóng/ép</x:v>
      </x:c>
      <x:c r="B4" s="172" t="str">
        <x:v>TCVN 10304:2025</x:v>
      </x:c>
      <x:c r="C4" s="172" t="str">
        <x:v>7.2.2.1 · CT (9)</x:v>
      </x:c>
      <x:c r="D4" s="172" t="str">
        <x:v>Bảng 2, 3, 4</x:v>
      </x:c>
      <x:c r="E4" s="172" t="str">
        <x:v>32–35 / 32–35</x:v>
      </x:c>
      <x:c r="F4" s="157" t="str">
        <x:v>ĐÃ XÁC MINH / ĐÃ KHÓA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SPT</x:v>
      </x:c>
      <x:c r="B5" s="172" t="str">
        <x:v>TCVN 10304:2025</x:v>
      </x:c>
      <x:c r="C5" s="172" t="str">
        <x:v>Phụ lục D · D.1–D.6</x:v>
      </x:c>
      <x:c r="D5" s="172" t="str">
        <x:v>Bảng D.1</x:v>
      </x:c>
      <x:c r="E5" s="172" t="str">
        <x:v>110–111 / 110–111</x:v>
      </x:c>
      <x:c r="F5" s="157" t="str">
        <x:v>ĐÃ XÁC MINH / ĐÃ KHÓA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Vật liệu</x:v>
      </x:c>
      <x:c r="B6" s="172" t="str">
        <x:v>TCVN 5574:2018</x:v>
      </x:c>
      <x:c r="C6" s="172" t="str">
        <x:v>8.1.2.4.3 · CT (49)–(50)</x:v>
      </x:c>
      <x:c r="D6" s="172" t="str">
        <x:v>Bảng 7,10,13,14,16</x:v>
      </x:c>
      <x:c r="E6" s="172" t="str">
        <x:v>35,38,47,48,61–62 / 33,36,45,46,59–60</x:v>
      </x:c>
      <x:c r="F6" s="157" t="str">
        <x:v>ĐÃ XÁC MINH / ĐÃ KHÓA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Tổng hợp sức chịu tải</x:v>
      </x:c>
      <x:c r="B7" s="172" t="str">
        <x:v>HNL PileCapacityEngine</x:v>
      </x:c>
      <x:c r="C7" s="172" t="str">
        <x:v>Rpile=min(Rsoil,Rmaterial)</x:v>
      </x:c>
      <x:c r="D7" s="172" t="str">
        <x:v>-</x:v>
      </x:c>
      <x:c r="E7" s="172" t="str">
        <x:v>-</x:v>
      </x:c>
      <x:c r="F7" s="157" t="str">
        <x:v>GHÉP ĐÃ KHÓA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Hệ số γn</x:v>
      </x:c>
      <x:c r="B8" s="172" t="str">
        <x:v>HNL integrated chain</x:v>
      </x:c>
      <x:c r="C8" s="172" t="str">
        <x:v>Nd,max=Rpile/γn</x:v>
      </x:c>
      <x:c r="D8" s="172" t="str">
        <x:v>-</x:v>
      </x:c>
      <x:c r="E8" s="172" t="str">
        <x:v>-</x:v>
      </x:c>
      <x:c r="F8" s="157" t="str">
        <x:v>ĐÃ KHÓA; áp dụng sau min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Import kết cấu</x:v>
      </x:c>
      <x:c r="B9" s="172" t="str">
        <x:v>P1 Pass 5 Core</x:v>
      </x:c>
      <x:c r="C9" s="172" t="str">
        <x:v>parse→normalize→map→validate→handoff</x:v>
      </x:c>
      <x:c r="D9" s="172" t="str">
        <x:v>DCE/CSV canonical</x:v>
      </x:c>
      <x:c r="E9" s="172" t="str">
        <x:v>-</x:v>
      </x:c>
      <x:c r="F9" s="157" t="str">
        <x:v>ĐÃ KHÓA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Kiểm phản lực</x:v>
      </x:c>
      <x:c r="B10" s="172" t="str">
        <x:v>P1 Pass 4</x:v>
      </x:c>
      <x:c r="C10" s="172" t="str">
        <x:v>Imported nodal reaction checker</x:v>
      </x:c>
      <x:c r="D10" s="172" t="str">
        <x:v>TM SCT Coc behavioral benchmark</x:v>
      </x:c>
      <x:c r="E10" s="172" t="str">
        <x:v>-</x:v>
      </x:c>
      <x:c r="F10" s="157" t="str">
        <x:v>LOCKED numeric core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Workbook DCE</x:v>
      </x:c>
      <x:c r="B11" s="172" t="str">
        <x:v>10.1 DCE_SctCoc_10304 2025.xlsm</x:v>
      </x:c>
      <x:c r="C11" s="172" t="str">
        <x:v>REFERENCE ONLY</x:v>
      </x:c>
      <x:c r="D11" s="172" t="str">
        <x:v>TM SCT Coc</x:v>
      </x:c>
      <x:c r="E11" s="172" t="str">
        <x:v>-</x:v>
      </x:c>
      <x:c r="F11" s="157" t="str">
        <x:v>THAM KHẢO; không phải nguồn pháp lý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Search Brain</x:v>
      </x:c>
      <x:c r="B12" s="174" t="str">
        <x:v>src/search.js</x:v>
      </x:c>
      <x:c r="C12" s="174" t="str">
        <x:v>SHA-256 khóa</x:v>
      </x:c>
      <x:c r="D12" s="174" t="str">
        <x:v>-</x:v>
      </x:c>
      <x:c r="E12" s="174" t="str">
        <x:v>-</x:v>
      </x:c>
      <x:c r="F12" s="159" t="str">
        <x:v>KHÔNG SỬA TRONG PATCH PASS 7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/>
      <x:c r="B15" s="155"/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/>
      <x:c r="B16" s="155"/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/>
      <x:c r="B17" s="155"/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/>
      <x:c r="B18" s="155"/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/>
      <x:c r="B19" s="155"/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/>
      <x:c r="B20" s="155"/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4"/>
      <x:c r="B21" s="154"/>
      <x:c r="C21" s="154"/>
      <x:c r="D21" s="154"/>
      <x:c r="E21" s="154"/>
      <x:c r="F21" s="154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4"/>
      <x:c r="B22" s="154"/>
      <x:c r="C22" s="154"/>
      <x:c r="D22" s="154"/>
      <x:c r="E22" s="154"/>
      <x:c r="F22" s="154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1" max="11" width="18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>
      <x:c r="A1" s="6" t="str">
        <x:v>BẢNG TRA DÙNG CHO EXCEL SẢN XUẤT – TCVN 5574:2018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16" t="str">
        <x:v>Cấp bê tông</x:v>
      </x:c>
      <x:c r="B3" s="16" t="str">
        <x:v>Rb (MPa)</x:v>
      </x:c>
      <x:c r="C3" s="16" t="str">
        <x:v>Rbt (MPa)</x:v>
      </x:c>
      <x:c r="D3" s="16" t="str">
        <x:v>Eb (MPa)</x:v>
      </x:c>
      <x:c r="E3" s="155"/>
      <x:c r="F3" s="16" t="str">
        <x:v>Cấp thép</x:v>
      </x:c>
      <x:c r="G3" s="16" t="str">
        <x:v>Rs (MPa)</x:v>
      </x:c>
      <x:c r="H3" s="16" t="str">
        <x:v>Rsc (MPa)</x:v>
      </x:c>
      <x:c r="I3" s="16" t="str">
        <x:v>Rsw (MPa)</x:v>
      </x:c>
      <x:c r="J3" s="155"/>
      <x:c r="K3" s="16" t="str">
        <x:v>Nhóm bê tông</x:v>
      </x:c>
      <x:c r="L3" s="16" t="str">
        <x:v>φ @6</x:v>
      </x:c>
      <x:c r="M3" s="16" t="str">
        <x:v>φ @10</x:v>
      </x:c>
      <x:c r="N3" s="16" t="str">
        <x:v>φ @15</x:v>
      </x:c>
      <x:c r="O3" s="16" t="str">
        <x:v>φ @20</x:v>
      </x:c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5" t="str">
        <x:v>B3.5</x:v>
      </x:c>
      <x:c r="B4" s="155" t="n">
        <x:v>2.1</x:v>
      </x:c>
      <x:c r="C4" s="155" t="n">
        <x:v>0.26</x:v>
      </x:c>
      <x:c r="D4" s="155" t="n">
        <x:v>9500</x:v>
      </x:c>
      <x:c r="E4" s="155"/>
      <x:c r="F4" s="155" t="str">
        <x:v>CB240-T</x:v>
      </x:c>
      <x:c r="G4" s="155" t="n">
        <x:v>210</x:v>
      </x:c>
      <x:c r="H4" s="155" t="n">
        <x:v>210</x:v>
      </x:c>
      <x:c r="I4" s="155" t="n">
        <x:v>170</x:v>
      </x:c>
      <x:c r="J4" s="155"/>
      <x:c r="K4" s="155" t="str">
        <x:v>B20–B55</x:v>
      </x:c>
      <x:c r="L4" s="155" t="n">
        <x:v>0.92</x:v>
      </x:c>
      <x:c r="M4" s="155" t="n">
        <x:v>0.9</x:v>
      </x:c>
      <x:c r="N4" s="155" t="n">
        <x:v>0.83</x:v>
      </x:c>
      <x:c r="O4" s="155" t="n">
        <x:v>0.7</x:v>
      </x:c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5" t="str">
        <x:v>B5</x:v>
      </x:c>
      <x:c r="B5" s="155" t="n">
        <x:v>2.8</x:v>
      </x:c>
      <x:c r="C5" s="155" t="n">
        <x:v>0.37</x:v>
      </x:c>
      <x:c r="D5" s="155" t="n">
        <x:v>13000</x:v>
      </x:c>
      <x:c r="E5" s="155"/>
      <x:c r="F5" s="155" t="str">
        <x:v>CB300-T</x:v>
      </x:c>
      <x:c r="G5" s="155" t="n">
        <x:v>260</x:v>
      </x:c>
      <x:c r="H5" s="155" t="n">
        <x:v>260</x:v>
      </x:c>
      <x:c r="I5" s="155" t="n">
        <x:v>210</x:v>
      </x:c>
      <x:c r="J5" s="155"/>
      <x:c r="K5" s="155" t="str">
        <x:v>B60–B70</x:v>
      </x:c>
      <x:c r="L5" s="155" t="n">
        <x:v>0.91</x:v>
      </x:c>
      <x:c r="M5" s="155" t="n">
        <x:v>0.89</x:v>
      </x:c>
      <x:c r="N5" s="155" t="n">
        <x:v>0.8</x:v>
      </x:c>
      <x:c r="O5" s="155" t="n">
        <x:v>0.65</x:v>
      </x:c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5" t="str">
        <x:v>B7.5</x:v>
      </x:c>
      <x:c r="B6" s="155" t="n">
        <x:v>4.5</x:v>
      </x:c>
      <x:c r="C6" s="155" t="n">
        <x:v>0.48</x:v>
      </x:c>
      <x:c r="D6" s="155" t="n">
        <x:v>16000</x:v>
      </x:c>
      <x:c r="E6" s="155"/>
      <x:c r="F6" s="155" t="str">
        <x:v>CB300-V</x:v>
      </x:c>
      <x:c r="G6" s="155" t="n">
        <x:v>260</x:v>
      </x:c>
      <x:c r="H6" s="155" t="n">
        <x:v>260</x:v>
      </x:c>
      <x:c r="I6" s="155" t="n">
        <x:v>210</x:v>
      </x:c>
      <x:c r="J6" s="155"/>
      <x:c r="K6" s="155" t="str">
        <x:v>B80–B90</x:v>
      </x:c>
      <x:c r="L6" s="155" t="n">
        <x:v>0.9</x:v>
      </x:c>
      <x:c r="M6" s="155" t="n">
        <x:v>0.88</x:v>
      </x:c>
      <x:c r="N6" s="155" t="n">
        <x:v>0.79</x:v>
      </x:c>
      <x:c r="O6" s="155" t="n">
        <x:v>0.64</x:v>
      </x:c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5" t="str">
        <x:v>B10</x:v>
      </x:c>
      <x:c r="B7" s="155" t="n">
        <x:v>6</x:v>
      </x:c>
      <x:c r="C7" s="155" t="n">
        <x:v>0.56</x:v>
      </x:c>
      <x:c r="D7" s="155" t="n">
        <x:v>19000</x:v>
      </x:c>
      <x:c r="E7" s="155"/>
      <x:c r="F7" s="155" t="str">
        <x:v>CB400-V</x:v>
      </x:c>
      <x:c r="G7" s="155" t="n">
        <x:v>350</x:v>
      </x:c>
      <x:c r="H7" s="155" t="n">
        <x:v>350</x:v>
      </x:c>
      <x:c r="I7" s="155" t="n">
        <x:v>280</x:v>
      </x:c>
      <x:c r="J7" s="155"/>
      <x:c r="K7" s="155" t="str">
        <x:v>B100</x:v>
      </x:c>
      <x:c r="L7" s="155" t="n">
        <x:v>0.89</x:v>
      </x:c>
      <x:c r="M7" s="155" t="n">
        <x:v>0.87</x:v>
      </x:c>
      <x:c r="N7" s="155" t="n">
        <x:v>0.78</x:v>
      </x:c>
      <x:c r="O7" s="155" t="n">
        <x:v>0.63</x:v>
      </x:c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5" t="str">
        <x:v>B12.5</x:v>
      </x:c>
      <x:c r="B8" s="155" t="n">
        <x:v>7.5</x:v>
      </x:c>
      <x:c r="C8" s="155" t="n">
        <x:v>0.66</x:v>
      </x:c>
      <x:c r="D8" s="155" t="n">
        <x:v>21500</x:v>
      </x:c>
      <x:c r="E8" s="155"/>
      <x:c r="F8" s="155" t="str">
        <x:v>CB500-V</x:v>
      </x:c>
      <x:c r="G8" s="155" t="n">
        <x:v>435</x:v>
      </x:c>
      <x:c r="H8" s="155" t="n">
        <x:v>435</x:v>
      </x:c>
      <x:c r="I8" s="155" t="n">
        <x:v>300</x:v>
      </x:c>
      <x:c r="J8" s="155"/>
      <x:c r="K8" s="155"/>
      <x:c r="L8" s="155"/>
      <x:c r="M8" s="155"/>
      <x:c r="N8" s="155"/>
      <x:c r="O8" s="155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5" t="str">
        <x:v>B15</x:v>
      </x:c>
      <x:c r="B9" s="155" t="n">
        <x:v>8.5</x:v>
      </x:c>
      <x:c r="C9" s="155" t="n">
        <x:v>0.75</x:v>
      </x:c>
      <x:c r="D9" s="155" t="n">
        <x:v>24000</x:v>
      </x:c>
      <x:c r="E9" s="155"/>
      <x:c r="F9" s="155"/>
      <x:c r="G9" s="155"/>
      <x:c r="H9" s="155"/>
      <x:c r="I9" s="155"/>
      <x:c r="J9" s="155"/>
      <x:c r="K9" s="155"/>
      <x:c r="L9" s="155"/>
      <x:c r="M9" s="155"/>
      <x:c r="N9" s="155"/>
      <x:c r="O9" s="155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5" t="str">
        <x:v>B20</x:v>
      </x:c>
      <x:c r="B10" s="155" t="n">
        <x:v>11.5</x:v>
      </x:c>
      <x:c r="C10" s="155" t="n">
        <x:v>0.9</x:v>
      </x:c>
      <x:c r="D10" s="155" t="n">
        <x:v>27500</x:v>
      </x:c>
      <x:c r="E10" s="155"/>
      <x:c r="F10" s="155"/>
      <x:c r="G10" s="155"/>
      <x:c r="H10" s="155"/>
      <x:c r="I10" s="155"/>
      <x:c r="J10" s="155"/>
      <x:c r="K10" s="155"/>
      <x:c r="L10" s="155"/>
      <x:c r="M10" s="155"/>
      <x:c r="N10" s="155"/>
      <x:c r="O10" s="155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5" t="str">
        <x:v>B25</x:v>
      </x:c>
      <x:c r="B11" s="155" t="n">
        <x:v>14.5</x:v>
      </x:c>
      <x:c r="C11" s="155" t="n">
        <x:v>1.05</x:v>
      </x:c>
      <x:c r="D11" s="155" t="n">
        <x:v>30000</x:v>
      </x:c>
      <x:c r="E11" s="155"/>
      <x:c r="F11" s="155"/>
      <x:c r="G11" s="155"/>
      <x:c r="H11" s="155"/>
      <x:c r="I11" s="155"/>
      <x:c r="J11" s="155"/>
      <x:c r="K11" s="155"/>
      <x:c r="L11" s="155"/>
      <x:c r="M11" s="155"/>
      <x:c r="N11" s="155"/>
      <x:c r="O11" s="155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5" t="str">
        <x:v>B30</x:v>
      </x:c>
      <x:c r="B12" s="155" t="n">
        <x:v>17</x:v>
      </x:c>
      <x:c r="C12" s="155" t="n">
        <x:v>1.15</x:v>
      </x:c>
      <x:c r="D12" s="155" t="n">
        <x:v>32500</x:v>
      </x:c>
      <x:c r="E12" s="155"/>
      <x:c r="F12" s="155"/>
      <x:c r="G12" s="155"/>
      <x:c r="H12" s="155"/>
      <x:c r="I12" s="155"/>
      <x:c r="J12" s="155"/>
      <x:c r="K12" s="155"/>
      <x:c r="L12" s="155"/>
      <x:c r="M12" s="155"/>
      <x:c r="N12" s="155"/>
      <x:c r="O12" s="155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 t="str">
        <x:v>B35</x:v>
      </x:c>
      <x:c r="B13" s="155" t="n">
        <x:v>19.5</x:v>
      </x:c>
      <x:c r="C13" s="155" t="n">
        <x:v>1.3</x:v>
      </x:c>
      <x:c r="D13" s="155" t="n">
        <x:v>34500</x:v>
      </x:c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  <x:c r="O13" s="155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 t="str">
        <x:v>B40</x:v>
      </x:c>
      <x:c r="B14" s="155" t="n">
        <x:v>22</x:v>
      </x:c>
      <x:c r="C14" s="155" t="n">
        <x:v>1.4</x:v>
      </x:c>
      <x:c r="D14" s="155" t="n">
        <x:v>36000</x:v>
      </x:c>
      <x:c r="E14" s="155"/>
      <x:c r="F14" s="155"/>
      <x:c r="G14" s="155"/>
      <x:c r="H14" s="155"/>
      <x:c r="I14" s="155"/>
      <x:c r="J14" s="155"/>
      <x:c r="K14" s="155"/>
      <x:c r="L14" s="155"/>
      <x:c r="M14" s="155"/>
      <x:c r="N14" s="155"/>
      <x:c r="O14" s="155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55" t="str">
        <x:v>B45</x:v>
      </x:c>
      <x:c r="B15" s="155" t="n">
        <x:v>25</x:v>
      </x:c>
      <x:c r="C15" s="155" t="n">
        <x:v>1.5</x:v>
      </x:c>
      <x:c r="D15" s="155" t="n">
        <x:v>37000</x:v>
      </x:c>
      <x:c r="E15" s="155"/>
      <x:c r="F15" s="155"/>
      <x:c r="G15" s="155"/>
      <x:c r="H15" s="155"/>
      <x:c r="I15" s="155"/>
      <x:c r="J15" s="155"/>
      <x:c r="K15" s="155"/>
      <x:c r="L15" s="155"/>
      <x:c r="M15" s="155"/>
      <x:c r="N15" s="155"/>
      <x:c r="O15" s="155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B50</x:v>
      </x:c>
      <x:c r="B16" s="155" t="n">
        <x:v>27.5</x:v>
      </x:c>
      <x:c r="C16" s="155" t="n">
        <x:v>1.6</x:v>
      </x:c>
      <x:c r="D16" s="155" t="n">
        <x:v>38000</x:v>
      </x:c>
      <x:c r="E16" s="155"/>
      <x:c r="F16" s="155"/>
      <x:c r="G16" s="155"/>
      <x:c r="H16" s="155"/>
      <x:c r="I16" s="155"/>
      <x:c r="J16" s="155"/>
      <x:c r="K16" s="155"/>
      <x:c r="L16" s="155"/>
      <x:c r="M16" s="155"/>
      <x:c r="N16" s="155"/>
      <x:c r="O16" s="155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B55</x:v>
      </x:c>
      <x:c r="B17" s="155" t="n">
        <x:v>30</x:v>
      </x:c>
      <x:c r="C17" s="155" t="n">
        <x:v>1.7</x:v>
      </x:c>
      <x:c r="D17" s="155" t="n">
        <x:v>39000</x:v>
      </x:c>
      <x:c r="E17" s="155"/>
      <x:c r="F17" s="155"/>
      <x:c r="G17" s="155"/>
      <x:c r="H17" s="155"/>
      <x:c r="I17" s="155"/>
      <x:c r="J17" s="155"/>
      <x:c r="K17" s="155"/>
      <x:c r="L17" s="155"/>
      <x:c r="M17" s="155"/>
      <x:c r="N17" s="155"/>
      <x:c r="O17" s="155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B60</x:v>
      </x:c>
      <x:c r="B18" s="155" t="n">
        <x:v>33</x:v>
      </x:c>
      <x:c r="C18" s="155" t="n">
        <x:v>1.8</x:v>
      </x:c>
      <x:c r="D18" s="155" t="n">
        <x:v>39500</x:v>
      </x:c>
      <x:c r="E18" s="155"/>
      <x:c r="F18" s="155"/>
      <x:c r="G18" s="155"/>
      <x:c r="H18" s="155"/>
      <x:c r="I18" s="155"/>
      <x:c r="J18" s="155"/>
      <x:c r="K18" s="155"/>
      <x:c r="L18" s="155"/>
      <x:c r="M18" s="155"/>
      <x:c r="N18" s="155"/>
      <x:c r="O18" s="155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B70</x:v>
      </x:c>
      <x:c r="B19" s="155" t="n">
        <x:v>37</x:v>
      </x:c>
      <x:c r="C19" s="155" t="n">
        <x:v>1.9</x:v>
      </x:c>
      <x:c r="D19" s="155" t="n">
        <x:v>41000</x:v>
      </x:c>
      <x:c r="E19" s="155"/>
      <x:c r="F19" s="155"/>
      <x:c r="G19" s="155"/>
      <x:c r="H19" s="155"/>
      <x:c r="I19" s="155"/>
      <x:c r="J19" s="155"/>
      <x:c r="K19" s="155"/>
      <x:c r="L19" s="155"/>
      <x:c r="M19" s="155"/>
      <x:c r="N19" s="155"/>
      <x:c r="O19" s="155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B80</x:v>
      </x:c>
      <x:c r="B20" s="155" t="n">
        <x:v>41</x:v>
      </x:c>
      <x:c r="C20" s="155" t="n">
        <x:v>2.1</x:v>
      </x:c>
      <x:c r="D20" s="155" t="n">
        <x:v>42000</x:v>
      </x:c>
      <x:c r="E20" s="155"/>
      <x:c r="F20" s="155"/>
      <x:c r="G20" s="155"/>
      <x:c r="H20" s="155"/>
      <x:c r="I20" s="155"/>
      <x:c r="J20" s="155"/>
      <x:c r="K20" s="155"/>
      <x:c r="L20" s="155"/>
      <x:c r="M20" s="155"/>
      <x:c r="N20" s="155"/>
      <x:c r="O20" s="155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 t="str">
        <x:v>B90</x:v>
      </x:c>
      <x:c r="B21" s="155" t="n">
        <x:v>44</x:v>
      </x:c>
      <x:c r="C21" s="155" t="n">
        <x:v>2.15</x:v>
      </x:c>
      <x:c r="D21" s="155" t="n">
        <x:v>42500</x:v>
      </x:c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  <x:c r="O21" s="155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 t="str">
        <x:v>B100</x:v>
      </x:c>
      <x:c r="B22" s="155" t="n">
        <x:v>47.5</x:v>
      </x:c>
      <x:c r="C22" s="155" t="n">
        <x:v>2.2</x:v>
      </x:c>
      <x:c r="D22" s="155" t="n">
        <x:v>43000</x:v>
      </x:c>
      <x:c r="E22" s="155"/>
      <x:c r="F22" s="155"/>
      <x:c r="G22" s="155"/>
      <x:c r="H22" s="155"/>
      <x:c r="I22" s="155"/>
      <x:c r="J22" s="155"/>
      <x:c r="K22" s="155"/>
      <x:c r="L22" s="155"/>
      <x:c r="M22" s="155"/>
      <x:c r="N22" s="155"/>
      <x:c r="O22" s="155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5"/>
      <x:c r="B23" s="155"/>
      <x:c r="C23" s="155"/>
      <x:c r="D23" s="155"/>
      <x:c r="E23" s="155"/>
      <x:c r="F23" s="155"/>
      <x:c r="G23" s="155"/>
      <x:c r="H23" s="155"/>
      <x:c r="I23" s="155"/>
      <x:c r="J23" s="155"/>
      <x:c r="K23" s="155"/>
      <x:c r="L23" s="155"/>
      <x:c r="M23" s="155"/>
      <x:c r="N23" s="155"/>
      <x:c r="O23" s="155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5"/>
      <x:c r="B24" s="155"/>
      <x:c r="C24" s="155"/>
      <x:c r="D24" s="155"/>
      <x:c r="E24" s="155"/>
      <x:c r="F24" s="155"/>
      <x:c r="G24" s="155"/>
      <x:c r="H24" s="155"/>
      <x:c r="I24" s="155"/>
      <x:c r="J24" s="155"/>
      <x:c r="K24" s="155"/>
      <x:c r="L24" s="155"/>
      <x:c r="M24" s="155"/>
      <x:c r="N24" s="155"/>
      <x:c r="O24" s="155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6" t="str">
        <x:v>Nguồn</x:v>
      </x:c>
      <x:c r="B25" s="16" t="str">
        <x:v>Điều/Bảng</x:v>
      </x:c>
      <x:c r="C25" s="16" t="str">
        <x:v>Trang tiêu chuẩn</x:v>
      </x:c>
      <x:c r="D25" s="16" t="str">
        <x:v>Trang PDF</x:v>
      </x:c>
      <x:c r="E25" s="16" t="str">
        <x:v>Ghi chú</x:v>
      </x:c>
      <x:c r="F25" s="155"/>
      <x:c r="G25" s="155"/>
      <x:c r="H25" s="155"/>
      <x:c r="I25" s="155"/>
      <x:c r="J25" s="155"/>
      <x:c r="K25" s="155"/>
      <x:c r="L25" s="155"/>
      <x:c r="M25" s="155"/>
      <x:c r="N25" s="155"/>
      <x:c r="O25" s="155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5" t="str">
        <x:v>TCVN 5574:2018</x:v>
      </x:c>
      <x:c r="B26" s="155" t="str">
        <x:v>Bảng 7; Bảng 10</x:v>
      </x:c>
      <x:c r="C26" s="155" t="str">
        <x:v>35; 38</x:v>
      </x:c>
      <x:c r="D26" s="155" t="str">
        <x:v>33; 36</x:v>
      </x:c>
      <x:c r="E26" s="155" t="str">
        <x:v>Rb, Rbt, Eb</x:v>
      </x:c>
      <x:c r="F26" s="155"/>
      <x:c r="G26" s="155"/>
      <x:c r="H26" s="155"/>
      <x:c r="I26" s="155"/>
      <x:c r="J26" s="155"/>
      <x:c r="K26" s="155"/>
      <x:c r="L26" s="155"/>
      <x:c r="M26" s="155"/>
      <x:c r="N26" s="155"/>
      <x:c r="O26" s="155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5" t="str">
        <x:v>TCVN 5574:2018</x:v>
      </x:c>
      <x:c r="B27" s="155" t="str">
        <x:v>Bảng 13; Bảng 14</x:v>
      </x:c>
      <x:c r="C27" s="155" t="str">
        <x:v>47; 48</x:v>
      </x:c>
      <x:c r="D27" s="155" t="str">
        <x:v>45; 46</x:v>
      </x:c>
      <x:c r="E27" s="155" t="str">
        <x:v>Rs, Rsc, Rsw</x:v>
      </x:c>
      <x:c r="F27" s="155"/>
      <x:c r="G27" s="155"/>
      <x:c r="H27" s="155"/>
      <x:c r="I27" s="155"/>
      <x:c r="J27" s="155"/>
      <x:c r="K27" s="155"/>
      <x:c r="L27" s="155"/>
      <x:c r="M27" s="155"/>
      <x:c r="N27" s="155"/>
      <x:c r="O27" s="155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5" t="str">
        <x:v>TCVN 5574:2018</x:v>
      </x:c>
      <x:c r="B28" s="155" t="str">
        <x:v>8.1.2.4.3; Bảng 16</x:v>
      </x:c>
      <x:c r="C28" s="155" t="str">
        <x:v>61–62</x:v>
      </x:c>
      <x:c r="D28" s="155" t="str">
        <x:v>59–60</x:v>
      </x:c>
      <x:c r="E28" s="155" t="str">
        <x:v>φ cho nén gần đúng tâm; nội suy tuyến tính 1D trong miền</x:v>
      </x:c>
      <x:c r="F28" s="155"/>
      <x:c r="G28" s="155"/>
      <x:c r="H28" s="155"/>
      <x:c r="I28" s="155"/>
      <x:c r="J28" s="155"/>
      <x:c r="K28" s="155"/>
      <x:c r="L28" s="155"/>
      <x:c r="M28" s="155"/>
      <x:c r="N28" s="155"/>
      <x:c r="O28" s="155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5" t="str">
        <x:v>Chính sách HNL</x:v>
      </x:c>
      <x:c r="B29" s="155" t="str">
        <x:v>Không ngoại suy</x:v>
      </x:c>
      <x:c r="C29" s="155" t="str">
        <x:v>-</x:v>
      </x:c>
      <x:c r="D29" s="155" t="str">
        <x:v>-</x:v>
      </x:c>
      <x:c r="E29" s="155" t="str">
        <x:v>Ngoài miền Bảng 16 phải KHÓA TÍNH</x:v>
      </x:c>
      <x:c r="F29" s="155"/>
      <x:c r="G29" s="155"/>
      <x:c r="H29" s="155"/>
      <x:c r="I29" s="155"/>
      <x:c r="J29" s="155"/>
      <x:c r="K29" s="155"/>
      <x:c r="L29" s="155"/>
      <x:c r="M29" s="155"/>
      <x:c r="N29" s="155"/>
      <x:c r="O29" s="155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5"/>
      <x:c r="B30" s="155"/>
      <x:c r="C30" s="155"/>
      <x:c r="D30" s="155"/>
      <x:c r="E30" s="155"/>
      <x:c r="F30" s="155"/>
      <x:c r="G30" s="155"/>
      <x:c r="H30" s="155"/>
      <x:c r="I30" s="155"/>
      <x:c r="J30" s="155"/>
      <x:c r="K30" s="155"/>
      <x:c r="L30" s="155"/>
      <x:c r="M30" s="155"/>
      <x:c r="N30" s="155"/>
      <x:c r="O30" s="155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6" t="str">
        <x:v>KIỂM TRA GOLDEN – EXCEL ↔ ENGINE LOCKED</x:v>
      </x:c>
      <x:c r="B1" s="6"/>
      <x:c r="C1" s="6"/>
      <x:c r="D1" s="6"/>
      <x:c r="E1" s="6"/>
      <x:c r="F1" s="6"/>
      <x:c r="G1" s="154"/>
      <x:c r="H1" s="154"/>
      <x:c r="I1" s="154"/>
      <x:c r="J1" s="154"/>
      <x:c r="K1" s="154"/>
      <x:c r="L1" s="154"/>
      <x:c r="M1" s="154"/>
      <x:c r="N1" s="154"/>
      <x:c r="O1" s="154"/>
      <x:c r="P1" s="154"/>
      <x:c r="Q1" s="154"/>
      <x:c r="R1" s="154"/>
      <x:c r="S1" s="154"/>
      <x:c r="T1" s="154"/>
      <x:c r="U1" s="154"/>
      <x:c r="V1" s="154"/>
      <x:c r="W1" s="154"/>
      <x:c r="X1" s="154"/>
      <x:c r="Y1" s="154"/>
      <x:c r="Z1" s="154"/>
      <x:c r="AA1" s="154"/>
      <x:c r="AB1" s="154"/>
      <x:c r="AC1" s="154"/>
      <x:c r="AD1" s="154"/>
      <x:c r="AE1" s="154"/>
      <x:c r="AF1" s="154"/>
      <x:c r="AG1" s="154"/>
      <x:c r="AH1" s="154"/>
      <x:c r="AI1" s="154"/>
      <x:c r="AJ1" s="154"/>
      <x:c r="AK1" s="154"/>
      <x:c r="AL1" s="154"/>
      <x:c r="AM1" s="154"/>
      <x:c r="AN1" s="154"/>
      <x:c r="AO1" s="154"/>
      <x:c r="AP1" s="154"/>
      <x:c r="AQ1" s="154"/>
      <x:c r="AR1" s="154"/>
      <x:c r="AS1" s="154"/>
      <x:c r="AT1" s="154"/>
      <x:c r="AU1" s="154"/>
      <x:c r="AV1" s="154"/>
      <x:c r="AW1" s="154"/>
      <x:c r="AX1" s="154"/>
      <x:c r="AY1" s="154"/>
      <x:c r="AZ1" s="154"/>
    </x:row>
    <x:row r="2">
      <x:c r="A2" s="155"/>
      <x:c r="B2" s="155"/>
      <x:c r="C2" s="155"/>
      <x:c r="D2" s="155"/>
      <x:c r="E2" s="155"/>
      <x:c r="F2" s="155"/>
      <x:c r="G2" s="154"/>
      <x:c r="H2" s="154"/>
      <x:c r="I2" s="154"/>
      <x:c r="J2" s="154"/>
      <x:c r="K2" s="154"/>
      <x:c r="L2" s="154"/>
      <x:c r="M2" s="154"/>
      <x:c r="N2" s="154"/>
      <x:c r="O2" s="154"/>
      <x:c r="P2" s="154"/>
      <x:c r="Q2" s="154"/>
      <x:c r="R2" s="154"/>
      <x:c r="S2" s="154"/>
      <x:c r="T2" s="154"/>
      <x:c r="U2" s="154"/>
      <x:c r="V2" s="154"/>
      <x:c r="W2" s="154"/>
      <x:c r="X2" s="154"/>
      <x:c r="Y2" s="154"/>
      <x:c r="Z2" s="154"/>
      <x:c r="AA2" s="154"/>
      <x:c r="AB2" s="154"/>
      <x:c r="AC2" s="154"/>
      <x:c r="AD2" s="154"/>
      <x:c r="AE2" s="154"/>
      <x:c r="AF2" s="154"/>
      <x:c r="AG2" s="154"/>
      <x:c r="AH2" s="154"/>
      <x:c r="AI2" s="154"/>
      <x:c r="AJ2" s="154"/>
      <x:c r="AK2" s="154"/>
      <x:c r="AL2" s="154"/>
      <x:c r="AM2" s="154"/>
      <x:c r="AN2" s="154"/>
      <x:c r="AO2" s="154"/>
      <x:c r="AP2" s="154"/>
      <x:c r="AQ2" s="154"/>
      <x:c r="AR2" s="154"/>
      <x:c r="AS2" s="154"/>
      <x:c r="AT2" s="154"/>
      <x:c r="AU2" s="154"/>
      <x:c r="AV2" s="154"/>
      <x:c r="AW2" s="154"/>
      <x:c r="AX2" s="154"/>
      <x:c r="AY2" s="154"/>
      <x:c r="AZ2" s="154"/>
    </x:row>
    <x:row r="3">
      <x:c r="A3" s="28" t="str">
        <x:v>Chỉ tiêu</x:v>
      </x:c>
      <x:c r="B3" s="29" t="str">
        <x:v>Excel</x:v>
      </x:c>
      <x:c r="C3" s="29" t="str">
        <x:v>Engine Golden</x:v>
      </x:c>
      <x:c r="D3" s="29" t="str">
        <x:v>Sai lệch</x:v>
      </x:c>
      <x:c r="E3" s="29" t="str">
        <x:v>Gate</x:v>
      </x:c>
      <x:c r="F3" s="30" t="str">
        <x:v>Ghi chú</x:v>
      </x:c>
      <x:c r="G3" s="154"/>
      <x:c r="H3" s="154"/>
      <x:c r="I3" s="154"/>
      <x:c r="J3" s="154"/>
      <x:c r="K3" s="154"/>
      <x:c r="L3" s="154"/>
      <x:c r="M3" s="154"/>
      <x:c r="N3" s="154"/>
      <x:c r="O3" s="154"/>
      <x:c r="P3" s="154"/>
      <x:c r="Q3" s="154"/>
      <x:c r="R3" s="154"/>
      <x:c r="S3" s="154"/>
      <x:c r="T3" s="154"/>
      <x:c r="U3" s="154"/>
      <x:c r="V3" s="154"/>
      <x:c r="W3" s="154"/>
      <x:c r="X3" s="154"/>
      <x:c r="Y3" s="154"/>
      <x:c r="Z3" s="154"/>
      <x:c r="AA3" s="154"/>
      <x:c r="AB3" s="154"/>
      <x:c r="AC3" s="154"/>
      <x:c r="AD3" s="154"/>
      <x:c r="AE3" s="154"/>
      <x:c r="AF3" s="154"/>
      <x:c r="AG3" s="154"/>
      <x:c r="AH3" s="154"/>
      <x:c r="AI3" s="154"/>
      <x:c r="AJ3" s="154"/>
      <x:c r="AK3" s="154"/>
      <x:c r="AL3" s="154"/>
      <x:c r="AM3" s="154"/>
      <x:c r="AN3" s="154"/>
      <x:c r="AO3" s="154"/>
      <x:c r="AP3" s="154"/>
      <x:c r="AQ3" s="154"/>
      <x:c r="AR3" s="154"/>
      <x:c r="AS3" s="154"/>
      <x:c r="AT3" s="154"/>
      <x:c r="AU3" s="154"/>
      <x:c r="AV3" s="154"/>
      <x:c r="AW3" s="154"/>
      <x:c r="AX3" s="154"/>
      <x:c r="AY3" s="154"/>
      <x:c r="AZ3" s="154"/>
    </x:row>
    <x:row r="4">
      <x:c r="A4" s="156" t="str">
        <x:v>Rsoil</x:v>
      </x:c>
      <x:c r="B4" s="172" t="n">
        <x:f>'06_SỨC_CHỊU_TẢI'!B4</x:f>
        <x:v>843.4285714285716</x:v>
      </x:c>
      <x:c r="C4" s="172" t="n">
        <x:v>843.4285714285716</x:v>
      </x:c>
      <x:c r="D4" s="172" t="n">
        <x:f>B4-C4</x:f>
        <x:v>0</x:v>
      </x:c>
      <x:c r="E4" s="172" t="str">
        <x:f>IF(ABS(D4)&lt;1E-6,"ĐẠT","KHÔNG KHỚP")</x:f>
        <x:v>ĐẠT</x:v>
      </x:c>
      <x:c r="F4" s="157" t="str">
        <x:v>HK2 · 10304-driven</x:v>
      </x:c>
      <x:c r="G4" s="154"/>
      <x:c r="H4" s="154"/>
      <x:c r="I4" s="154"/>
      <x:c r="J4" s="154"/>
      <x:c r="K4" s="154"/>
      <x:c r="L4" s="154"/>
      <x:c r="M4" s="154"/>
      <x:c r="N4" s="154"/>
      <x:c r="O4" s="154"/>
      <x:c r="P4" s="154"/>
      <x:c r="Q4" s="154"/>
      <x:c r="R4" s="154"/>
      <x:c r="S4" s="154"/>
      <x:c r="T4" s="154"/>
      <x:c r="U4" s="154"/>
      <x:c r="V4" s="154"/>
      <x:c r="W4" s="154"/>
      <x:c r="X4" s="154"/>
      <x:c r="Y4" s="154"/>
      <x:c r="Z4" s="154"/>
      <x:c r="AA4" s="154"/>
      <x:c r="AB4" s="154"/>
      <x:c r="AC4" s="154"/>
      <x:c r="AD4" s="154"/>
      <x:c r="AE4" s="154"/>
      <x:c r="AF4" s="154"/>
      <x:c r="AG4" s="154"/>
      <x:c r="AH4" s="154"/>
      <x:c r="AI4" s="154"/>
      <x:c r="AJ4" s="154"/>
      <x:c r="AK4" s="154"/>
      <x:c r="AL4" s="154"/>
      <x:c r="AM4" s="154"/>
      <x:c r="AN4" s="154"/>
      <x:c r="AO4" s="154"/>
      <x:c r="AP4" s="154"/>
      <x:c r="AQ4" s="154"/>
      <x:c r="AR4" s="154"/>
      <x:c r="AS4" s="154"/>
      <x:c r="AT4" s="154"/>
      <x:c r="AU4" s="154"/>
      <x:c r="AV4" s="154"/>
      <x:c r="AW4" s="154"/>
      <x:c r="AX4" s="154"/>
      <x:c r="AY4" s="154"/>
      <x:c r="AZ4" s="154"/>
    </x:row>
    <x:row r="5">
      <x:c r="A5" s="156" t="str">
        <x:v>Rmaterial</x:v>
      </x:c>
      <x:c r="B5" s="172" t="n">
        <x:f>'06_SỨC_CHỊU_TẢI'!B5</x:f>
        <x:v>2952</x:v>
      </x:c>
      <x:c r="C5" s="172" t="n">
        <x:v>2952</x:v>
      </x:c>
      <x:c r="D5" s="172" t="n">
        <x:f>B5-C5</x:f>
        <x:v>0</x:v>
      </x:c>
      <x:c r="E5" s="172" t="str">
        <x:f>IF(ABS(D5)&lt;1E-6,"ĐẠT","KHÔNG KHỚP")</x:f>
        <x:v>ĐẠT</x:v>
      </x:c>
      <x:c r="F5" s="157" t="str">
        <x:v>CT (50)</x:v>
      </x:c>
      <x:c r="G5" s="154"/>
      <x:c r="H5" s="154"/>
      <x:c r="I5" s="154"/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  <x:c r="AB5" s="154"/>
      <x:c r="AC5" s="154"/>
      <x:c r="AD5" s="154"/>
      <x:c r="AE5" s="154"/>
      <x:c r="AF5" s="154"/>
      <x:c r="AG5" s="154"/>
      <x:c r="AH5" s="154"/>
      <x:c r="AI5" s="154"/>
      <x:c r="AJ5" s="154"/>
      <x:c r="AK5" s="154"/>
      <x:c r="AL5" s="154"/>
      <x:c r="AM5" s="154"/>
      <x:c r="AN5" s="154"/>
      <x:c r="AO5" s="154"/>
      <x:c r="AP5" s="154"/>
      <x:c r="AQ5" s="154"/>
      <x:c r="AR5" s="154"/>
      <x:c r="AS5" s="154"/>
      <x:c r="AT5" s="154"/>
      <x:c r="AU5" s="154"/>
      <x:c r="AV5" s="154"/>
      <x:c r="AW5" s="154"/>
      <x:c r="AX5" s="154"/>
      <x:c r="AY5" s="154"/>
      <x:c r="AZ5" s="154"/>
    </x:row>
    <x:row r="6">
      <x:c r="A6" s="156" t="str">
        <x:v>Rpile</x:v>
      </x:c>
      <x:c r="B6" s="172" t="n">
        <x:f>'06_SỨC_CHỊU_TẢI'!B6</x:f>
        <x:v>843.4285714285716</x:v>
      </x:c>
      <x:c r="C6" s="172" t="n">
        <x:v>843.4285714285716</x:v>
      </x:c>
      <x:c r="D6" s="172" t="n">
        <x:f>B6-C6</x:f>
        <x:v>0</x:v>
      </x:c>
      <x:c r="E6" s="172" t="str">
        <x:f>IF(ABS(D6)&lt;1E-6,"ĐẠT","KHÔNG KHỚP")</x:f>
        <x:v>ĐẠT</x:v>
      </x:c>
      <x:c r="F6" s="157" t="str">
        <x:v>min</x:v>
      </x:c>
      <x:c r="G6" s="154"/>
      <x:c r="H6" s="154"/>
      <x:c r="I6" s="154"/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  <x:c r="AB6" s="154"/>
      <x:c r="AC6" s="154"/>
      <x:c r="AD6" s="154"/>
      <x:c r="AE6" s="154"/>
      <x:c r="AF6" s="154"/>
      <x:c r="AG6" s="154"/>
      <x:c r="AH6" s="154"/>
      <x:c r="AI6" s="154"/>
      <x:c r="AJ6" s="154"/>
      <x:c r="AK6" s="154"/>
      <x:c r="AL6" s="154"/>
      <x:c r="AM6" s="154"/>
      <x:c r="AN6" s="154"/>
      <x:c r="AO6" s="154"/>
      <x:c r="AP6" s="154"/>
      <x:c r="AQ6" s="154"/>
      <x:c r="AR6" s="154"/>
      <x:c r="AS6" s="154"/>
      <x:c r="AT6" s="154"/>
      <x:c r="AU6" s="154"/>
      <x:c r="AV6" s="154"/>
      <x:c r="AW6" s="154"/>
      <x:c r="AX6" s="154"/>
      <x:c r="AY6" s="154"/>
      <x:c r="AZ6" s="154"/>
    </x:row>
    <x:row r="7">
      <x:c r="A7" s="156" t="str">
        <x:v>γn</x:v>
      </x:c>
      <x:c r="B7" s="172" t="n">
        <x:f>'06_SỨC_CHỊU_TẢI'!B7</x:f>
        <x:v>1.15</x:v>
      </x:c>
      <x:c r="C7" s="172" t="n">
        <x:v>1.15</x:v>
      </x:c>
      <x:c r="D7" s="172" t="n">
        <x:f>B7-C7</x:f>
        <x:v>0</x:v>
      </x:c>
      <x:c r="E7" s="172" t="str">
        <x:f>IF(ABS(D7)&lt;1E-6,"ĐẠT","KHÔNG KHỚP")</x:f>
        <x:v>ĐẠT</x:v>
      </x:c>
      <x:c r="F7" s="157" t="str">
        <x:v>sau min</x:v>
      </x:c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  <x:c r="AB7" s="154"/>
      <x:c r="AC7" s="154"/>
      <x:c r="AD7" s="154"/>
      <x:c r="AE7" s="154"/>
      <x:c r="AF7" s="154"/>
      <x:c r="AG7" s="154"/>
      <x:c r="AH7" s="154"/>
      <x:c r="AI7" s="154"/>
      <x:c r="AJ7" s="154"/>
      <x:c r="AK7" s="154"/>
      <x:c r="AL7" s="154"/>
      <x:c r="AM7" s="154"/>
      <x:c r="AN7" s="154"/>
      <x:c r="AO7" s="154"/>
      <x:c r="AP7" s="154"/>
      <x:c r="AQ7" s="154"/>
      <x:c r="AR7" s="154"/>
      <x:c r="AS7" s="154"/>
      <x:c r="AT7" s="154"/>
      <x:c r="AU7" s="154"/>
      <x:c r="AV7" s="154"/>
      <x:c r="AW7" s="154"/>
      <x:c r="AX7" s="154"/>
      <x:c r="AY7" s="154"/>
      <x:c r="AZ7" s="154"/>
    </x:row>
    <x:row r="8">
      <x:c r="A8" s="156" t="str">
        <x:v>Nd,max</x:v>
      </x:c>
      <x:c r="B8" s="172" t="n">
        <x:f>'06_SỨC_CHỊU_TẢI'!B8</x:f>
        <x:v>733.4161490683232</x:v>
      </x:c>
      <x:c r="C8" s="172" t="n">
        <x:v>733.4161490683232</x:v>
      </x:c>
      <x:c r="D8" s="172" t="n">
        <x:f>B8-C8</x:f>
        <x:v>0</x:v>
      </x:c>
      <x:c r="E8" s="172" t="str">
        <x:f>IF(ABS(D8)&lt;1E-6,"ĐẠT","KHÔNG KHỚP")</x:f>
        <x:v>ĐẠT</x:v>
      </x:c>
      <x:c r="F8" s="157" t="str">
        <x:v>Rpile/γn</x:v>
      </x:c>
      <x:c r="G8" s="154"/>
      <x:c r="H8" s="154"/>
      <x:c r="I8" s="154"/>
      <x:c r="J8" s="154"/>
      <x:c r="K8" s="154"/>
      <x:c r="L8" s="154"/>
      <x:c r="M8" s="154"/>
      <x:c r="N8" s="154"/>
      <x:c r="O8" s="154"/>
      <x:c r="P8" s="154"/>
      <x:c r="Q8" s="154"/>
      <x:c r="R8" s="154"/>
      <x:c r="S8" s="154"/>
      <x:c r="T8" s="154"/>
      <x:c r="U8" s="154"/>
      <x:c r="V8" s="154"/>
      <x:c r="W8" s="154"/>
      <x:c r="X8" s="154"/>
      <x:c r="Y8" s="154"/>
      <x:c r="Z8" s="154"/>
      <x:c r="AA8" s="154"/>
      <x:c r="AB8" s="154"/>
      <x:c r="AC8" s="154"/>
      <x:c r="AD8" s="154"/>
      <x:c r="AE8" s="154"/>
      <x:c r="AF8" s="154"/>
      <x:c r="AG8" s="154"/>
      <x:c r="AH8" s="154"/>
      <x:c r="AI8" s="154"/>
      <x:c r="AJ8" s="154"/>
      <x:c r="AK8" s="154"/>
      <x:c r="AL8" s="154"/>
      <x:c r="AM8" s="154"/>
      <x:c r="AN8" s="154"/>
      <x:c r="AO8" s="154"/>
      <x:c r="AP8" s="154"/>
      <x:c r="AQ8" s="154"/>
      <x:c r="AR8" s="154"/>
      <x:c r="AS8" s="154"/>
      <x:c r="AT8" s="154"/>
      <x:c r="AU8" s="154"/>
      <x:c r="AV8" s="154"/>
      <x:c r="AW8" s="154"/>
      <x:c r="AX8" s="154"/>
      <x:c r="AY8" s="154"/>
      <x:c r="AZ8" s="154"/>
    </x:row>
    <x:row r="9">
      <x:c r="A9" s="156" t="str">
        <x:v>Cọc bất lợi</x:v>
      </x:c>
      <x:c r="B9" s="172" t="n">
        <x:f>'09_CỌC_BẤT_LỢI'!B4</x:f>
        <x:v>168</x:v>
      </x:c>
      <x:c r="C9" s="172" t="str">
        <x:v>168</x:v>
      </x:c>
      <x:c r="D9" s="172"/>
      <x:c r="E9" s="172" t="str">
        <x:f>IF(B9=C9,"ĐẠT","KHÔNG KHỚP")</x:f>
        <x:v>ĐẠT</x:v>
      </x:c>
      <x:c r="F9" s="157" t="str">
        <x:v>Point</x:v>
      </x:c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  <x:c r="AB9" s="154"/>
      <x:c r="AC9" s="154"/>
      <x:c r="AD9" s="154"/>
      <x:c r="AE9" s="154"/>
      <x:c r="AF9" s="154"/>
      <x:c r="AG9" s="154"/>
      <x:c r="AH9" s="154"/>
      <x:c r="AI9" s="154"/>
      <x:c r="AJ9" s="154"/>
      <x:c r="AK9" s="154"/>
      <x:c r="AL9" s="154"/>
      <x:c r="AM9" s="154"/>
      <x:c r="AN9" s="154"/>
      <x:c r="AO9" s="154"/>
      <x:c r="AP9" s="154"/>
      <x:c r="AQ9" s="154"/>
      <x:c r="AR9" s="154"/>
      <x:c r="AS9" s="154"/>
      <x:c r="AT9" s="154"/>
      <x:c r="AU9" s="154"/>
      <x:c r="AV9" s="154"/>
      <x:c r="AW9" s="154"/>
      <x:c r="AX9" s="154"/>
      <x:c r="AY9" s="154"/>
      <x:c r="AZ9" s="154"/>
    </x:row>
    <x:row r="10">
      <x:c r="A10" s="156" t="str">
        <x:v>Tổ hợp bất lợi</x:v>
      </x:c>
      <x:c r="B10" s="172" t="str">
        <x:f>'09_CỌC_BẤT_LỢI'!B5</x:f>
        <x:v>EULS</x:v>
      </x:c>
      <x:c r="C10" s="172" t="str">
        <x:v>EULS</x:v>
      </x:c>
      <x:c r="D10" s="172"/>
      <x:c r="E10" s="172" t="str">
        <x:f>IF(B10=C10,"ĐẠT","KHÔNG KHỚP")</x:f>
        <x:v>ĐẠT</x:v>
      </x:c>
      <x:c r="F10" s="157" t="str">
        <x:v>Combination</x:v>
      </x:c>
      <x:c r="G10" s="154"/>
      <x:c r="H10" s="154"/>
      <x:c r="I10" s="154"/>
      <x:c r="J10" s="154"/>
      <x:c r="K10" s="154"/>
      <x:c r="L10" s="154"/>
      <x:c r="M10" s="154"/>
      <x:c r="N10" s="154"/>
      <x:c r="O10" s="154"/>
      <x:c r="P10" s="154"/>
      <x:c r="Q10" s="154"/>
      <x:c r="R10" s="154"/>
      <x:c r="S10" s="154"/>
      <x:c r="T10" s="154"/>
      <x:c r="U10" s="154"/>
      <x:c r="V10" s="154"/>
      <x:c r="W10" s="154"/>
      <x:c r="X10" s="154"/>
      <x:c r="Y10" s="154"/>
      <x:c r="Z10" s="154"/>
      <x:c r="AA10" s="154"/>
      <x:c r="AB10" s="154"/>
      <x:c r="AC10" s="154"/>
      <x:c r="AD10" s="154"/>
      <x:c r="AE10" s="154"/>
      <x:c r="AF10" s="154"/>
      <x:c r="AG10" s="154"/>
      <x:c r="AH10" s="154"/>
      <x:c r="AI10" s="154"/>
      <x:c r="AJ10" s="154"/>
      <x:c r="AK10" s="154"/>
      <x:c r="AL10" s="154"/>
      <x:c r="AM10" s="154"/>
      <x:c r="AN10" s="154"/>
      <x:c r="AO10" s="154"/>
      <x:c r="AP10" s="154"/>
      <x:c r="AQ10" s="154"/>
      <x:c r="AR10" s="154"/>
      <x:c r="AS10" s="154"/>
      <x:c r="AT10" s="154"/>
      <x:c r="AU10" s="154"/>
      <x:c r="AV10" s="154"/>
      <x:c r="AW10" s="154"/>
      <x:c r="AX10" s="154"/>
      <x:c r="AY10" s="154"/>
      <x:c r="AZ10" s="154"/>
    </x:row>
    <x:row r="11">
      <x:c r="A11" s="156" t="str">
        <x:v>Hệ số sử dụng bất lợi</x:v>
      </x:c>
      <x:c r="B11" s="172" t="n">
        <x:f>'09_CỌC_BẤT_LỢI'!B8</x:f>
        <x:v>0.4980692764464232</x:v>
      </x:c>
      <x:c r="C11" s="172" t="n">
        <x:v>0.4980692764464232</x:v>
      </x:c>
      <x:c r="D11" s="172" t="n">
        <x:f>B11-C11</x:f>
        <x:v>0</x:v>
      </x:c>
      <x:c r="E11" s="172" t="str">
        <x:f>IF(ABS(D11)&lt;1E-9,"ĐẠT","KHÔNG KHỚP")</x:f>
        <x:v>ĐẠT</x:v>
      </x:c>
      <x:c r="F11" s="157" t="str">
        <x:v>max utilization</x:v>
      </x:c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  <x:c r="AB11" s="154"/>
      <x:c r="AC11" s="154"/>
      <x:c r="AD11" s="154"/>
      <x:c r="AE11" s="154"/>
      <x:c r="AF11" s="154"/>
      <x:c r="AG11" s="154"/>
      <x:c r="AH11" s="154"/>
      <x:c r="AI11" s="154"/>
      <x:c r="AJ11" s="154"/>
      <x:c r="AK11" s="154"/>
      <x:c r="AL11" s="154"/>
      <x:c r="AM11" s="154"/>
      <x:c r="AN11" s="154"/>
      <x:c r="AO11" s="154"/>
      <x:c r="AP11" s="154"/>
      <x:c r="AQ11" s="154"/>
      <x:c r="AR11" s="154"/>
      <x:c r="AS11" s="154"/>
      <x:c r="AT11" s="154"/>
      <x:c r="AU11" s="154"/>
      <x:c r="AV11" s="154"/>
      <x:c r="AW11" s="154"/>
      <x:c r="AX11" s="154"/>
      <x:c r="AY11" s="154"/>
      <x:c r="AZ11" s="154"/>
    </x:row>
    <x:row r="12">
      <x:c r="A12" s="158" t="str">
        <x:v>Kết luận</x:v>
      </x:c>
      <x:c r="B12" s="174" t="str">
        <x:f>'09_CỌC_BẤT_LỢI'!B12</x:f>
        <x:v>ĐẠT</x:v>
      </x:c>
      <x:c r="C12" s="174" t="str">
        <x:v>ĐẠT</x:v>
      </x:c>
      <x:c r="D12" s="174"/>
      <x:c r="E12" s="174" t="str">
        <x:f>IF(B12=C12,"ĐẠT","KHÔNG KHỚP")</x:f>
        <x:v>ĐẠT</x:v>
      </x:c>
      <x:c r="F12" s="159" t="str">
        <x:v>ĐẠT/KHÔNG ĐẠT/KHÓA TÍNH</x:v>
      </x:c>
      <x:c r="G12" s="154"/>
      <x:c r="H12" s="154"/>
      <x:c r="I12" s="154"/>
      <x:c r="J12" s="154"/>
      <x:c r="K12" s="154"/>
      <x:c r="L12" s="154"/>
      <x:c r="M12" s="154"/>
      <x:c r="N12" s="154"/>
      <x:c r="O12" s="154"/>
      <x:c r="P12" s="154"/>
      <x:c r="Q12" s="154"/>
      <x:c r="R12" s="154"/>
      <x:c r="S12" s="154"/>
      <x:c r="T12" s="154"/>
      <x:c r="U12" s="154"/>
      <x:c r="V12" s="154"/>
      <x:c r="W12" s="154"/>
      <x:c r="X12" s="154"/>
      <x:c r="Y12" s="154"/>
      <x:c r="Z12" s="154"/>
      <x:c r="AA12" s="154"/>
      <x:c r="AB12" s="154"/>
      <x:c r="AC12" s="154"/>
      <x:c r="AD12" s="154"/>
      <x:c r="AE12" s="154"/>
      <x:c r="AF12" s="154"/>
      <x:c r="AG12" s="154"/>
      <x:c r="AH12" s="154"/>
      <x:c r="AI12" s="154"/>
      <x:c r="AJ12" s="154"/>
      <x:c r="AK12" s="154"/>
      <x:c r="AL12" s="154"/>
      <x:c r="AM12" s="154"/>
      <x:c r="AN12" s="154"/>
      <x:c r="AO12" s="154"/>
      <x:c r="AP12" s="154"/>
      <x:c r="AQ12" s="154"/>
      <x:c r="AR12" s="154"/>
      <x:c r="AS12" s="154"/>
      <x:c r="AT12" s="154"/>
      <x:c r="AU12" s="154"/>
      <x:c r="AV12" s="154"/>
      <x:c r="AW12" s="154"/>
      <x:c r="AX12" s="154"/>
      <x:c r="AY12" s="154"/>
      <x:c r="AZ12" s="154"/>
    </x:row>
    <x:row r="13">
      <x:c r="A13" s="155"/>
      <x:c r="B13" s="155"/>
      <x:c r="C13" s="155"/>
      <x:c r="D13" s="155"/>
      <x:c r="E13" s="155"/>
      <x:c r="F13" s="155"/>
      <x:c r="G13" s="154"/>
      <x:c r="H13" s="154"/>
      <x:c r="I13" s="154"/>
      <x:c r="J13" s="154"/>
      <x:c r="K13" s="154"/>
      <x:c r="L13" s="154"/>
      <x:c r="M13" s="154"/>
      <x:c r="N13" s="154"/>
      <x:c r="O13" s="154"/>
      <x:c r="P13" s="154"/>
      <x:c r="Q13" s="154"/>
      <x:c r="R13" s="154"/>
      <x:c r="S13" s="154"/>
      <x:c r="T13" s="154"/>
      <x:c r="U13" s="154"/>
      <x:c r="V13" s="154"/>
      <x:c r="W13" s="154"/>
      <x:c r="X13" s="154"/>
      <x:c r="Y13" s="154"/>
      <x:c r="Z13" s="154"/>
      <x:c r="AA13" s="154"/>
      <x:c r="AB13" s="154"/>
      <x:c r="AC13" s="154"/>
      <x:c r="AD13" s="154"/>
      <x:c r="AE13" s="154"/>
      <x:c r="AF13" s="154"/>
      <x:c r="AG13" s="154"/>
      <x:c r="AH13" s="154"/>
      <x:c r="AI13" s="154"/>
      <x:c r="AJ13" s="154"/>
      <x:c r="AK13" s="154"/>
      <x:c r="AL13" s="154"/>
      <x:c r="AM13" s="154"/>
      <x:c r="AN13" s="154"/>
      <x:c r="AO13" s="154"/>
      <x:c r="AP13" s="154"/>
      <x:c r="AQ13" s="154"/>
      <x:c r="AR13" s="154"/>
      <x:c r="AS13" s="154"/>
      <x:c r="AT13" s="154"/>
      <x:c r="AU13" s="154"/>
      <x:c r="AV13" s="154"/>
      <x:c r="AW13" s="154"/>
      <x:c r="AX13" s="154"/>
      <x:c r="AY13" s="154"/>
      <x:c r="AZ13" s="154"/>
    </x:row>
    <x:row r="14">
      <x:c r="A14" s="155"/>
      <x:c r="B14" s="155"/>
      <x:c r="C14" s="155"/>
      <x:c r="D14" s="155"/>
      <x:c r="E14" s="155"/>
      <x:c r="F14" s="155"/>
      <x:c r="G14" s="154"/>
      <x:c r="H14" s="154"/>
      <x:c r="I14" s="154"/>
      <x:c r="J14" s="154"/>
      <x:c r="K14" s="154"/>
      <x:c r="L14" s="154"/>
      <x:c r="M14" s="154"/>
      <x:c r="N14" s="154"/>
      <x:c r="O14" s="154"/>
      <x:c r="P14" s="154"/>
      <x:c r="Q14" s="154"/>
      <x:c r="R14" s="154"/>
      <x:c r="S14" s="154"/>
      <x:c r="T14" s="154"/>
      <x:c r="U14" s="154"/>
      <x:c r="V14" s="154"/>
      <x:c r="W14" s="154"/>
      <x:c r="X14" s="154"/>
      <x:c r="Y14" s="154"/>
      <x:c r="Z14" s="154"/>
      <x:c r="AA14" s="154"/>
      <x:c r="AB14" s="154"/>
      <x:c r="AC14" s="154"/>
      <x:c r="AD14" s="154"/>
      <x:c r="AE14" s="154"/>
      <x:c r="AF14" s="154"/>
      <x:c r="AG14" s="154"/>
      <x:c r="AH14" s="154"/>
      <x:c r="AI14" s="154"/>
      <x:c r="AJ14" s="154"/>
      <x:c r="AK14" s="154"/>
      <x:c r="AL14" s="154"/>
      <x:c r="AM14" s="154"/>
      <x:c r="AN14" s="154"/>
      <x:c r="AO14" s="154"/>
      <x:c r="AP14" s="154"/>
      <x:c r="AQ14" s="154"/>
      <x:c r="AR14" s="154"/>
      <x:c r="AS14" s="154"/>
      <x:c r="AT14" s="154"/>
      <x:c r="AU14" s="154"/>
      <x:c r="AV14" s="154"/>
      <x:c r="AW14" s="154"/>
      <x:c r="AX14" s="154"/>
      <x:c r="AY14" s="154"/>
      <x:c r="AZ14" s="154"/>
    </x:row>
    <x:row r="15">
      <x:c r="A15" s="16" t="str">
        <x:v>Gate tổng</x:v>
      </x:c>
      <x:c r="B15" s="16" t="str">
        <x:v>Kết quả</x:v>
      </x:c>
      <x:c r="C15" s="155"/>
      <x:c r="D15" s="155"/>
      <x:c r="E15" s="155"/>
      <x:c r="F15" s="155"/>
      <x:c r="G15" s="154"/>
      <x:c r="H15" s="154"/>
      <x:c r="I15" s="154"/>
      <x:c r="J15" s="154"/>
      <x:c r="K15" s="154"/>
      <x:c r="L15" s="154"/>
      <x:c r="M15" s="154"/>
      <x:c r="N15" s="154"/>
      <x:c r="O15" s="154"/>
      <x:c r="P15" s="154"/>
      <x:c r="Q15" s="154"/>
      <x:c r="R15" s="154"/>
      <x:c r="S15" s="154"/>
      <x:c r="T15" s="154"/>
      <x:c r="U15" s="154"/>
      <x:c r="V15" s="154"/>
      <x:c r="W15" s="154"/>
      <x:c r="X15" s="154"/>
      <x:c r="Y15" s="154"/>
      <x:c r="Z15" s="154"/>
      <x:c r="AA15" s="154"/>
      <x:c r="AB15" s="154"/>
      <x:c r="AC15" s="154"/>
      <x:c r="AD15" s="154"/>
      <x:c r="AE15" s="154"/>
      <x:c r="AF15" s="154"/>
      <x:c r="AG15" s="154"/>
      <x:c r="AH15" s="154"/>
      <x:c r="AI15" s="154"/>
      <x:c r="AJ15" s="154"/>
      <x:c r="AK15" s="154"/>
      <x:c r="AL15" s="154"/>
      <x:c r="AM15" s="154"/>
      <x:c r="AN15" s="154"/>
      <x:c r="AO15" s="154"/>
      <x:c r="AP15" s="154"/>
      <x:c r="AQ15" s="154"/>
      <x:c r="AR15" s="154"/>
      <x:c r="AS15" s="154"/>
      <x:c r="AT15" s="154"/>
      <x:c r="AU15" s="154"/>
      <x:c r="AV15" s="154"/>
      <x:c r="AW15" s="154"/>
      <x:c r="AX15" s="154"/>
      <x:c r="AY15" s="154"/>
      <x:c r="AZ15" s="154"/>
    </x:row>
    <x:row r="16">
      <x:c r="A16" s="155" t="str">
        <x:v>Test Node Pass 4→7</x:v>
      </x:c>
      <x:c r="B16" s="155" t="str">
        <x:v>156/156 PASS</x:v>
      </x:c>
      <x:c r="C16" s="155"/>
      <x:c r="D16" s="155"/>
      <x:c r="E16" s="155"/>
      <x:c r="F16" s="155"/>
      <x:c r="G16" s="154"/>
      <x:c r="H16" s="154"/>
      <x:c r="I16" s="154"/>
      <x:c r="J16" s="154"/>
      <x:c r="K16" s="154"/>
      <x:c r="L16" s="154"/>
      <x:c r="M16" s="154"/>
      <x:c r="N16" s="154"/>
      <x:c r="O16" s="154"/>
      <x:c r="P16" s="154"/>
      <x:c r="Q16" s="154"/>
      <x:c r="R16" s="154"/>
      <x:c r="S16" s="154"/>
      <x:c r="T16" s="154"/>
      <x:c r="U16" s="154"/>
      <x:c r="V16" s="154"/>
      <x:c r="W16" s="154"/>
      <x:c r="X16" s="154"/>
      <x:c r="Y16" s="154"/>
      <x:c r="Z16" s="154"/>
      <x:c r="AA16" s="154"/>
      <x:c r="AB16" s="154"/>
      <x:c r="AC16" s="154"/>
      <x:c r="AD16" s="154"/>
      <x:c r="AE16" s="154"/>
      <x:c r="AF16" s="154"/>
      <x:c r="AG16" s="154"/>
      <x:c r="AH16" s="154"/>
      <x:c r="AI16" s="154"/>
      <x:c r="AJ16" s="154"/>
      <x:c r="AK16" s="154"/>
      <x:c r="AL16" s="154"/>
      <x:c r="AM16" s="154"/>
      <x:c r="AN16" s="154"/>
      <x:c r="AO16" s="154"/>
      <x:c r="AP16" s="154"/>
      <x:c r="AQ16" s="154"/>
      <x:c r="AR16" s="154"/>
      <x:c r="AS16" s="154"/>
      <x:c r="AT16" s="154"/>
      <x:c r="AU16" s="154"/>
      <x:c r="AV16" s="154"/>
      <x:c r="AW16" s="154"/>
      <x:c r="AX16" s="154"/>
      <x:c r="AY16" s="154"/>
      <x:c r="AZ16" s="154"/>
    </x:row>
    <x:row r="17">
      <x:c r="A17" s="155" t="str">
        <x:v>DCE↔CSV</x:v>
      </x:c>
      <x:c r="B17" s="155" t="str">
        <x:v>19/19 PASS</x:v>
      </x:c>
      <x:c r="C17" s="155"/>
      <x:c r="D17" s="155"/>
      <x:c r="E17" s="155"/>
      <x:c r="F17" s="155"/>
      <x:c r="G17" s="154"/>
      <x:c r="H17" s="154"/>
      <x:c r="I17" s="154"/>
      <x:c r="J17" s="154"/>
      <x:c r="K17" s="154"/>
      <x:c r="L17" s="154"/>
      <x:c r="M17" s="154"/>
      <x:c r="N17" s="154"/>
      <x:c r="O17" s="154"/>
      <x:c r="P17" s="154"/>
      <x:c r="Q17" s="154"/>
      <x:c r="R17" s="154"/>
      <x:c r="S17" s="154"/>
      <x:c r="T17" s="154"/>
      <x:c r="U17" s="154"/>
      <x:c r="V17" s="154"/>
      <x:c r="W17" s="154"/>
      <x:c r="X17" s="154"/>
      <x:c r="Y17" s="154"/>
      <x:c r="Z17" s="154"/>
      <x:c r="AA17" s="154"/>
      <x:c r="AB17" s="154"/>
      <x:c r="AC17" s="154"/>
      <x:c r="AD17" s="154"/>
      <x:c r="AE17" s="154"/>
      <x:c r="AF17" s="154"/>
      <x:c r="AG17" s="154"/>
      <x:c r="AH17" s="154"/>
      <x:c r="AI17" s="154"/>
      <x:c r="AJ17" s="154"/>
      <x:c r="AK17" s="154"/>
      <x:c r="AL17" s="154"/>
      <x:c r="AM17" s="154"/>
      <x:c r="AN17" s="154"/>
      <x:c r="AO17" s="154"/>
      <x:c r="AP17" s="154"/>
      <x:c r="AQ17" s="154"/>
      <x:c r="AR17" s="154"/>
      <x:c r="AS17" s="154"/>
      <x:c r="AT17" s="154"/>
      <x:c r="AU17" s="154"/>
      <x:c r="AV17" s="154"/>
      <x:c r="AW17" s="154"/>
      <x:c r="AX17" s="154"/>
      <x:c r="AY17" s="154"/>
      <x:c r="AZ17" s="154"/>
    </x:row>
    <x:row r="18">
      <x:c r="A18" s="155" t="str">
        <x:v>Formula error scan</x:v>
      </x:c>
      <x:c r="B18" s="155" t="str">
        <x:v>ĐẠT</x:v>
      </x:c>
      <x:c r="C18" s="155"/>
      <x:c r="D18" s="155"/>
      <x:c r="E18" s="155"/>
      <x:c r="F18" s="155"/>
      <x:c r="G18" s="154"/>
      <x:c r="H18" s="154"/>
      <x:c r="I18" s="154"/>
      <x:c r="J18" s="154"/>
      <x:c r="K18" s="154"/>
      <x:c r="L18" s="154"/>
      <x:c r="M18" s="154"/>
      <x:c r="N18" s="154"/>
      <x:c r="O18" s="154"/>
      <x:c r="P18" s="154"/>
      <x:c r="Q18" s="154"/>
      <x:c r="R18" s="154"/>
      <x:c r="S18" s="154"/>
      <x:c r="T18" s="154"/>
      <x:c r="U18" s="154"/>
      <x:c r="V18" s="154"/>
      <x:c r="W18" s="154"/>
      <x:c r="X18" s="154"/>
      <x:c r="Y18" s="154"/>
      <x:c r="Z18" s="154"/>
      <x:c r="AA18" s="154"/>
      <x:c r="AB18" s="154"/>
      <x:c r="AC18" s="154"/>
      <x:c r="AD18" s="154"/>
      <x:c r="AE18" s="154"/>
      <x:c r="AF18" s="154"/>
      <x:c r="AG18" s="154"/>
      <x:c r="AH18" s="154"/>
      <x:c r="AI18" s="154"/>
      <x:c r="AJ18" s="154"/>
      <x:c r="AK18" s="154"/>
      <x:c r="AL18" s="154"/>
      <x:c r="AM18" s="154"/>
      <x:c r="AN18" s="154"/>
      <x:c r="AO18" s="154"/>
      <x:c r="AP18" s="154"/>
      <x:c r="AQ18" s="154"/>
      <x:c r="AR18" s="154"/>
      <x:c r="AS18" s="154"/>
      <x:c r="AT18" s="154"/>
      <x:c r="AU18" s="154"/>
      <x:c r="AV18" s="154"/>
      <x:c r="AW18" s="154"/>
      <x:c r="AX18" s="154"/>
      <x:c r="AY18" s="154"/>
      <x:c r="AZ18" s="154"/>
    </x:row>
    <x:row r="19">
      <x:c r="A19" s="155" t="str">
        <x:v>Search Brain</x:v>
      </x:c>
      <x:c r="B19" s="155" t="str">
        <x:v>Không sửa</x:v>
      </x:c>
      <x:c r="C19" s="155"/>
      <x:c r="D19" s="155"/>
      <x:c r="E19" s="155"/>
      <x:c r="F19" s="155"/>
      <x:c r="G19" s="154"/>
      <x:c r="H19" s="154"/>
      <x:c r="I19" s="154"/>
      <x:c r="J19" s="154"/>
      <x:c r="K19" s="154"/>
      <x:c r="L19" s="154"/>
      <x:c r="M19" s="154"/>
      <x:c r="N19" s="154"/>
      <x:c r="O19" s="154"/>
      <x:c r="P19" s="154"/>
      <x:c r="Q19" s="154"/>
      <x:c r="R19" s="154"/>
      <x:c r="S19" s="154"/>
      <x:c r="T19" s="154"/>
      <x:c r="U19" s="154"/>
      <x:c r="V19" s="154"/>
      <x:c r="W19" s="154"/>
      <x:c r="X19" s="154"/>
      <x:c r="Y19" s="154"/>
      <x:c r="Z19" s="154"/>
      <x:c r="AA19" s="154"/>
      <x:c r="AB19" s="154"/>
      <x:c r="AC19" s="154"/>
      <x:c r="AD19" s="154"/>
      <x:c r="AE19" s="154"/>
      <x:c r="AF19" s="154"/>
      <x:c r="AG19" s="154"/>
      <x:c r="AH19" s="154"/>
      <x:c r="AI19" s="154"/>
      <x:c r="AJ19" s="154"/>
      <x:c r="AK19" s="154"/>
      <x:c r="AL19" s="154"/>
      <x:c r="AM19" s="154"/>
      <x:c r="AN19" s="154"/>
      <x:c r="AO19" s="154"/>
      <x:c r="AP19" s="154"/>
      <x:c r="AQ19" s="154"/>
      <x:c r="AR19" s="154"/>
      <x:c r="AS19" s="154"/>
      <x:c r="AT19" s="154"/>
      <x:c r="AU19" s="154"/>
      <x:c r="AV19" s="154"/>
      <x:c r="AW19" s="154"/>
      <x:c r="AX19" s="154"/>
      <x:c r="AY19" s="154"/>
      <x:c r="AZ19" s="154"/>
    </x:row>
    <x:row r="20">
      <x:c r="A20" s="155" t="str">
        <x:v>Trạng thái Pass 7</x:v>
      </x:c>
      <x:c r="B20" s="155" t="str">
        <x:v>CORE LOCK CANDIDATE</x:v>
      </x:c>
      <x:c r="C20" s="155"/>
      <x:c r="D20" s="155"/>
      <x:c r="E20" s="155"/>
      <x:c r="F20" s="155"/>
      <x:c r="G20" s="154"/>
      <x:c r="H20" s="154"/>
      <x:c r="I20" s="154"/>
      <x:c r="J20" s="154"/>
      <x:c r="K20" s="154"/>
      <x:c r="L20" s="154"/>
      <x:c r="M20" s="154"/>
      <x:c r="N20" s="154"/>
      <x:c r="O20" s="154"/>
      <x:c r="P20" s="154"/>
      <x:c r="Q20" s="154"/>
      <x:c r="R20" s="154"/>
      <x:c r="S20" s="154"/>
      <x:c r="T20" s="154"/>
      <x:c r="U20" s="154"/>
      <x:c r="V20" s="154"/>
      <x:c r="W20" s="154"/>
      <x:c r="X20" s="154"/>
      <x:c r="Y20" s="154"/>
      <x:c r="Z20" s="154"/>
      <x:c r="AA20" s="154"/>
      <x:c r="AB20" s="154"/>
      <x:c r="AC20" s="154"/>
      <x:c r="AD20" s="154"/>
      <x:c r="AE20" s="154"/>
      <x:c r="AF20" s="154"/>
      <x:c r="AG20" s="154"/>
      <x:c r="AH20" s="154"/>
      <x:c r="AI20" s="154"/>
      <x:c r="AJ20" s="154"/>
      <x:c r="AK20" s="154"/>
      <x:c r="AL20" s="154"/>
      <x:c r="AM20" s="154"/>
      <x:c r="AN20" s="154"/>
      <x:c r="AO20" s="154"/>
      <x:c r="AP20" s="154"/>
      <x:c r="AQ20" s="154"/>
      <x:c r="AR20" s="154"/>
      <x:c r="AS20" s="154"/>
      <x:c r="AT20" s="154"/>
      <x:c r="AU20" s="154"/>
      <x:c r="AV20" s="154"/>
      <x:c r="AW20" s="154"/>
      <x:c r="AX20" s="154"/>
      <x:c r="AY20" s="154"/>
      <x:c r="AZ20" s="154"/>
    </x:row>
    <x:row r="21">
      <x:c r="A21" s="155"/>
      <x:c r="B21" s="155"/>
      <x:c r="C21" s="155"/>
      <x:c r="D21" s="155"/>
      <x:c r="E21" s="155"/>
      <x:c r="F21" s="155"/>
      <x:c r="G21" s="154"/>
      <x:c r="H21" s="154"/>
      <x:c r="I21" s="154"/>
      <x:c r="J21" s="154"/>
      <x:c r="K21" s="154"/>
      <x:c r="L21" s="154"/>
      <x:c r="M21" s="154"/>
      <x:c r="N21" s="154"/>
      <x:c r="O21" s="154"/>
      <x:c r="P21" s="154"/>
      <x:c r="Q21" s="154"/>
      <x:c r="R21" s="154"/>
      <x:c r="S21" s="154"/>
      <x:c r="T21" s="154"/>
      <x:c r="U21" s="154"/>
      <x:c r="V21" s="154"/>
      <x:c r="W21" s="154"/>
      <x:c r="X21" s="154"/>
      <x:c r="Y21" s="154"/>
      <x:c r="Z21" s="154"/>
      <x:c r="AA21" s="154"/>
      <x:c r="AB21" s="154"/>
      <x:c r="AC21" s="154"/>
      <x:c r="AD21" s="154"/>
      <x:c r="AE21" s="154"/>
      <x:c r="AF21" s="154"/>
      <x:c r="AG21" s="154"/>
      <x:c r="AH21" s="154"/>
      <x:c r="AI21" s="154"/>
      <x:c r="AJ21" s="154"/>
      <x:c r="AK21" s="154"/>
      <x:c r="AL21" s="154"/>
      <x:c r="AM21" s="154"/>
      <x:c r="AN21" s="154"/>
      <x:c r="AO21" s="154"/>
      <x:c r="AP21" s="154"/>
      <x:c r="AQ21" s="154"/>
      <x:c r="AR21" s="154"/>
      <x:c r="AS21" s="154"/>
      <x:c r="AT21" s="154"/>
      <x:c r="AU21" s="154"/>
      <x:c r="AV21" s="154"/>
      <x:c r="AW21" s="154"/>
      <x:c r="AX21" s="154"/>
      <x:c r="AY21" s="154"/>
      <x:c r="AZ21" s="154"/>
    </x:row>
    <x:row r="22">
      <x:c r="A22" s="155"/>
      <x:c r="B22" s="155"/>
      <x:c r="C22" s="155"/>
      <x:c r="D22" s="155"/>
      <x:c r="E22" s="155"/>
      <x:c r="F22" s="155"/>
      <x:c r="G22" s="154"/>
      <x:c r="H22" s="154"/>
      <x:c r="I22" s="154"/>
      <x:c r="J22" s="154"/>
      <x:c r="K22" s="154"/>
      <x:c r="L22" s="154"/>
      <x:c r="M22" s="154"/>
      <x:c r="N22" s="154"/>
      <x:c r="O22" s="154"/>
      <x:c r="P22" s="154"/>
      <x:c r="Q22" s="154"/>
      <x:c r="R22" s="154"/>
      <x:c r="S22" s="154"/>
      <x:c r="T22" s="154"/>
      <x:c r="U22" s="154"/>
      <x:c r="V22" s="154"/>
      <x:c r="W22" s="154"/>
      <x:c r="X22" s="154"/>
      <x:c r="Y22" s="154"/>
      <x:c r="Z22" s="154"/>
      <x:c r="AA22" s="154"/>
      <x:c r="AB22" s="154"/>
      <x:c r="AC22" s="154"/>
      <x:c r="AD22" s="154"/>
      <x:c r="AE22" s="154"/>
      <x:c r="AF22" s="154"/>
      <x:c r="AG22" s="154"/>
      <x:c r="AH22" s="154"/>
      <x:c r="AI22" s="154"/>
      <x:c r="AJ22" s="154"/>
      <x:c r="AK22" s="154"/>
      <x:c r="AL22" s="154"/>
      <x:c r="AM22" s="154"/>
      <x:c r="AN22" s="154"/>
      <x:c r="AO22" s="154"/>
      <x:c r="AP22" s="154"/>
      <x:c r="AQ22" s="154"/>
      <x:c r="AR22" s="154"/>
      <x:c r="AS22" s="154"/>
      <x:c r="AT22" s="154"/>
      <x:c r="AU22" s="154"/>
      <x:c r="AV22" s="154"/>
      <x:c r="AW22" s="154"/>
      <x:c r="AX22" s="154"/>
      <x:c r="AY22" s="154"/>
      <x:c r="AZ22" s="154"/>
    </x:row>
    <x:row r="23">
      <x:c r="A23" s="154"/>
      <x:c r="B23" s="154"/>
      <x:c r="C23" s="154"/>
      <x:c r="D23" s="154"/>
      <x:c r="E23" s="154"/>
      <x:c r="F23" s="154"/>
      <x:c r="G23" s="154"/>
      <x:c r="H23" s="154"/>
      <x:c r="I23" s="154"/>
      <x:c r="J23" s="154"/>
      <x:c r="K23" s="154"/>
      <x:c r="L23" s="154"/>
      <x:c r="M23" s="154"/>
      <x:c r="N23" s="154"/>
      <x:c r="O23" s="154"/>
      <x:c r="P23" s="154"/>
      <x:c r="Q23" s="154"/>
      <x:c r="R23" s="154"/>
      <x:c r="S23" s="154"/>
      <x:c r="T23" s="154"/>
      <x:c r="U23" s="154"/>
      <x:c r="V23" s="154"/>
      <x:c r="W23" s="154"/>
      <x:c r="X23" s="154"/>
      <x:c r="Y23" s="154"/>
      <x:c r="Z23" s="154"/>
      <x:c r="AA23" s="154"/>
      <x:c r="AB23" s="154"/>
      <x:c r="AC23" s="154"/>
      <x:c r="AD23" s="154"/>
      <x:c r="AE23" s="154"/>
      <x:c r="AF23" s="154"/>
      <x:c r="AG23" s="154"/>
      <x:c r="AH23" s="154"/>
      <x:c r="AI23" s="154"/>
      <x:c r="AJ23" s="154"/>
      <x:c r="AK23" s="154"/>
      <x:c r="AL23" s="154"/>
      <x:c r="AM23" s="154"/>
      <x:c r="AN23" s="154"/>
      <x:c r="AO23" s="154"/>
      <x:c r="AP23" s="154"/>
      <x:c r="AQ23" s="154"/>
      <x:c r="AR23" s="154"/>
      <x:c r="AS23" s="154"/>
      <x:c r="AT23" s="154"/>
      <x:c r="AU23" s="154"/>
      <x:c r="AV23" s="154"/>
      <x:c r="AW23" s="154"/>
      <x:c r="AX23" s="154"/>
      <x:c r="AY23" s="154"/>
      <x:c r="AZ23" s="154"/>
    </x:row>
    <x:row r="24">
      <x:c r="A24" s="154"/>
      <x:c r="B24" s="154"/>
      <x:c r="C24" s="154"/>
      <x:c r="D24" s="154"/>
      <x:c r="E24" s="154"/>
      <x:c r="F24" s="154"/>
      <x:c r="G24" s="154"/>
      <x:c r="H24" s="154"/>
      <x:c r="I24" s="154"/>
      <x:c r="J24" s="154"/>
      <x:c r="K24" s="154"/>
      <x:c r="L24" s="154"/>
      <x:c r="M24" s="154"/>
      <x:c r="N24" s="154"/>
      <x:c r="O24" s="154"/>
      <x:c r="P24" s="154"/>
      <x:c r="Q24" s="154"/>
      <x:c r="R24" s="154"/>
      <x:c r="S24" s="154"/>
      <x:c r="T24" s="154"/>
      <x:c r="U24" s="154"/>
      <x:c r="V24" s="154"/>
      <x:c r="W24" s="154"/>
      <x:c r="X24" s="154"/>
      <x:c r="Y24" s="154"/>
      <x:c r="Z24" s="154"/>
      <x:c r="AA24" s="154"/>
      <x:c r="AB24" s="154"/>
      <x:c r="AC24" s="154"/>
      <x:c r="AD24" s="154"/>
      <x:c r="AE24" s="154"/>
      <x:c r="AF24" s="154"/>
      <x:c r="AG24" s="154"/>
      <x:c r="AH24" s="154"/>
      <x:c r="AI24" s="154"/>
      <x:c r="AJ24" s="154"/>
      <x:c r="AK24" s="154"/>
      <x:c r="AL24" s="154"/>
      <x:c r="AM24" s="154"/>
      <x:c r="AN24" s="154"/>
      <x:c r="AO24" s="154"/>
      <x:c r="AP24" s="154"/>
      <x:c r="AQ24" s="154"/>
      <x:c r="AR24" s="154"/>
      <x:c r="AS24" s="154"/>
      <x:c r="AT24" s="154"/>
      <x:c r="AU24" s="154"/>
      <x:c r="AV24" s="154"/>
      <x:c r="AW24" s="154"/>
      <x:c r="AX24" s="154"/>
      <x:c r="AY24" s="154"/>
      <x:c r="AZ24" s="154"/>
    </x:row>
    <x:row r="25">
      <x:c r="A25" s="154"/>
      <x:c r="B25" s="154"/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4"/>
      <x:c r="M25" s="154"/>
      <x:c r="N25" s="154"/>
      <x:c r="O25" s="154"/>
      <x:c r="P25" s="154"/>
      <x:c r="Q25" s="154"/>
      <x:c r="R25" s="154"/>
      <x:c r="S25" s="154"/>
      <x:c r="T25" s="154"/>
      <x:c r="U25" s="154"/>
      <x:c r="V25" s="154"/>
      <x:c r="W25" s="154"/>
      <x:c r="X25" s="154"/>
      <x:c r="Y25" s="154"/>
      <x:c r="Z25" s="154"/>
      <x:c r="AA25" s="154"/>
      <x:c r="AB25" s="154"/>
      <x:c r="AC25" s="154"/>
      <x:c r="AD25" s="154"/>
      <x:c r="AE25" s="154"/>
      <x:c r="AF25" s="154"/>
      <x:c r="AG25" s="154"/>
      <x:c r="AH25" s="154"/>
      <x:c r="AI25" s="154"/>
      <x:c r="AJ25" s="154"/>
      <x:c r="AK25" s="154"/>
      <x:c r="AL25" s="154"/>
      <x:c r="AM25" s="154"/>
      <x:c r="AN25" s="154"/>
      <x:c r="AO25" s="154"/>
      <x:c r="AP25" s="154"/>
      <x:c r="AQ25" s="154"/>
      <x:c r="AR25" s="154"/>
      <x:c r="AS25" s="154"/>
      <x:c r="AT25" s="154"/>
      <x:c r="AU25" s="154"/>
      <x:c r="AV25" s="154"/>
      <x:c r="AW25" s="154"/>
      <x:c r="AX25" s="154"/>
      <x:c r="AY25" s="154"/>
      <x:c r="AZ25" s="154"/>
    </x:row>
    <x:row r="26">
      <x:c r="A26" s="154"/>
      <x:c r="B26" s="154"/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4"/>
      <x:c r="M26" s="154"/>
      <x:c r="N26" s="154"/>
      <x:c r="O26" s="154"/>
      <x:c r="P26" s="154"/>
      <x:c r="Q26" s="154"/>
      <x:c r="R26" s="154"/>
      <x:c r="S26" s="154"/>
      <x:c r="T26" s="154"/>
      <x:c r="U26" s="154"/>
      <x:c r="V26" s="154"/>
      <x:c r="W26" s="154"/>
      <x:c r="X26" s="154"/>
      <x:c r="Y26" s="154"/>
      <x:c r="Z26" s="154"/>
      <x:c r="AA26" s="154"/>
      <x:c r="AB26" s="154"/>
      <x:c r="AC26" s="154"/>
      <x:c r="AD26" s="154"/>
      <x:c r="AE26" s="154"/>
      <x:c r="AF26" s="154"/>
      <x:c r="AG26" s="154"/>
      <x:c r="AH26" s="154"/>
      <x:c r="AI26" s="154"/>
      <x:c r="AJ26" s="154"/>
      <x:c r="AK26" s="154"/>
      <x:c r="AL26" s="154"/>
      <x:c r="AM26" s="154"/>
      <x:c r="AN26" s="154"/>
      <x:c r="AO26" s="154"/>
      <x:c r="AP26" s="154"/>
      <x:c r="AQ26" s="154"/>
      <x:c r="AR26" s="154"/>
      <x:c r="AS26" s="154"/>
      <x:c r="AT26" s="154"/>
      <x:c r="AU26" s="154"/>
      <x:c r="AV26" s="154"/>
      <x:c r="AW26" s="154"/>
      <x:c r="AX26" s="154"/>
      <x:c r="AY26" s="154"/>
      <x:c r="AZ26" s="154"/>
    </x:row>
    <x:row r="27">
      <x:c r="A27" s="154"/>
      <x:c r="B27" s="154"/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4"/>
      <x:c r="M27" s="154"/>
      <x:c r="N27" s="154"/>
      <x:c r="O27" s="154"/>
      <x:c r="P27" s="154"/>
      <x:c r="Q27" s="154"/>
      <x:c r="R27" s="154"/>
      <x:c r="S27" s="154"/>
      <x:c r="T27" s="154"/>
      <x:c r="U27" s="154"/>
      <x:c r="V27" s="154"/>
      <x:c r="W27" s="154"/>
      <x:c r="X27" s="154"/>
      <x:c r="Y27" s="154"/>
      <x:c r="Z27" s="154"/>
      <x:c r="AA27" s="154"/>
      <x:c r="AB27" s="154"/>
      <x:c r="AC27" s="154"/>
      <x:c r="AD27" s="154"/>
      <x:c r="AE27" s="154"/>
      <x:c r="AF27" s="154"/>
      <x:c r="AG27" s="154"/>
      <x:c r="AH27" s="154"/>
      <x:c r="AI27" s="154"/>
      <x:c r="AJ27" s="154"/>
      <x:c r="AK27" s="154"/>
      <x:c r="AL27" s="154"/>
      <x:c r="AM27" s="154"/>
      <x:c r="AN27" s="154"/>
      <x:c r="AO27" s="154"/>
      <x:c r="AP27" s="154"/>
      <x:c r="AQ27" s="154"/>
      <x:c r="AR27" s="154"/>
      <x:c r="AS27" s="154"/>
      <x:c r="AT27" s="154"/>
      <x:c r="AU27" s="154"/>
      <x:c r="AV27" s="154"/>
      <x:c r="AW27" s="154"/>
      <x:c r="AX27" s="154"/>
      <x:c r="AY27" s="154"/>
      <x:c r="AZ27" s="154"/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  <x:c r="AB28" s="154"/>
      <x:c r="AC28" s="154"/>
      <x:c r="AD28" s="154"/>
      <x:c r="AE28" s="154"/>
      <x:c r="AF28" s="154"/>
      <x:c r="AG28" s="154"/>
      <x:c r="AH28" s="154"/>
      <x:c r="AI28" s="154"/>
      <x:c r="AJ28" s="154"/>
      <x:c r="AK28" s="154"/>
      <x:c r="AL28" s="154"/>
      <x:c r="AM28" s="154"/>
      <x:c r="AN28" s="154"/>
      <x:c r="AO28" s="154"/>
      <x:c r="AP28" s="154"/>
      <x:c r="AQ28" s="154"/>
      <x:c r="AR28" s="154"/>
      <x:c r="AS28" s="154"/>
      <x:c r="AT28" s="154"/>
      <x:c r="AU28" s="154"/>
      <x:c r="AV28" s="154"/>
      <x:c r="AW28" s="154"/>
      <x:c r="AX28" s="154"/>
      <x:c r="AY28" s="154"/>
      <x:c r="AZ28" s="154"/>
    </x:row>
    <x:row r="29">
      <x:c r="A29" s="154"/>
      <x:c r="B29" s="154"/>
      <x:c r="C29" s="154"/>
      <x:c r="D29" s="154"/>
      <x:c r="E29" s="154"/>
      <x:c r="F29" s="154"/>
      <x:c r="G29" s="154"/>
      <x:c r="H29" s="154"/>
      <x:c r="I29" s="154"/>
      <x:c r="J29" s="154"/>
      <x:c r="K29" s="154"/>
      <x:c r="L29" s="154"/>
      <x:c r="M29" s="154"/>
      <x:c r="N29" s="154"/>
      <x:c r="O29" s="154"/>
      <x:c r="P29" s="154"/>
      <x:c r="Q29" s="154"/>
      <x:c r="R29" s="154"/>
      <x:c r="S29" s="154"/>
      <x:c r="T29" s="154"/>
      <x:c r="U29" s="154"/>
      <x:c r="V29" s="154"/>
      <x:c r="W29" s="154"/>
      <x:c r="X29" s="154"/>
      <x:c r="Y29" s="154"/>
      <x:c r="Z29" s="154"/>
      <x:c r="AA29" s="154"/>
      <x:c r="AB29" s="154"/>
      <x:c r="AC29" s="154"/>
      <x:c r="AD29" s="154"/>
      <x:c r="AE29" s="154"/>
      <x:c r="AF29" s="154"/>
      <x:c r="AG29" s="154"/>
      <x:c r="AH29" s="154"/>
      <x:c r="AI29" s="154"/>
      <x:c r="AJ29" s="154"/>
      <x:c r="AK29" s="154"/>
      <x:c r="AL29" s="154"/>
      <x:c r="AM29" s="154"/>
      <x:c r="AN29" s="154"/>
      <x:c r="AO29" s="154"/>
      <x:c r="AP29" s="154"/>
      <x:c r="AQ29" s="154"/>
      <x:c r="AR29" s="154"/>
      <x:c r="AS29" s="154"/>
      <x:c r="AT29" s="154"/>
      <x:c r="AU29" s="154"/>
      <x:c r="AV29" s="154"/>
      <x:c r="AW29" s="154"/>
      <x:c r="AX29" s="154"/>
      <x:c r="AY29" s="154"/>
      <x:c r="AZ29" s="154"/>
    </x:row>
    <x:row r="30">
      <x:c r="A30" s="154"/>
      <x:c r="B30" s="154"/>
      <x:c r="C30" s="154"/>
      <x:c r="D30" s="154"/>
      <x:c r="E30" s="154"/>
      <x:c r="F30" s="154"/>
      <x:c r="G30" s="154"/>
      <x:c r="H30" s="154"/>
      <x:c r="I30" s="154"/>
      <x:c r="J30" s="154"/>
      <x:c r="K30" s="154"/>
      <x:c r="L30" s="154"/>
      <x:c r="M30" s="154"/>
      <x:c r="N30" s="154"/>
      <x:c r="O30" s="154"/>
      <x:c r="P30" s="154"/>
      <x:c r="Q30" s="154"/>
      <x:c r="R30" s="154"/>
      <x:c r="S30" s="154"/>
      <x:c r="T30" s="154"/>
      <x:c r="U30" s="154"/>
      <x:c r="V30" s="154"/>
      <x:c r="W30" s="154"/>
      <x:c r="X30" s="154"/>
      <x:c r="Y30" s="154"/>
      <x:c r="Z30" s="154"/>
      <x:c r="AA30" s="154"/>
      <x:c r="AB30" s="154"/>
      <x:c r="AC30" s="154"/>
      <x:c r="AD30" s="154"/>
      <x:c r="AE30" s="154"/>
      <x:c r="AF30" s="154"/>
      <x:c r="AG30" s="154"/>
      <x:c r="AH30" s="154"/>
      <x:c r="AI30" s="154"/>
      <x:c r="AJ30" s="154"/>
      <x:c r="AK30" s="154"/>
      <x:c r="AL30" s="154"/>
      <x:c r="AM30" s="154"/>
      <x:c r="AN30" s="154"/>
      <x:c r="AO30" s="154"/>
      <x:c r="AP30" s="154"/>
      <x:c r="AQ30" s="154"/>
      <x:c r="AR30" s="154"/>
      <x:c r="AS30" s="154"/>
      <x:c r="AT30" s="154"/>
      <x:c r="AU30" s="154"/>
      <x:c r="AV30" s="154"/>
      <x:c r="AW30" s="154"/>
      <x:c r="AX30" s="154"/>
      <x:c r="AY30" s="154"/>
      <x:c r="AZ30" s="154"/>
    </x:row>
    <x:row r="31">
      <x:c r="A31" s="154"/>
      <x:c r="B31" s="154"/>
      <x:c r="C31" s="154"/>
      <x:c r="D31" s="154"/>
      <x:c r="E31" s="154"/>
      <x:c r="F31" s="154"/>
      <x:c r="G31" s="154"/>
      <x:c r="H31" s="154"/>
      <x:c r="I31" s="154"/>
      <x:c r="J31" s="154"/>
      <x:c r="K31" s="154"/>
      <x:c r="L31" s="154"/>
      <x:c r="M31" s="154"/>
      <x:c r="N31" s="154"/>
      <x:c r="O31" s="154"/>
      <x:c r="P31" s="154"/>
      <x:c r="Q31" s="154"/>
      <x:c r="R31" s="154"/>
      <x:c r="S31" s="154"/>
      <x:c r="T31" s="154"/>
      <x:c r="U31" s="154"/>
      <x:c r="V31" s="154"/>
      <x:c r="W31" s="154"/>
      <x:c r="X31" s="154"/>
      <x:c r="Y31" s="154"/>
      <x:c r="Z31" s="154"/>
      <x:c r="AA31" s="154"/>
      <x:c r="AB31" s="154"/>
      <x:c r="AC31" s="154"/>
      <x:c r="AD31" s="154"/>
      <x:c r="AE31" s="154"/>
      <x:c r="AF31" s="154"/>
      <x:c r="AG31" s="154"/>
      <x:c r="AH31" s="154"/>
      <x:c r="AI31" s="154"/>
      <x:c r="AJ31" s="154"/>
      <x:c r="AK31" s="154"/>
      <x:c r="AL31" s="154"/>
      <x:c r="AM31" s="154"/>
      <x:c r="AN31" s="154"/>
      <x:c r="AO31" s="154"/>
      <x:c r="AP31" s="154"/>
      <x:c r="AQ31" s="154"/>
      <x:c r="AR31" s="154"/>
      <x:c r="AS31" s="154"/>
      <x:c r="AT31" s="154"/>
      <x:c r="AU31" s="154"/>
      <x:c r="AV31" s="154"/>
      <x:c r="AW31" s="154"/>
      <x:c r="AX31" s="154"/>
      <x:c r="AY31" s="154"/>
      <x:c r="AZ31" s="154"/>
    </x:row>
    <x:row r="32">
      <x:c r="A32" s="154"/>
      <x:c r="B32" s="154"/>
      <x:c r="C32" s="154"/>
      <x:c r="D32" s="154"/>
      <x:c r="E32" s="154"/>
      <x:c r="F32" s="154"/>
      <x:c r="G32" s="154"/>
      <x:c r="H32" s="154"/>
      <x:c r="I32" s="154"/>
      <x:c r="J32" s="154"/>
      <x:c r="K32" s="154"/>
      <x:c r="L32" s="154"/>
      <x:c r="M32" s="154"/>
      <x:c r="N32" s="154"/>
      <x:c r="O32" s="154"/>
      <x:c r="P32" s="154"/>
      <x:c r="Q32" s="154"/>
      <x:c r="R32" s="154"/>
      <x:c r="S32" s="154"/>
      <x:c r="T32" s="154"/>
      <x:c r="U32" s="154"/>
      <x:c r="V32" s="154"/>
      <x:c r="W32" s="154"/>
      <x:c r="X32" s="154"/>
      <x:c r="Y32" s="154"/>
      <x:c r="Z32" s="154"/>
      <x:c r="AA32" s="154"/>
      <x:c r="AB32" s="154"/>
      <x:c r="AC32" s="154"/>
      <x:c r="AD32" s="154"/>
      <x:c r="AE32" s="154"/>
      <x:c r="AF32" s="154"/>
      <x:c r="AG32" s="154"/>
      <x:c r="AH32" s="154"/>
      <x:c r="AI32" s="154"/>
      <x:c r="AJ32" s="154"/>
      <x:c r="AK32" s="154"/>
      <x:c r="AL32" s="154"/>
      <x:c r="AM32" s="154"/>
      <x:c r="AN32" s="154"/>
      <x:c r="AO32" s="154"/>
      <x:c r="AP32" s="154"/>
      <x:c r="AQ32" s="154"/>
      <x:c r="AR32" s="154"/>
      <x:c r="AS32" s="154"/>
      <x:c r="AT32" s="154"/>
      <x:c r="AU32" s="154"/>
      <x:c r="AV32" s="154"/>
      <x:c r="AW32" s="154"/>
      <x:c r="AX32" s="154"/>
      <x:c r="AY32" s="154"/>
      <x:c r="AZ32" s="154"/>
    </x:row>
    <x:row r="33">
      <x:c r="A33" s="154"/>
      <x:c r="B33" s="154"/>
      <x:c r="C33" s="154"/>
      <x:c r="D33" s="154"/>
      <x:c r="E33" s="154"/>
      <x:c r="F33" s="154"/>
      <x:c r="G33" s="154"/>
      <x:c r="H33" s="154"/>
      <x:c r="I33" s="154"/>
      <x:c r="J33" s="154"/>
      <x:c r="K33" s="154"/>
      <x:c r="L33" s="154"/>
      <x:c r="M33" s="154"/>
      <x:c r="N33" s="154"/>
      <x:c r="O33" s="154"/>
      <x:c r="P33" s="154"/>
      <x:c r="Q33" s="154"/>
      <x:c r="R33" s="154"/>
      <x:c r="S33" s="154"/>
      <x:c r="T33" s="154"/>
      <x:c r="U33" s="154"/>
      <x:c r="V33" s="154"/>
      <x:c r="W33" s="154"/>
      <x:c r="X33" s="154"/>
      <x:c r="Y33" s="154"/>
      <x:c r="Z33" s="154"/>
      <x:c r="AA33" s="154"/>
      <x:c r="AB33" s="154"/>
      <x:c r="AC33" s="154"/>
      <x:c r="AD33" s="154"/>
      <x:c r="AE33" s="154"/>
      <x:c r="AF33" s="154"/>
      <x:c r="AG33" s="154"/>
      <x:c r="AH33" s="154"/>
      <x:c r="AI33" s="154"/>
      <x:c r="AJ33" s="154"/>
      <x:c r="AK33" s="154"/>
      <x:c r="AL33" s="154"/>
      <x:c r="AM33" s="154"/>
      <x:c r="AN33" s="154"/>
      <x:c r="AO33" s="154"/>
      <x:c r="AP33" s="154"/>
      <x:c r="AQ33" s="154"/>
      <x:c r="AR33" s="154"/>
      <x:c r="AS33" s="154"/>
      <x:c r="AT33" s="154"/>
      <x:c r="AU33" s="154"/>
      <x:c r="AV33" s="154"/>
      <x:c r="AW33" s="154"/>
      <x:c r="AX33" s="154"/>
      <x:c r="AY33" s="154"/>
      <x:c r="AZ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  <x:c r="I34" s="154"/>
      <x:c r="J34" s="154"/>
      <x:c r="K34" s="154"/>
      <x:c r="L34" s="154"/>
      <x:c r="M34" s="154"/>
      <x:c r="N34" s="154"/>
      <x:c r="O34" s="154"/>
      <x:c r="P34" s="154"/>
      <x:c r="Q34" s="154"/>
      <x:c r="R34" s="154"/>
      <x:c r="S34" s="154"/>
      <x:c r="T34" s="154"/>
      <x:c r="U34" s="154"/>
      <x:c r="V34" s="154"/>
      <x:c r="W34" s="154"/>
      <x:c r="X34" s="154"/>
      <x:c r="Y34" s="154"/>
      <x:c r="Z34" s="154"/>
      <x:c r="AA34" s="154"/>
      <x:c r="AB34" s="154"/>
      <x:c r="AC34" s="154"/>
      <x:c r="AD34" s="154"/>
      <x:c r="AE34" s="154"/>
      <x:c r="AF34" s="154"/>
      <x:c r="AG34" s="154"/>
      <x:c r="AH34" s="154"/>
      <x:c r="AI34" s="154"/>
      <x:c r="AJ34" s="154"/>
      <x:c r="AK34" s="154"/>
      <x:c r="AL34" s="154"/>
      <x:c r="AM34" s="154"/>
      <x:c r="AN34" s="154"/>
      <x:c r="AO34" s="154"/>
      <x:c r="AP34" s="154"/>
      <x:c r="AQ34" s="154"/>
      <x:c r="AR34" s="154"/>
      <x:c r="AS34" s="154"/>
      <x:c r="AT34" s="154"/>
      <x:c r="AU34" s="154"/>
      <x:c r="AV34" s="154"/>
      <x:c r="AW34" s="154"/>
      <x:c r="AX34" s="154"/>
      <x:c r="AY34" s="154"/>
      <x:c r="AZ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  <x:c r="I35" s="154"/>
      <x:c r="J35" s="154"/>
      <x:c r="K35" s="154"/>
      <x:c r="L35" s="154"/>
      <x:c r="M35" s="154"/>
      <x:c r="N35" s="154"/>
      <x:c r="O35" s="154"/>
      <x:c r="P35" s="154"/>
      <x:c r="Q35" s="154"/>
      <x:c r="R35" s="154"/>
      <x:c r="S35" s="154"/>
      <x:c r="T35" s="154"/>
      <x:c r="U35" s="154"/>
      <x:c r="V35" s="154"/>
      <x:c r="W35" s="154"/>
      <x:c r="X35" s="154"/>
      <x:c r="Y35" s="154"/>
      <x:c r="Z35" s="154"/>
      <x:c r="AA35" s="154"/>
      <x:c r="AB35" s="154"/>
      <x:c r="AC35" s="154"/>
      <x:c r="AD35" s="154"/>
      <x:c r="AE35" s="154"/>
      <x:c r="AF35" s="154"/>
      <x:c r="AG35" s="154"/>
      <x:c r="AH35" s="154"/>
      <x:c r="AI35" s="154"/>
      <x:c r="AJ35" s="154"/>
      <x:c r="AK35" s="154"/>
      <x:c r="AL35" s="154"/>
      <x:c r="AM35" s="154"/>
      <x:c r="AN35" s="154"/>
      <x:c r="AO35" s="154"/>
      <x:c r="AP35" s="154"/>
      <x:c r="AQ35" s="154"/>
      <x:c r="AR35" s="154"/>
      <x:c r="AS35" s="154"/>
      <x:c r="AT35" s="154"/>
      <x:c r="AU35" s="154"/>
      <x:c r="AV35" s="154"/>
      <x:c r="AW35" s="154"/>
      <x:c r="AX35" s="154"/>
      <x:c r="AY35" s="154"/>
      <x:c r="AZ35" s="154"/>
    </x:row>
    <x:row r="36">
      <x:c r="A36" s="154"/>
      <x:c r="B36" s="154"/>
      <x:c r="C36" s="154"/>
      <x:c r="D36" s="154"/>
      <x:c r="E36" s="154"/>
      <x:c r="F36" s="154"/>
      <x:c r="G36" s="154"/>
      <x:c r="H36" s="154"/>
      <x:c r="I36" s="154"/>
      <x:c r="J36" s="154"/>
      <x:c r="K36" s="154"/>
      <x:c r="L36" s="154"/>
      <x:c r="M36" s="154"/>
      <x:c r="N36" s="154"/>
      <x:c r="O36" s="154"/>
      <x:c r="P36" s="154"/>
      <x:c r="Q36" s="154"/>
      <x:c r="R36" s="154"/>
      <x:c r="S36" s="154"/>
      <x:c r="T36" s="154"/>
      <x:c r="U36" s="154"/>
      <x:c r="V36" s="154"/>
      <x:c r="W36" s="154"/>
      <x:c r="X36" s="154"/>
      <x:c r="Y36" s="154"/>
      <x:c r="Z36" s="154"/>
      <x:c r="AA36" s="154"/>
      <x:c r="AB36" s="154"/>
      <x:c r="AC36" s="154"/>
      <x:c r="AD36" s="154"/>
      <x:c r="AE36" s="154"/>
      <x:c r="AF36" s="154"/>
      <x:c r="AG36" s="154"/>
      <x:c r="AH36" s="154"/>
      <x:c r="AI36" s="154"/>
      <x:c r="AJ36" s="154"/>
      <x:c r="AK36" s="154"/>
      <x:c r="AL36" s="154"/>
      <x:c r="AM36" s="154"/>
      <x:c r="AN36" s="154"/>
      <x:c r="AO36" s="154"/>
      <x:c r="AP36" s="154"/>
      <x:c r="AQ36" s="154"/>
      <x:c r="AR36" s="154"/>
      <x:c r="AS36" s="154"/>
      <x:c r="AT36" s="154"/>
      <x:c r="AU36" s="154"/>
      <x:c r="AV36" s="154"/>
      <x:c r="AW36" s="154"/>
      <x:c r="AX36" s="154"/>
      <x:c r="AY36" s="154"/>
      <x:c r="AZ36" s="154"/>
    </x:row>
    <x:row r="37">
      <x:c r="A37" s="154"/>
      <x:c r="B37" s="154"/>
      <x:c r="C37" s="154"/>
      <x:c r="D37" s="154"/>
      <x:c r="E37" s="154"/>
      <x:c r="F37" s="154"/>
      <x:c r="G37" s="154"/>
      <x:c r="H37" s="154"/>
      <x:c r="I37" s="154"/>
      <x:c r="J37" s="154"/>
      <x:c r="K37" s="154"/>
      <x:c r="L37" s="154"/>
      <x:c r="M37" s="154"/>
      <x:c r="N37" s="154"/>
      <x:c r="O37" s="154"/>
      <x:c r="P37" s="154"/>
      <x:c r="Q37" s="154"/>
      <x:c r="R37" s="154"/>
      <x:c r="S37" s="154"/>
      <x:c r="T37" s="154"/>
      <x:c r="U37" s="154"/>
      <x:c r="V37" s="154"/>
      <x:c r="W37" s="154"/>
      <x:c r="X37" s="154"/>
      <x:c r="Y37" s="154"/>
      <x:c r="Z37" s="154"/>
      <x:c r="AA37" s="154"/>
      <x:c r="AB37" s="154"/>
      <x:c r="AC37" s="154"/>
      <x:c r="AD37" s="154"/>
      <x:c r="AE37" s="154"/>
      <x:c r="AF37" s="154"/>
      <x:c r="AG37" s="154"/>
      <x:c r="AH37" s="154"/>
      <x:c r="AI37" s="154"/>
      <x:c r="AJ37" s="154"/>
      <x:c r="AK37" s="154"/>
      <x:c r="AL37" s="154"/>
      <x:c r="AM37" s="154"/>
      <x:c r="AN37" s="154"/>
      <x:c r="AO37" s="154"/>
      <x:c r="AP37" s="154"/>
      <x:c r="AQ37" s="154"/>
      <x:c r="AR37" s="154"/>
      <x:c r="AS37" s="154"/>
      <x:c r="AT37" s="154"/>
      <x:c r="AU37" s="154"/>
      <x:c r="AV37" s="154"/>
      <x:c r="AW37" s="154"/>
      <x:c r="AX37" s="154"/>
      <x:c r="AY37" s="154"/>
      <x:c r="AZ37" s="154"/>
    </x:row>
    <x:row r="38">
      <x:c r="A38" s="154"/>
      <x:c r="B38" s="154"/>
      <x:c r="C38" s="154"/>
      <x:c r="D38" s="154"/>
      <x:c r="E38" s="154"/>
      <x:c r="F38" s="154"/>
      <x:c r="G38" s="154"/>
      <x:c r="H38" s="154"/>
      <x:c r="I38" s="154"/>
      <x:c r="J38" s="154"/>
      <x:c r="K38" s="154"/>
      <x:c r="L38" s="154"/>
      <x:c r="M38" s="154"/>
      <x:c r="N38" s="154"/>
      <x:c r="O38" s="154"/>
      <x:c r="P38" s="154"/>
      <x:c r="Q38" s="154"/>
      <x:c r="R38" s="154"/>
      <x:c r="S38" s="154"/>
      <x:c r="T38" s="154"/>
      <x:c r="U38" s="154"/>
      <x:c r="V38" s="154"/>
      <x:c r="W38" s="154"/>
      <x:c r="X38" s="154"/>
      <x:c r="Y38" s="154"/>
      <x:c r="Z38" s="154"/>
      <x:c r="AA38" s="154"/>
      <x:c r="AB38" s="154"/>
      <x:c r="AC38" s="154"/>
      <x:c r="AD38" s="154"/>
      <x:c r="AE38" s="154"/>
      <x:c r="AF38" s="154"/>
      <x:c r="AG38" s="154"/>
      <x:c r="AH38" s="154"/>
      <x:c r="AI38" s="154"/>
      <x:c r="AJ38" s="154"/>
      <x:c r="AK38" s="154"/>
      <x:c r="AL38" s="154"/>
      <x:c r="AM38" s="154"/>
      <x:c r="AN38" s="154"/>
      <x:c r="AO38" s="154"/>
      <x:c r="AP38" s="154"/>
      <x:c r="AQ38" s="154"/>
      <x:c r="AR38" s="154"/>
      <x:c r="AS38" s="154"/>
      <x:c r="AT38" s="154"/>
      <x:c r="AU38" s="154"/>
      <x:c r="AV38" s="154"/>
      <x:c r="AW38" s="154"/>
      <x:c r="AX38" s="154"/>
      <x:c r="AY38" s="154"/>
      <x:c r="AZ38" s="154"/>
    </x:row>
    <x:row r="39">
      <x:c r="A39" s="154"/>
      <x:c r="B39" s="154"/>
      <x:c r="C39" s="154"/>
      <x:c r="D39" s="154"/>
      <x:c r="E39" s="154"/>
      <x:c r="F39" s="154"/>
      <x:c r="G39" s="154"/>
      <x:c r="H39" s="154"/>
      <x:c r="I39" s="154"/>
      <x:c r="J39" s="154"/>
      <x:c r="K39" s="154"/>
      <x:c r="L39" s="154"/>
      <x:c r="M39" s="154"/>
      <x:c r="N39" s="154"/>
      <x:c r="O39" s="154"/>
      <x:c r="P39" s="154"/>
      <x:c r="Q39" s="154"/>
      <x:c r="R39" s="154"/>
      <x:c r="S39" s="154"/>
      <x:c r="T39" s="154"/>
      <x:c r="U39" s="154"/>
      <x:c r="V39" s="154"/>
      <x:c r="W39" s="154"/>
      <x:c r="X39" s="154"/>
      <x:c r="Y39" s="154"/>
      <x:c r="Z39" s="154"/>
      <x:c r="AA39" s="154"/>
      <x:c r="AB39" s="154"/>
      <x:c r="AC39" s="154"/>
      <x:c r="AD39" s="154"/>
      <x:c r="AE39" s="154"/>
      <x:c r="AF39" s="154"/>
      <x:c r="AG39" s="154"/>
      <x:c r="AH39" s="154"/>
      <x:c r="AI39" s="154"/>
      <x:c r="AJ39" s="154"/>
      <x:c r="AK39" s="154"/>
      <x:c r="AL39" s="154"/>
      <x:c r="AM39" s="154"/>
      <x:c r="AN39" s="154"/>
      <x:c r="AO39" s="154"/>
      <x:c r="AP39" s="154"/>
      <x:c r="AQ39" s="154"/>
      <x:c r="AR39" s="154"/>
      <x:c r="AS39" s="154"/>
      <x:c r="AT39" s="154"/>
      <x:c r="AU39" s="154"/>
      <x:c r="AV39" s="154"/>
      <x:c r="AW39" s="154"/>
      <x:c r="AX39" s="154"/>
      <x:c r="AY39" s="154"/>
      <x:c r="AZ39" s="154"/>
    </x:row>
    <x:row r="40">
      <x:c r="A40" s="154"/>
      <x:c r="B40" s="154"/>
      <x:c r="C40" s="154"/>
      <x:c r="D40" s="154"/>
      <x:c r="E40" s="154"/>
      <x:c r="F40" s="154"/>
      <x:c r="G40" s="154"/>
      <x:c r="H40" s="154"/>
      <x:c r="I40" s="154"/>
      <x:c r="J40" s="154"/>
      <x:c r="K40" s="154"/>
      <x:c r="L40" s="154"/>
      <x:c r="M40" s="154"/>
      <x:c r="N40" s="154"/>
      <x:c r="O40" s="154"/>
      <x:c r="P40" s="154"/>
      <x:c r="Q40" s="154"/>
      <x:c r="R40" s="154"/>
      <x:c r="S40" s="154"/>
      <x:c r="T40" s="154"/>
      <x:c r="U40" s="154"/>
      <x:c r="V40" s="154"/>
      <x:c r="W40" s="154"/>
      <x:c r="X40" s="154"/>
      <x:c r="Y40" s="154"/>
      <x:c r="Z40" s="154"/>
      <x:c r="AA40" s="154"/>
      <x:c r="AB40" s="154"/>
      <x:c r="AC40" s="154"/>
      <x:c r="AD40" s="154"/>
      <x:c r="AE40" s="154"/>
      <x:c r="AF40" s="154"/>
      <x:c r="AG40" s="154"/>
      <x:c r="AH40" s="154"/>
      <x:c r="AI40" s="154"/>
      <x:c r="AJ40" s="154"/>
      <x:c r="AK40" s="154"/>
      <x:c r="AL40" s="154"/>
      <x:c r="AM40" s="154"/>
      <x:c r="AN40" s="154"/>
      <x:c r="AO40" s="154"/>
      <x:c r="AP40" s="154"/>
      <x:c r="AQ40" s="154"/>
      <x:c r="AR40" s="154"/>
      <x:c r="AS40" s="154"/>
      <x:c r="AT40" s="154"/>
      <x:c r="AU40" s="154"/>
      <x:c r="AV40" s="154"/>
      <x:c r="AW40" s="154"/>
      <x:c r="AX40" s="154"/>
      <x:c r="AY40" s="154"/>
      <x:c r="AZ40" s="154"/>
    </x:row>
    <x:row r="41">
      <x:c r="A41" s="154"/>
      <x:c r="B41" s="154"/>
      <x:c r="C41" s="154"/>
      <x:c r="D41" s="154"/>
      <x:c r="E41" s="154"/>
      <x:c r="F41" s="154"/>
      <x:c r="G41" s="154"/>
      <x:c r="H41" s="154"/>
      <x:c r="I41" s="154"/>
      <x:c r="J41" s="154"/>
      <x:c r="K41" s="154"/>
      <x:c r="L41" s="154"/>
      <x:c r="M41" s="154"/>
      <x:c r="N41" s="154"/>
      <x:c r="O41" s="154"/>
      <x:c r="P41" s="154"/>
      <x:c r="Q41" s="154"/>
      <x:c r="R41" s="154"/>
      <x:c r="S41" s="154"/>
      <x:c r="T41" s="154"/>
      <x:c r="U41" s="154"/>
      <x:c r="V41" s="154"/>
      <x:c r="W41" s="154"/>
      <x:c r="X41" s="154"/>
      <x:c r="Y41" s="154"/>
      <x:c r="Z41" s="154"/>
      <x:c r="AA41" s="154"/>
      <x:c r="AB41" s="154"/>
      <x:c r="AC41" s="154"/>
      <x:c r="AD41" s="154"/>
      <x:c r="AE41" s="154"/>
      <x:c r="AF41" s="154"/>
      <x:c r="AG41" s="154"/>
      <x:c r="AH41" s="154"/>
      <x:c r="AI41" s="154"/>
      <x:c r="AJ41" s="154"/>
      <x:c r="AK41" s="154"/>
      <x:c r="AL41" s="154"/>
      <x:c r="AM41" s="154"/>
      <x:c r="AN41" s="154"/>
      <x:c r="AO41" s="154"/>
      <x:c r="AP41" s="154"/>
      <x:c r="AQ41" s="154"/>
      <x:c r="AR41" s="154"/>
      <x:c r="AS41" s="154"/>
      <x:c r="AT41" s="154"/>
      <x:c r="AU41" s="154"/>
      <x:c r="AV41" s="154"/>
      <x:c r="AW41" s="154"/>
      <x:c r="AX41" s="154"/>
      <x:c r="AY41" s="154"/>
      <x:c r="AZ41" s="154"/>
    </x:row>
    <x:row r="42">
      <x:c r="A42" s="154"/>
      <x:c r="B42" s="154"/>
      <x:c r="C42" s="154"/>
      <x:c r="D42" s="154"/>
      <x:c r="E42" s="154"/>
      <x:c r="F42" s="154"/>
      <x:c r="G42" s="154"/>
      <x:c r="H42" s="154"/>
      <x:c r="I42" s="154"/>
      <x:c r="J42" s="154"/>
      <x:c r="K42" s="154"/>
      <x:c r="L42" s="154"/>
      <x:c r="M42" s="154"/>
      <x:c r="N42" s="154"/>
      <x:c r="O42" s="154"/>
      <x:c r="P42" s="154"/>
      <x:c r="Q42" s="154"/>
      <x:c r="R42" s="154"/>
      <x:c r="S42" s="154"/>
      <x:c r="T42" s="154"/>
      <x:c r="U42" s="154"/>
      <x:c r="V42" s="154"/>
      <x:c r="W42" s="154"/>
      <x:c r="X42" s="154"/>
      <x:c r="Y42" s="154"/>
      <x:c r="Z42" s="154"/>
      <x:c r="AA42" s="154"/>
      <x:c r="AB42" s="154"/>
      <x:c r="AC42" s="154"/>
      <x:c r="AD42" s="154"/>
      <x:c r="AE42" s="154"/>
      <x:c r="AF42" s="154"/>
      <x:c r="AG42" s="154"/>
      <x:c r="AH42" s="154"/>
      <x:c r="AI42" s="154"/>
      <x:c r="AJ42" s="154"/>
      <x:c r="AK42" s="154"/>
      <x:c r="AL42" s="154"/>
      <x:c r="AM42" s="154"/>
      <x:c r="AN42" s="154"/>
      <x:c r="AO42" s="154"/>
      <x:c r="AP42" s="154"/>
      <x:c r="AQ42" s="154"/>
      <x:c r="AR42" s="154"/>
      <x:c r="AS42" s="154"/>
      <x:c r="AT42" s="154"/>
      <x:c r="AU42" s="154"/>
      <x:c r="AV42" s="154"/>
      <x:c r="AW42" s="154"/>
      <x:c r="AX42" s="154"/>
      <x:c r="AY42" s="154"/>
      <x:c r="AZ42" s="154"/>
    </x:row>
    <x:row r="43">
      <x:c r="A43" s="154"/>
      <x:c r="B43" s="154"/>
      <x:c r="C43" s="154"/>
      <x:c r="D43" s="154"/>
      <x:c r="E43" s="154"/>
      <x:c r="F43" s="154"/>
      <x:c r="G43" s="154"/>
      <x:c r="H43" s="154"/>
      <x:c r="I43" s="154"/>
      <x:c r="J43" s="154"/>
      <x:c r="K43" s="154"/>
      <x:c r="L43" s="154"/>
      <x:c r="M43" s="154"/>
      <x:c r="N43" s="154"/>
      <x:c r="O43" s="154"/>
      <x:c r="P43" s="154"/>
      <x:c r="Q43" s="154"/>
      <x:c r="R43" s="154"/>
      <x:c r="S43" s="154"/>
      <x:c r="T43" s="154"/>
      <x:c r="U43" s="154"/>
      <x:c r="V43" s="154"/>
      <x:c r="W43" s="154"/>
      <x:c r="X43" s="154"/>
      <x:c r="Y43" s="154"/>
      <x:c r="Z43" s="154"/>
      <x:c r="AA43" s="154"/>
      <x:c r="AB43" s="154"/>
      <x:c r="AC43" s="154"/>
      <x:c r="AD43" s="154"/>
      <x:c r="AE43" s="154"/>
      <x:c r="AF43" s="154"/>
      <x:c r="AG43" s="154"/>
      <x:c r="AH43" s="154"/>
      <x:c r="AI43" s="154"/>
      <x:c r="AJ43" s="154"/>
      <x:c r="AK43" s="154"/>
      <x:c r="AL43" s="154"/>
      <x:c r="AM43" s="154"/>
      <x:c r="AN43" s="154"/>
      <x:c r="AO43" s="154"/>
      <x:c r="AP43" s="154"/>
      <x:c r="AQ43" s="154"/>
      <x:c r="AR43" s="154"/>
      <x:c r="AS43" s="154"/>
      <x:c r="AT43" s="154"/>
      <x:c r="AU43" s="154"/>
      <x:c r="AV43" s="154"/>
      <x:c r="AW43" s="154"/>
      <x:c r="AX43" s="154"/>
      <x:c r="AY43" s="154"/>
      <x:c r="AZ43" s="154"/>
    </x:row>
    <x:row r="44">
      <x:c r="A44" s="154"/>
      <x:c r="B44" s="154"/>
      <x:c r="C44" s="154"/>
      <x:c r="D44" s="154"/>
      <x:c r="E44" s="154"/>
      <x:c r="F44" s="154"/>
      <x:c r="G44" s="154"/>
      <x:c r="H44" s="154"/>
      <x:c r="I44" s="154"/>
      <x:c r="J44" s="154"/>
      <x:c r="K44" s="154"/>
      <x:c r="L44" s="154"/>
      <x:c r="M44" s="154"/>
      <x:c r="N44" s="154"/>
      <x:c r="O44" s="154"/>
      <x:c r="P44" s="154"/>
      <x:c r="Q44" s="154"/>
      <x:c r="R44" s="154"/>
      <x:c r="S44" s="154"/>
      <x:c r="T44" s="154"/>
      <x:c r="U44" s="154"/>
      <x:c r="V44" s="154"/>
      <x:c r="W44" s="154"/>
      <x:c r="X44" s="154"/>
      <x:c r="Y44" s="154"/>
      <x:c r="Z44" s="154"/>
      <x:c r="AA44" s="154"/>
      <x:c r="AB44" s="154"/>
      <x:c r="AC44" s="154"/>
      <x:c r="AD44" s="154"/>
      <x:c r="AE44" s="154"/>
      <x:c r="AF44" s="154"/>
      <x:c r="AG44" s="154"/>
      <x:c r="AH44" s="154"/>
      <x:c r="AI44" s="154"/>
      <x:c r="AJ44" s="154"/>
      <x:c r="AK44" s="154"/>
      <x:c r="AL44" s="154"/>
      <x:c r="AM44" s="154"/>
      <x:c r="AN44" s="154"/>
      <x:c r="AO44" s="154"/>
      <x:c r="AP44" s="154"/>
      <x:c r="AQ44" s="154"/>
      <x:c r="AR44" s="154"/>
      <x:c r="AS44" s="154"/>
      <x:c r="AT44" s="154"/>
      <x:c r="AU44" s="154"/>
      <x:c r="AV44" s="154"/>
      <x:c r="AW44" s="154"/>
      <x:c r="AX44" s="154"/>
      <x:c r="AY44" s="154"/>
      <x:c r="AZ44" s="154"/>
    </x:row>
    <x:row r="45">
      <x:c r="A45" s="154"/>
      <x:c r="B45" s="154"/>
      <x:c r="C45" s="154"/>
      <x:c r="D45" s="154"/>
      <x:c r="E45" s="154"/>
      <x:c r="F45" s="154"/>
      <x:c r="G45" s="154"/>
      <x:c r="H45" s="154"/>
      <x:c r="I45" s="154"/>
      <x:c r="J45" s="154"/>
      <x:c r="K45" s="154"/>
      <x:c r="L45" s="154"/>
      <x:c r="M45" s="154"/>
      <x:c r="N45" s="154"/>
      <x:c r="O45" s="154"/>
      <x:c r="P45" s="154"/>
      <x:c r="Q45" s="154"/>
      <x:c r="R45" s="154"/>
      <x:c r="S45" s="154"/>
      <x:c r="T45" s="154"/>
      <x:c r="U45" s="154"/>
      <x:c r="V45" s="154"/>
      <x:c r="W45" s="154"/>
      <x:c r="X45" s="154"/>
      <x:c r="Y45" s="154"/>
      <x:c r="Z45" s="154"/>
      <x:c r="AA45" s="154"/>
      <x:c r="AB45" s="154"/>
      <x:c r="AC45" s="154"/>
      <x:c r="AD45" s="154"/>
      <x:c r="AE45" s="154"/>
      <x:c r="AF45" s="154"/>
      <x:c r="AG45" s="154"/>
      <x:c r="AH45" s="154"/>
      <x:c r="AI45" s="154"/>
      <x:c r="AJ45" s="154"/>
      <x:c r="AK45" s="154"/>
      <x:c r="AL45" s="154"/>
      <x:c r="AM45" s="154"/>
      <x:c r="AN45" s="154"/>
      <x:c r="AO45" s="154"/>
      <x:c r="AP45" s="154"/>
      <x:c r="AQ45" s="154"/>
      <x:c r="AR45" s="154"/>
      <x:c r="AS45" s="154"/>
      <x:c r="AT45" s="154"/>
      <x:c r="AU45" s="154"/>
      <x:c r="AV45" s="154"/>
      <x:c r="AW45" s="154"/>
      <x:c r="AX45" s="154"/>
      <x:c r="AY45" s="154"/>
      <x:c r="AZ45" s="154"/>
    </x:row>
    <x:row r="46">
      <x:c r="A46" s="154"/>
      <x:c r="B46" s="154"/>
      <x:c r="C46" s="154"/>
      <x:c r="D46" s="154"/>
      <x:c r="E46" s="154"/>
      <x:c r="F46" s="154"/>
      <x:c r="G46" s="154"/>
      <x:c r="H46" s="154"/>
      <x:c r="I46" s="154"/>
      <x:c r="J46" s="154"/>
      <x:c r="K46" s="154"/>
      <x:c r="L46" s="154"/>
      <x:c r="M46" s="154"/>
      <x:c r="N46" s="154"/>
      <x:c r="O46" s="154"/>
      <x:c r="P46" s="154"/>
      <x:c r="Q46" s="154"/>
      <x:c r="R46" s="154"/>
      <x:c r="S46" s="154"/>
      <x:c r="T46" s="154"/>
      <x:c r="U46" s="154"/>
      <x:c r="V46" s="154"/>
      <x:c r="W46" s="154"/>
      <x:c r="X46" s="154"/>
      <x:c r="Y46" s="154"/>
      <x:c r="Z46" s="154"/>
      <x:c r="AA46" s="154"/>
      <x:c r="AB46" s="154"/>
      <x:c r="AC46" s="154"/>
      <x:c r="AD46" s="154"/>
      <x:c r="AE46" s="154"/>
      <x:c r="AF46" s="154"/>
      <x:c r="AG46" s="154"/>
      <x:c r="AH46" s="154"/>
      <x:c r="AI46" s="154"/>
      <x:c r="AJ46" s="154"/>
      <x:c r="AK46" s="154"/>
      <x:c r="AL46" s="154"/>
      <x:c r="AM46" s="154"/>
      <x:c r="AN46" s="154"/>
      <x:c r="AO46" s="154"/>
      <x:c r="AP46" s="154"/>
      <x:c r="AQ46" s="154"/>
      <x:c r="AR46" s="154"/>
      <x:c r="AS46" s="154"/>
      <x:c r="AT46" s="154"/>
      <x:c r="AU46" s="154"/>
      <x:c r="AV46" s="154"/>
      <x:c r="AW46" s="154"/>
      <x:c r="AX46" s="154"/>
      <x:c r="AY46" s="154"/>
      <x:c r="AZ46" s="154"/>
    </x:row>
    <x:row r="47">
      <x:c r="A47" s="154"/>
      <x:c r="B47" s="154"/>
      <x:c r="C47" s="154"/>
      <x:c r="D47" s="154"/>
      <x:c r="E47" s="154"/>
      <x:c r="F47" s="154"/>
      <x:c r="G47" s="154"/>
      <x:c r="H47" s="154"/>
      <x:c r="I47" s="154"/>
      <x:c r="J47" s="154"/>
      <x:c r="K47" s="154"/>
      <x:c r="L47" s="154"/>
      <x:c r="M47" s="154"/>
      <x:c r="N47" s="154"/>
      <x:c r="O47" s="154"/>
      <x:c r="P47" s="154"/>
      <x:c r="Q47" s="154"/>
      <x:c r="R47" s="154"/>
      <x:c r="S47" s="154"/>
      <x:c r="T47" s="154"/>
      <x:c r="U47" s="154"/>
      <x:c r="V47" s="154"/>
      <x:c r="W47" s="154"/>
      <x:c r="X47" s="154"/>
      <x:c r="Y47" s="154"/>
      <x:c r="Z47" s="154"/>
      <x:c r="AA47" s="154"/>
      <x:c r="AB47" s="154"/>
      <x:c r="AC47" s="154"/>
      <x:c r="AD47" s="154"/>
      <x:c r="AE47" s="154"/>
      <x:c r="AF47" s="154"/>
      <x:c r="AG47" s="154"/>
      <x:c r="AH47" s="154"/>
      <x:c r="AI47" s="154"/>
      <x:c r="AJ47" s="154"/>
      <x:c r="AK47" s="154"/>
      <x:c r="AL47" s="154"/>
      <x:c r="AM47" s="154"/>
      <x:c r="AN47" s="154"/>
      <x:c r="AO47" s="154"/>
      <x:c r="AP47" s="154"/>
      <x:c r="AQ47" s="154"/>
      <x:c r="AR47" s="154"/>
      <x:c r="AS47" s="154"/>
      <x:c r="AT47" s="154"/>
      <x:c r="AU47" s="154"/>
      <x:c r="AV47" s="154"/>
      <x:c r="AW47" s="154"/>
      <x:c r="AX47" s="154"/>
      <x:c r="AY47" s="154"/>
      <x:c r="AZ47" s="154"/>
    </x:row>
    <x:row r="48">
      <x:c r="A48" s="154"/>
      <x:c r="B48" s="154"/>
      <x:c r="C48" s="154"/>
      <x:c r="D48" s="154"/>
      <x:c r="E48" s="154"/>
      <x:c r="F48" s="154"/>
      <x:c r="G48" s="154"/>
      <x:c r="H48" s="154"/>
      <x:c r="I48" s="154"/>
      <x:c r="J48" s="154"/>
      <x:c r="K48" s="154"/>
      <x:c r="L48" s="154"/>
      <x:c r="M48" s="154"/>
      <x:c r="N48" s="154"/>
      <x:c r="O48" s="154"/>
      <x:c r="P48" s="154"/>
      <x:c r="Q48" s="154"/>
      <x:c r="R48" s="154"/>
      <x:c r="S48" s="154"/>
      <x:c r="T48" s="154"/>
      <x:c r="U48" s="154"/>
      <x:c r="V48" s="154"/>
      <x:c r="W48" s="154"/>
      <x:c r="X48" s="154"/>
      <x:c r="Y48" s="154"/>
      <x:c r="Z48" s="154"/>
      <x:c r="AA48" s="154"/>
      <x:c r="AB48" s="154"/>
      <x:c r="AC48" s="154"/>
      <x:c r="AD48" s="154"/>
      <x:c r="AE48" s="154"/>
      <x:c r="AF48" s="154"/>
      <x:c r="AG48" s="154"/>
      <x:c r="AH48" s="154"/>
      <x:c r="AI48" s="154"/>
      <x:c r="AJ48" s="154"/>
      <x:c r="AK48" s="154"/>
      <x:c r="AL48" s="154"/>
      <x:c r="AM48" s="154"/>
      <x:c r="AN48" s="154"/>
      <x:c r="AO48" s="154"/>
      <x:c r="AP48" s="154"/>
      <x:c r="AQ48" s="154"/>
      <x:c r="AR48" s="154"/>
      <x:c r="AS48" s="154"/>
      <x:c r="AT48" s="154"/>
      <x:c r="AU48" s="154"/>
      <x:c r="AV48" s="154"/>
      <x:c r="AW48" s="154"/>
      <x:c r="AX48" s="154"/>
      <x:c r="AY48" s="154"/>
      <x:c r="AZ48" s="154"/>
    </x:row>
    <x:row r="49">
      <x:c r="A49" s="154"/>
      <x:c r="B49" s="154"/>
      <x:c r="C49" s="154"/>
      <x:c r="D49" s="154"/>
      <x:c r="E49" s="154"/>
      <x:c r="F49" s="154"/>
      <x:c r="G49" s="154"/>
      <x:c r="H49" s="154"/>
      <x:c r="I49" s="154"/>
      <x:c r="J49" s="154"/>
      <x:c r="K49" s="154"/>
      <x:c r="L49" s="154"/>
      <x:c r="M49" s="154"/>
      <x:c r="N49" s="154"/>
      <x:c r="O49" s="154"/>
      <x:c r="P49" s="154"/>
      <x:c r="Q49" s="154"/>
      <x:c r="R49" s="154"/>
      <x:c r="S49" s="154"/>
      <x:c r="T49" s="154"/>
      <x:c r="U49" s="154"/>
      <x:c r="V49" s="154"/>
      <x:c r="W49" s="154"/>
      <x:c r="X49" s="154"/>
      <x:c r="Y49" s="154"/>
      <x:c r="Z49" s="154"/>
      <x:c r="AA49" s="154"/>
      <x:c r="AB49" s="154"/>
      <x:c r="AC49" s="154"/>
      <x:c r="AD49" s="154"/>
      <x:c r="AE49" s="154"/>
      <x:c r="AF49" s="154"/>
      <x:c r="AG49" s="154"/>
      <x:c r="AH49" s="154"/>
      <x:c r="AI49" s="154"/>
      <x:c r="AJ49" s="154"/>
      <x:c r="AK49" s="154"/>
      <x:c r="AL49" s="154"/>
      <x:c r="AM49" s="154"/>
      <x:c r="AN49" s="154"/>
      <x:c r="AO49" s="154"/>
      <x:c r="AP49" s="154"/>
      <x:c r="AQ49" s="154"/>
      <x:c r="AR49" s="154"/>
      <x:c r="AS49" s="154"/>
      <x:c r="AT49" s="154"/>
      <x:c r="AU49" s="154"/>
      <x:c r="AV49" s="154"/>
      <x:c r="AW49" s="154"/>
      <x:c r="AX49" s="154"/>
      <x:c r="AY49" s="154"/>
      <x:c r="AZ49" s="154"/>
    </x:row>
    <x:row r="50">
      <x:c r="A50" s="154"/>
      <x:c r="B50" s="154"/>
      <x:c r="C50" s="154"/>
      <x:c r="D50" s="154"/>
      <x:c r="E50" s="154"/>
      <x:c r="F50" s="154"/>
      <x:c r="G50" s="154"/>
      <x:c r="H50" s="154"/>
      <x:c r="I50" s="154"/>
      <x:c r="J50" s="154"/>
      <x:c r="K50" s="154"/>
      <x:c r="L50" s="154"/>
      <x:c r="M50" s="154"/>
      <x:c r="N50" s="154"/>
      <x:c r="O50" s="154"/>
      <x:c r="P50" s="154"/>
      <x:c r="Q50" s="154"/>
      <x:c r="R50" s="154"/>
      <x:c r="S50" s="154"/>
      <x:c r="T50" s="154"/>
      <x:c r="U50" s="154"/>
      <x:c r="V50" s="154"/>
      <x:c r="W50" s="154"/>
      <x:c r="X50" s="154"/>
      <x:c r="Y50" s="154"/>
      <x:c r="Z50" s="154"/>
      <x:c r="AA50" s="154"/>
      <x:c r="AB50" s="154"/>
      <x:c r="AC50" s="154"/>
      <x:c r="AD50" s="154"/>
      <x:c r="AE50" s="154"/>
      <x:c r="AF50" s="154"/>
      <x:c r="AG50" s="154"/>
      <x:c r="AH50" s="154"/>
      <x:c r="AI50" s="154"/>
      <x:c r="AJ50" s="154"/>
      <x:c r="AK50" s="154"/>
      <x:c r="AL50" s="154"/>
      <x:c r="AM50" s="154"/>
      <x:c r="AN50" s="154"/>
      <x:c r="AO50" s="154"/>
      <x:c r="AP50" s="154"/>
      <x:c r="AQ50" s="154"/>
      <x:c r="AR50" s="154"/>
      <x:c r="AS50" s="154"/>
      <x:c r="AT50" s="154"/>
      <x:c r="AU50" s="154"/>
      <x:c r="AV50" s="154"/>
      <x:c r="AW50" s="154"/>
      <x:c r="AX50" s="154"/>
      <x:c r="AY50" s="154"/>
      <x:c r="AZ50" s="154"/>
    </x:row>
    <x:row r="51">
      <x:c r="A51" s="154"/>
      <x:c r="B51" s="154"/>
      <x:c r="C51" s="154"/>
      <x:c r="D51" s="154"/>
      <x:c r="E51" s="154"/>
      <x:c r="F51" s="154"/>
      <x:c r="G51" s="154"/>
      <x:c r="H51" s="154"/>
      <x:c r="I51" s="154"/>
      <x:c r="J51" s="154"/>
      <x:c r="K51" s="154"/>
      <x:c r="L51" s="154"/>
      <x:c r="M51" s="154"/>
      <x:c r="N51" s="154"/>
      <x:c r="O51" s="154"/>
      <x:c r="P51" s="154"/>
      <x:c r="Q51" s="154"/>
      <x:c r="R51" s="154"/>
      <x:c r="S51" s="154"/>
      <x:c r="T51" s="154"/>
      <x:c r="U51" s="154"/>
      <x:c r="V51" s="154"/>
      <x:c r="W51" s="154"/>
      <x:c r="X51" s="154"/>
      <x:c r="Y51" s="154"/>
      <x:c r="Z51" s="154"/>
      <x:c r="AA51" s="154"/>
      <x:c r="AB51" s="154"/>
      <x:c r="AC51" s="154"/>
      <x:c r="AD51" s="154"/>
      <x:c r="AE51" s="154"/>
      <x:c r="AF51" s="154"/>
      <x:c r="AG51" s="154"/>
      <x:c r="AH51" s="154"/>
      <x:c r="AI51" s="154"/>
      <x:c r="AJ51" s="154"/>
      <x:c r="AK51" s="154"/>
      <x:c r="AL51" s="154"/>
      <x:c r="AM51" s="154"/>
      <x:c r="AN51" s="154"/>
      <x:c r="AO51" s="154"/>
      <x:c r="AP51" s="154"/>
      <x:c r="AQ51" s="154"/>
      <x:c r="AR51" s="154"/>
      <x:c r="AS51" s="154"/>
      <x:c r="AT51" s="154"/>
      <x:c r="AU51" s="154"/>
      <x:c r="AV51" s="154"/>
      <x:c r="AW51" s="154"/>
      <x:c r="AX51" s="154"/>
      <x:c r="AY51" s="154"/>
      <x:c r="AZ51" s="154"/>
    </x:row>
    <x:row r="52">
      <x:c r="A52" s="154"/>
      <x:c r="B52" s="154"/>
      <x:c r="C52" s="154"/>
      <x:c r="D52" s="154"/>
      <x:c r="E52" s="154"/>
      <x:c r="F52" s="154"/>
      <x:c r="G52" s="154"/>
      <x:c r="H52" s="154"/>
      <x:c r="I52" s="154"/>
      <x:c r="J52" s="154"/>
      <x:c r="K52" s="154"/>
      <x:c r="L52" s="154"/>
      <x:c r="M52" s="154"/>
      <x:c r="N52" s="154"/>
      <x:c r="O52" s="154"/>
      <x:c r="P52" s="154"/>
      <x:c r="Q52" s="154"/>
      <x:c r="R52" s="154"/>
      <x:c r="S52" s="154"/>
      <x:c r="T52" s="154"/>
      <x:c r="U52" s="154"/>
      <x:c r="V52" s="154"/>
      <x:c r="W52" s="154"/>
      <x:c r="X52" s="154"/>
      <x:c r="Y52" s="154"/>
      <x:c r="Z52" s="154"/>
      <x:c r="AA52" s="154"/>
      <x:c r="AB52" s="154"/>
      <x:c r="AC52" s="154"/>
      <x:c r="AD52" s="154"/>
      <x:c r="AE52" s="154"/>
      <x:c r="AF52" s="154"/>
      <x:c r="AG52" s="154"/>
      <x:c r="AH52" s="154"/>
      <x:c r="AI52" s="154"/>
      <x:c r="AJ52" s="154"/>
      <x:c r="AK52" s="154"/>
      <x:c r="AL52" s="154"/>
      <x:c r="AM52" s="154"/>
      <x:c r="AN52" s="154"/>
      <x:c r="AO52" s="154"/>
      <x:c r="AP52" s="154"/>
      <x:c r="AQ52" s="154"/>
      <x:c r="AR52" s="154"/>
      <x:c r="AS52" s="154"/>
      <x:c r="AT52" s="154"/>
      <x:c r="AU52" s="154"/>
      <x:c r="AV52" s="154"/>
      <x:c r="AW52" s="154"/>
      <x:c r="AX52" s="154"/>
      <x:c r="AY52" s="154"/>
      <x:c r="AZ52" s="154"/>
    </x:row>
    <x:row r="53">
      <x:c r="A53" s="154"/>
      <x:c r="B53" s="154"/>
      <x:c r="C53" s="154"/>
      <x:c r="D53" s="154"/>
      <x:c r="E53" s="154"/>
      <x:c r="F53" s="154"/>
      <x:c r="G53" s="154"/>
      <x:c r="H53" s="154"/>
      <x:c r="I53" s="154"/>
      <x:c r="J53" s="154"/>
      <x:c r="K53" s="154"/>
      <x:c r="L53" s="154"/>
      <x:c r="M53" s="154"/>
      <x:c r="N53" s="154"/>
      <x:c r="O53" s="154"/>
      <x:c r="P53" s="154"/>
      <x:c r="Q53" s="154"/>
      <x:c r="R53" s="154"/>
      <x:c r="S53" s="154"/>
      <x:c r="T53" s="154"/>
      <x:c r="U53" s="154"/>
      <x:c r="V53" s="154"/>
      <x:c r="W53" s="154"/>
      <x:c r="X53" s="154"/>
      <x:c r="Y53" s="154"/>
      <x:c r="Z53" s="154"/>
      <x:c r="AA53" s="154"/>
      <x:c r="AB53" s="154"/>
      <x:c r="AC53" s="154"/>
      <x:c r="AD53" s="154"/>
      <x:c r="AE53" s="154"/>
      <x:c r="AF53" s="154"/>
      <x:c r="AG53" s="154"/>
      <x:c r="AH53" s="154"/>
      <x:c r="AI53" s="154"/>
      <x:c r="AJ53" s="154"/>
      <x:c r="AK53" s="154"/>
      <x:c r="AL53" s="154"/>
      <x:c r="AM53" s="154"/>
      <x:c r="AN53" s="154"/>
      <x:c r="AO53" s="154"/>
      <x:c r="AP53" s="154"/>
      <x:c r="AQ53" s="154"/>
      <x:c r="AR53" s="154"/>
      <x:c r="AS53" s="154"/>
      <x:c r="AT53" s="154"/>
      <x:c r="AU53" s="154"/>
      <x:c r="AV53" s="154"/>
      <x:c r="AW53" s="154"/>
      <x:c r="AX53" s="154"/>
      <x:c r="AY53" s="154"/>
      <x:c r="AZ53" s="154"/>
    </x:row>
    <x:row r="54">
      <x:c r="A54" s="154"/>
      <x:c r="B54" s="154"/>
      <x:c r="C54" s="154"/>
      <x:c r="D54" s="154"/>
      <x:c r="E54" s="154"/>
      <x:c r="F54" s="154"/>
      <x:c r="G54" s="154"/>
      <x:c r="H54" s="154"/>
      <x:c r="I54" s="154"/>
      <x:c r="J54" s="154"/>
      <x:c r="K54" s="154"/>
      <x:c r="L54" s="154"/>
      <x:c r="M54" s="154"/>
      <x:c r="N54" s="154"/>
      <x:c r="O54" s="154"/>
      <x:c r="P54" s="154"/>
      <x:c r="Q54" s="154"/>
      <x:c r="R54" s="154"/>
      <x:c r="S54" s="154"/>
      <x:c r="T54" s="154"/>
      <x:c r="U54" s="154"/>
      <x:c r="V54" s="154"/>
      <x:c r="W54" s="154"/>
      <x:c r="X54" s="154"/>
      <x:c r="Y54" s="154"/>
      <x:c r="Z54" s="154"/>
      <x:c r="AA54" s="154"/>
      <x:c r="AB54" s="154"/>
      <x:c r="AC54" s="154"/>
      <x:c r="AD54" s="154"/>
      <x:c r="AE54" s="154"/>
      <x:c r="AF54" s="154"/>
      <x:c r="AG54" s="154"/>
      <x:c r="AH54" s="154"/>
      <x:c r="AI54" s="154"/>
      <x:c r="AJ54" s="154"/>
      <x:c r="AK54" s="154"/>
      <x:c r="AL54" s="154"/>
      <x:c r="AM54" s="154"/>
      <x:c r="AN54" s="154"/>
      <x:c r="AO54" s="154"/>
      <x:c r="AP54" s="154"/>
      <x:c r="AQ54" s="154"/>
      <x:c r="AR54" s="154"/>
      <x:c r="AS54" s="154"/>
      <x:c r="AT54" s="154"/>
      <x:c r="AU54" s="154"/>
      <x:c r="AV54" s="154"/>
      <x:c r="AW54" s="154"/>
      <x:c r="AX54" s="154"/>
      <x:c r="AY54" s="154"/>
      <x:c r="AZ54" s="154"/>
    </x:row>
    <x:row r="55">
      <x:c r="A55" s="154"/>
      <x:c r="B55" s="154"/>
      <x:c r="C55" s="154"/>
      <x:c r="D55" s="154"/>
      <x:c r="E55" s="154"/>
      <x:c r="F55" s="154"/>
      <x:c r="G55" s="154"/>
      <x:c r="H55" s="154"/>
      <x:c r="I55" s="154"/>
      <x:c r="J55" s="154"/>
      <x:c r="K55" s="154"/>
      <x:c r="L55" s="154"/>
      <x:c r="M55" s="154"/>
      <x:c r="N55" s="154"/>
      <x:c r="O55" s="154"/>
      <x:c r="P55" s="154"/>
      <x:c r="Q55" s="154"/>
      <x:c r="R55" s="154"/>
      <x:c r="S55" s="154"/>
      <x:c r="T55" s="154"/>
      <x:c r="U55" s="154"/>
      <x:c r="V55" s="154"/>
      <x:c r="W55" s="154"/>
      <x:c r="X55" s="154"/>
      <x:c r="Y55" s="154"/>
      <x:c r="Z55" s="154"/>
      <x:c r="AA55" s="154"/>
      <x:c r="AB55" s="154"/>
      <x:c r="AC55" s="154"/>
      <x:c r="AD55" s="154"/>
      <x:c r="AE55" s="154"/>
      <x:c r="AF55" s="154"/>
      <x:c r="AG55" s="154"/>
      <x:c r="AH55" s="154"/>
      <x:c r="AI55" s="154"/>
      <x:c r="AJ55" s="154"/>
      <x:c r="AK55" s="154"/>
      <x:c r="AL55" s="154"/>
      <x:c r="AM55" s="154"/>
      <x:c r="AN55" s="154"/>
      <x:c r="AO55" s="154"/>
      <x:c r="AP55" s="154"/>
      <x:c r="AQ55" s="154"/>
      <x:c r="AR55" s="154"/>
      <x:c r="AS55" s="154"/>
      <x:c r="AT55" s="154"/>
      <x:c r="AU55" s="154"/>
      <x:c r="AV55" s="154"/>
      <x:c r="AW55" s="154"/>
      <x:c r="AX55" s="154"/>
      <x:c r="AY55" s="154"/>
      <x:c r="AZ55" s="154"/>
    </x:row>
    <x:row r="56">
      <x:c r="A56" s="154"/>
      <x:c r="B56" s="154"/>
      <x:c r="C56" s="154"/>
      <x:c r="D56" s="154"/>
      <x:c r="E56" s="154"/>
      <x:c r="F56" s="154"/>
      <x:c r="G56" s="154"/>
      <x:c r="H56" s="154"/>
      <x:c r="I56" s="154"/>
      <x:c r="J56" s="154"/>
      <x:c r="K56" s="154"/>
      <x:c r="L56" s="154"/>
      <x:c r="M56" s="154"/>
      <x:c r="N56" s="154"/>
      <x:c r="O56" s="154"/>
      <x:c r="P56" s="154"/>
      <x:c r="Q56" s="154"/>
      <x:c r="R56" s="154"/>
      <x:c r="S56" s="154"/>
      <x:c r="T56" s="154"/>
      <x:c r="U56" s="154"/>
      <x:c r="V56" s="154"/>
      <x:c r="W56" s="154"/>
      <x:c r="X56" s="154"/>
      <x:c r="Y56" s="154"/>
      <x:c r="Z56" s="154"/>
      <x:c r="AA56" s="154"/>
      <x:c r="AB56" s="154"/>
      <x:c r="AC56" s="154"/>
      <x:c r="AD56" s="154"/>
      <x:c r="AE56" s="154"/>
      <x:c r="AF56" s="154"/>
      <x:c r="AG56" s="154"/>
      <x:c r="AH56" s="154"/>
      <x:c r="AI56" s="154"/>
      <x:c r="AJ56" s="154"/>
      <x:c r="AK56" s="154"/>
      <x:c r="AL56" s="154"/>
      <x:c r="AM56" s="154"/>
      <x:c r="AN56" s="154"/>
      <x:c r="AO56" s="154"/>
      <x:c r="AP56" s="154"/>
      <x:c r="AQ56" s="154"/>
      <x:c r="AR56" s="154"/>
      <x:c r="AS56" s="154"/>
      <x:c r="AT56" s="154"/>
      <x:c r="AU56" s="154"/>
      <x:c r="AV56" s="154"/>
      <x:c r="AW56" s="154"/>
      <x:c r="AX56" s="154"/>
      <x:c r="AY56" s="154"/>
      <x:c r="AZ56" s="154"/>
    </x:row>
    <x:row r="57">
      <x:c r="A57" s="154"/>
      <x:c r="B57" s="154"/>
      <x:c r="C57" s="154"/>
      <x:c r="D57" s="154"/>
      <x:c r="E57" s="154"/>
      <x:c r="F57" s="154"/>
      <x:c r="G57" s="154"/>
      <x:c r="H57" s="154"/>
      <x:c r="I57" s="154"/>
      <x:c r="J57" s="154"/>
      <x:c r="K57" s="154"/>
      <x:c r="L57" s="154"/>
      <x:c r="M57" s="154"/>
      <x:c r="N57" s="154"/>
      <x:c r="O57" s="154"/>
      <x:c r="P57" s="154"/>
      <x:c r="Q57" s="154"/>
      <x:c r="R57" s="154"/>
      <x:c r="S57" s="154"/>
      <x:c r="T57" s="154"/>
      <x:c r="U57" s="154"/>
      <x:c r="V57" s="154"/>
      <x:c r="W57" s="154"/>
      <x:c r="X57" s="154"/>
      <x:c r="Y57" s="154"/>
      <x:c r="Z57" s="154"/>
      <x:c r="AA57" s="154"/>
      <x:c r="AB57" s="154"/>
      <x:c r="AC57" s="154"/>
      <x:c r="AD57" s="154"/>
      <x:c r="AE57" s="154"/>
      <x:c r="AF57" s="154"/>
      <x:c r="AG57" s="154"/>
      <x:c r="AH57" s="154"/>
      <x:c r="AI57" s="154"/>
      <x:c r="AJ57" s="154"/>
      <x:c r="AK57" s="154"/>
      <x:c r="AL57" s="154"/>
      <x:c r="AM57" s="154"/>
      <x:c r="AN57" s="154"/>
      <x:c r="AO57" s="154"/>
      <x:c r="AP57" s="154"/>
      <x:c r="AQ57" s="154"/>
      <x:c r="AR57" s="154"/>
      <x:c r="AS57" s="154"/>
      <x:c r="AT57" s="154"/>
      <x:c r="AU57" s="154"/>
      <x:c r="AV57" s="154"/>
      <x:c r="AW57" s="154"/>
      <x:c r="AX57" s="154"/>
      <x:c r="AY57" s="154"/>
      <x:c r="AZ57" s="154"/>
    </x:row>
    <x:row r="58">
      <x:c r="A58" s="154"/>
      <x:c r="B58" s="154"/>
      <x:c r="C58" s="154"/>
      <x:c r="D58" s="154"/>
      <x:c r="E58" s="154"/>
      <x:c r="F58" s="154"/>
      <x:c r="G58" s="154"/>
      <x:c r="H58" s="154"/>
      <x:c r="I58" s="154"/>
      <x:c r="J58" s="154"/>
      <x:c r="K58" s="154"/>
      <x:c r="L58" s="154"/>
      <x:c r="M58" s="154"/>
      <x:c r="N58" s="154"/>
      <x:c r="O58" s="154"/>
      <x:c r="P58" s="154"/>
      <x:c r="Q58" s="154"/>
      <x:c r="R58" s="154"/>
      <x:c r="S58" s="154"/>
      <x:c r="T58" s="154"/>
      <x:c r="U58" s="154"/>
      <x:c r="V58" s="154"/>
      <x:c r="W58" s="154"/>
      <x:c r="X58" s="154"/>
      <x:c r="Y58" s="154"/>
      <x:c r="Z58" s="154"/>
      <x:c r="AA58" s="154"/>
      <x:c r="AB58" s="154"/>
      <x:c r="AC58" s="154"/>
      <x:c r="AD58" s="154"/>
      <x:c r="AE58" s="154"/>
      <x:c r="AF58" s="154"/>
      <x:c r="AG58" s="154"/>
      <x:c r="AH58" s="154"/>
      <x:c r="AI58" s="154"/>
      <x:c r="AJ58" s="154"/>
      <x:c r="AK58" s="154"/>
      <x:c r="AL58" s="154"/>
      <x:c r="AM58" s="154"/>
      <x:c r="AN58" s="154"/>
      <x:c r="AO58" s="154"/>
      <x:c r="AP58" s="154"/>
      <x:c r="AQ58" s="154"/>
      <x:c r="AR58" s="154"/>
      <x:c r="AS58" s="154"/>
      <x:c r="AT58" s="154"/>
      <x:c r="AU58" s="154"/>
      <x:c r="AV58" s="154"/>
      <x:c r="AW58" s="154"/>
      <x:c r="AX58" s="154"/>
      <x:c r="AY58" s="154"/>
      <x:c r="AZ58" s="154"/>
    </x:row>
    <x:row r="59">
      <x:c r="A59" s="154"/>
      <x:c r="B59" s="154"/>
      <x:c r="C59" s="154"/>
      <x:c r="D59" s="154"/>
      <x:c r="E59" s="154"/>
      <x:c r="F59" s="154"/>
      <x:c r="G59" s="154"/>
      <x:c r="H59" s="154"/>
      <x:c r="I59" s="154"/>
      <x:c r="J59" s="154"/>
      <x:c r="K59" s="154"/>
      <x:c r="L59" s="154"/>
      <x:c r="M59" s="154"/>
      <x:c r="N59" s="154"/>
      <x:c r="O59" s="154"/>
      <x:c r="P59" s="154"/>
      <x:c r="Q59" s="154"/>
      <x:c r="R59" s="154"/>
      <x:c r="S59" s="154"/>
      <x:c r="T59" s="154"/>
      <x:c r="U59" s="154"/>
      <x:c r="V59" s="154"/>
      <x:c r="W59" s="154"/>
      <x:c r="X59" s="154"/>
      <x:c r="Y59" s="154"/>
      <x:c r="Z59" s="154"/>
      <x:c r="AA59" s="154"/>
      <x:c r="AB59" s="154"/>
      <x:c r="AC59" s="154"/>
      <x:c r="AD59" s="154"/>
      <x:c r="AE59" s="154"/>
      <x:c r="AF59" s="154"/>
      <x:c r="AG59" s="154"/>
      <x:c r="AH59" s="154"/>
      <x:c r="AI59" s="154"/>
      <x:c r="AJ59" s="154"/>
      <x:c r="AK59" s="154"/>
      <x:c r="AL59" s="154"/>
      <x:c r="AM59" s="154"/>
      <x:c r="AN59" s="154"/>
      <x:c r="AO59" s="154"/>
      <x:c r="AP59" s="154"/>
      <x:c r="AQ59" s="154"/>
      <x:c r="AR59" s="154"/>
      <x:c r="AS59" s="154"/>
      <x:c r="AT59" s="154"/>
      <x:c r="AU59" s="154"/>
      <x:c r="AV59" s="154"/>
      <x:c r="AW59" s="154"/>
      <x:c r="AX59" s="154"/>
      <x:c r="AY59" s="154"/>
      <x:c r="AZ59" s="154"/>
    </x:row>
    <x:row r="60">
      <x:c r="A60" s="154"/>
      <x:c r="B60" s="154"/>
      <x:c r="C60" s="154"/>
      <x:c r="D60" s="154"/>
      <x:c r="E60" s="154"/>
      <x:c r="F60" s="154"/>
      <x:c r="G60" s="154"/>
      <x:c r="H60" s="154"/>
      <x:c r="I60" s="154"/>
      <x:c r="J60" s="154"/>
      <x:c r="K60" s="154"/>
      <x:c r="L60" s="154"/>
      <x:c r="M60" s="154"/>
      <x:c r="N60" s="154"/>
      <x:c r="O60" s="154"/>
      <x:c r="P60" s="154"/>
      <x:c r="Q60" s="154"/>
      <x:c r="R60" s="154"/>
      <x:c r="S60" s="154"/>
      <x:c r="T60" s="154"/>
      <x:c r="U60" s="154"/>
      <x:c r="V60" s="154"/>
      <x:c r="W60" s="154"/>
      <x:c r="X60" s="154"/>
      <x:c r="Y60" s="154"/>
      <x:c r="Z60" s="154"/>
      <x:c r="AA60" s="154"/>
      <x:c r="AB60" s="154"/>
      <x:c r="AC60" s="154"/>
      <x:c r="AD60" s="154"/>
      <x:c r="AE60" s="154"/>
      <x:c r="AF60" s="154"/>
      <x:c r="AG60" s="154"/>
      <x:c r="AH60" s="154"/>
      <x:c r="AI60" s="154"/>
      <x:c r="AJ60" s="154"/>
      <x:c r="AK60" s="154"/>
      <x:c r="AL60" s="154"/>
      <x:c r="AM60" s="154"/>
      <x:c r="AN60" s="154"/>
      <x:c r="AO60" s="154"/>
      <x:c r="AP60" s="154"/>
      <x:c r="AQ60" s="154"/>
      <x:c r="AR60" s="154"/>
      <x:c r="AS60" s="154"/>
      <x:c r="AT60" s="154"/>
      <x:c r="AU60" s="154"/>
      <x:c r="AV60" s="154"/>
      <x:c r="AW60" s="154"/>
      <x:c r="AX60" s="154"/>
      <x:c r="AY60" s="154"/>
      <x:c r="AZ60" s="154"/>
    </x:row>
    <x:row r="61">
      <x:c r="A61" s="154"/>
      <x:c r="B61" s="154"/>
      <x:c r="C61" s="154"/>
      <x:c r="D61" s="154"/>
      <x:c r="E61" s="154"/>
      <x:c r="F61" s="154"/>
      <x:c r="G61" s="154"/>
      <x:c r="H61" s="154"/>
      <x:c r="I61" s="154"/>
      <x:c r="J61" s="154"/>
      <x:c r="K61" s="154"/>
      <x:c r="L61" s="154"/>
      <x:c r="M61" s="154"/>
      <x:c r="N61" s="154"/>
      <x:c r="O61" s="154"/>
      <x:c r="P61" s="154"/>
      <x:c r="Q61" s="154"/>
      <x:c r="R61" s="154"/>
      <x:c r="S61" s="154"/>
      <x:c r="T61" s="154"/>
      <x:c r="U61" s="154"/>
      <x:c r="V61" s="154"/>
      <x:c r="W61" s="154"/>
      <x:c r="X61" s="154"/>
      <x:c r="Y61" s="154"/>
      <x:c r="Z61" s="154"/>
      <x:c r="AA61" s="154"/>
      <x:c r="AB61" s="154"/>
      <x:c r="AC61" s="154"/>
      <x:c r="AD61" s="154"/>
      <x:c r="AE61" s="154"/>
      <x:c r="AF61" s="154"/>
      <x:c r="AG61" s="154"/>
      <x:c r="AH61" s="154"/>
      <x:c r="AI61" s="154"/>
      <x:c r="AJ61" s="154"/>
      <x:c r="AK61" s="154"/>
      <x:c r="AL61" s="154"/>
      <x:c r="AM61" s="154"/>
      <x:c r="AN61" s="154"/>
      <x:c r="AO61" s="154"/>
      <x:c r="AP61" s="154"/>
      <x:c r="AQ61" s="154"/>
      <x:c r="AR61" s="154"/>
      <x:c r="AS61" s="154"/>
      <x:c r="AT61" s="154"/>
      <x:c r="AU61" s="154"/>
      <x:c r="AV61" s="154"/>
      <x:c r="AW61" s="154"/>
      <x:c r="AX61" s="154"/>
      <x:c r="AY61" s="154"/>
      <x:c r="AZ61" s="154"/>
    </x:row>
    <x:row r="62">
      <x:c r="A62" s="154"/>
      <x:c r="B62" s="154"/>
      <x:c r="C62" s="154"/>
      <x:c r="D62" s="154"/>
      <x:c r="E62" s="154"/>
      <x:c r="F62" s="154"/>
      <x:c r="G62" s="154"/>
      <x:c r="H62" s="154"/>
      <x:c r="I62" s="154"/>
      <x:c r="J62" s="154"/>
      <x:c r="K62" s="154"/>
      <x:c r="L62" s="154"/>
      <x:c r="M62" s="154"/>
      <x:c r="N62" s="154"/>
      <x:c r="O62" s="154"/>
      <x:c r="P62" s="154"/>
      <x:c r="Q62" s="154"/>
      <x:c r="R62" s="154"/>
      <x:c r="S62" s="154"/>
      <x:c r="T62" s="154"/>
      <x:c r="U62" s="154"/>
      <x:c r="V62" s="154"/>
      <x:c r="W62" s="154"/>
      <x:c r="X62" s="154"/>
      <x:c r="Y62" s="154"/>
      <x:c r="Z62" s="154"/>
      <x:c r="AA62" s="154"/>
      <x:c r="AB62" s="154"/>
      <x:c r="AC62" s="154"/>
      <x:c r="AD62" s="154"/>
      <x:c r="AE62" s="154"/>
      <x:c r="AF62" s="154"/>
      <x:c r="AG62" s="154"/>
      <x:c r="AH62" s="154"/>
      <x:c r="AI62" s="154"/>
      <x:c r="AJ62" s="154"/>
      <x:c r="AK62" s="154"/>
      <x:c r="AL62" s="154"/>
      <x:c r="AM62" s="154"/>
      <x:c r="AN62" s="154"/>
      <x:c r="AO62" s="154"/>
      <x:c r="AP62" s="154"/>
      <x:c r="AQ62" s="154"/>
      <x:c r="AR62" s="154"/>
      <x:c r="AS62" s="154"/>
      <x:c r="AT62" s="154"/>
      <x:c r="AU62" s="154"/>
      <x:c r="AV62" s="154"/>
      <x:c r="AW62" s="154"/>
      <x:c r="AX62" s="154"/>
      <x:c r="AY62" s="154"/>
      <x:c r="AZ62" s="154"/>
    </x:row>
    <x:row r="63">
      <x:c r="A63" s="154"/>
      <x:c r="B63" s="154"/>
      <x:c r="C63" s="154"/>
      <x:c r="D63" s="154"/>
      <x:c r="E63" s="154"/>
      <x:c r="F63" s="154"/>
      <x:c r="G63" s="154"/>
      <x:c r="H63" s="154"/>
      <x:c r="I63" s="154"/>
      <x:c r="J63" s="154"/>
      <x:c r="K63" s="154"/>
      <x:c r="L63" s="154"/>
      <x:c r="M63" s="154"/>
      <x:c r="N63" s="154"/>
      <x:c r="O63" s="154"/>
      <x:c r="P63" s="154"/>
      <x:c r="Q63" s="154"/>
      <x:c r="R63" s="154"/>
      <x:c r="S63" s="154"/>
      <x:c r="T63" s="154"/>
      <x:c r="U63" s="154"/>
      <x:c r="V63" s="154"/>
      <x:c r="W63" s="154"/>
      <x:c r="X63" s="154"/>
      <x:c r="Y63" s="154"/>
      <x:c r="Z63" s="154"/>
      <x:c r="AA63" s="154"/>
      <x:c r="AB63" s="154"/>
      <x:c r="AC63" s="154"/>
      <x:c r="AD63" s="154"/>
      <x:c r="AE63" s="154"/>
      <x:c r="AF63" s="154"/>
      <x:c r="AG63" s="154"/>
      <x:c r="AH63" s="154"/>
      <x:c r="AI63" s="154"/>
      <x:c r="AJ63" s="154"/>
      <x:c r="AK63" s="154"/>
      <x:c r="AL63" s="154"/>
      <x:c r="AM63" s="154"/>
      <x:c r="AN63" s="154"/>
      <x:c r="AO63" s="154"/>
      <x:c r="AP63" s="154"/>
      <x:c r="AQ63" s="154"/>
      <x:c r="AR63" s="154"/>
      <x:c r="AS63" s="154"/>
      <x:c r="AT63" s="154"/>
      <x:c r="AU63" s="154"/>
      <x:c r="AV63" s="154"/>
      <x:c r="AW63" s="154"/>
      <x:c r="AX63" s="154"/>
      <x:c r="AY63" s="154"/>
      <x:c r="AZ63" s="154"/>
    </x:row>
    <x:row r="64">
      <x:c r="A64" s="154"/>
      <x:c r="B64" s="154"/>
      <x:c r="C64" s="154"/>
      <x:c r="D64" s="154"/>
      <x:c r="E64" s="154"/>
      <x:c r="F64" s="154"/>
      <x:c r="G64" s="154"/>
      <x:c r="H64" s="154"/>
      <x:c r="I64" s="154"/>
      <x:c r="J64" s="154"/>
      <x:c r="K64" s="154"/>
      <x:c r="L64" s="154"/>
      <x:c r="M64" s="154"/>
      <x:c r="N64" s="154"/>
      <x:c r="O64" s="154"/>
      <x:c r="P64" s="154"/>
      <x:c r="Q64" s="154"/>
      <x:c r="R64" s="154"/>
      <x:c r="S64" s="154"/>
      <x:c r="T64" s="154"/>
      <x:c r="U64" s="154"/>
      <x:c r="V64" s="154"/>
      <x:c r="W64" s="154"/>
      <x:c r="X64" s="154"/>
      <x:c r="Y64" s="154"/>
      <x:c r="Z64" s="154"/>
      <x:c r="AA64" s="154"/>
      <x:c r="AB64" s="154"/>
      <x:c r="AC64" s="154"/>
      <x:c r="AD64" s="154"/>
      <x:c r="AE64" s="154"/>
      <x:c r="AF64" s="154"/>
      <x:c r="AG64" s="154"/>
      <x:c r="AH64" s="154"/>
      <x:c r="AI64" s="154"/>
      <x:c r="AJ64" s="154"/>
      <x:c r="AK64" s="154"/>
      <x:c r="AL64" s="154"/>
      <x:c r="AM64" s="154"/>
      <x:c r="AN64" s="154"/>
      <x:c r="AO64" s="154"/>
      <x:c r="AP64" s="154"/>
      <x:c r="AQ64" s="154"/>
      <x:c r="AR64" s="154"/>
      <x:c r="AS64" s="154"/>
      <x:c r="AT64" s="154"/>
      <x:c r="AU64" s="154"/>
      <x:c r="AV64" s="154"/>
      <x:c r="AW64" s="154"/>
      <x:c r="AX64" s="154"/>
      <x:c r="AY64" s="154"/>
      <x:c r="AZ64" s="154"/>
    </x:row>
    <x:row r="65">
      <x:c r="A65" s="154"/>
      <x:c r="B65" s="154"/>
      <x:c r="C65" s="154"/>
      <x:c r="D65" s="154"/>
      <x:c r="E65" s="154"/>
      <x:c r="F65" s="154"/>
      <x:c r="G65" s="154"/>
      <x:c r="H65" s="154"/>
      <x:c r="I65" s="154"/>
      <x:c r="J65" s="154"/>
      <x:c r="K65" s="154"/>
      <x:c r="L65" s="154"/>
      <x:c r="M65" s="154"/>
      <x:c r="N65" s="154"/>
      <x:c r="O65" s="154"/>
      <x:c r="P65" s="154"/>
      <x:c r="Q65" s="154"/>
      <x:c r="R65" s="154"/>
      <x:c r="S65" s="154"/>
      <x:c r="T65" s="154"/>
      <x:c r="U65" s="154"/>
      <x:c r="V65" s="154"/>
      <x:c r="W65" s="154"/>
      <x:c r="X65" s="154"/>
      <x:c r="Y65" s="154"/>
      <x:c r="Z65" s="154"/>
      <x:c r="AA65" s="154"/>
      <x:c r="AB65" s="154"/>
      <x:c r="AC65" s="154"/>
      <x:c r="AD65" s="154"/>
      <x:c r="AE65" s="154"/>
      <x:c r="AF65" s="154"/>
      <x:c r="AG65" s="154"/>
      <x:c r="AH65" s="154"/>
      <x:c r="AI65" s="154"/>
      <x:c r="AJ65" s="154"/>
      <x:c r="AK65" s="154"/>
      <x:c r="AL65" s="154"/>
      <x:c r="AM65" s="154"/>
      <x:c r="AN65" s="154"/>
      <x:c r="AO65" s="154"/>
      <x:c r="AP65" s="154"/>
      <x:c r="AQ65" s="154"/>
      <x:c r="AR65" s="154"/>
      <x:c r="AS65" s="154"/>
      <x:c r="AT65" s="154"/>
      <x:c r="AU65" s="154"/>
      <x:c r="AV65" s="154"/>
      <x:c r="AW65" s="154"/>
      <x:c r="AX65" s="154"/>
      <x:c r="AY65" s="154"/>
      <x:c r="AZ65" s="154"/>
    </x:row>
    <x:row r="66">
      <x:c r="A66" s="154"/>
      <x:c r="B66" s="154"/>
      <x:c r="C66" s="154"/>
      <x:c r="D66" s="154"/>
      <x:c r="E66" s="154"/>
      <x:c r="F66" s="154"/>
      <x:c r="G66" s="154"/>
      <x:c r="H66" s="154"/>
      <x:c r="I66" s="154"/>
      <x:c r="J66" s="154"/>
      <x:c r="K66" s="154"/>
      <x:c r="L66" s="154"/>
      <x:c r="M66" s="154"/>
      <x:c r="N66" s="154"/>
      <x:c r="O66" s="154"/>
      <x:c r="P66" s="154"/>
      <x:c r="Q66" s="154"/>
      <x:c r="R66" s="154"/>
      <x:c r="S66" s="154"/>
      <x:c r="T66" s="154"/>
      <x:c r="U66" s="154"/>
      <x:c r="V66" s="154"/>
      <x:c r="W66" s="154"/>
      <x:c r="X66" s="154"/>
      <x:c r="Y66" s="154"/>
      <x:c r="Z66" s="154"/>
      <x:c r="AA66" s="154"/>
      <x:c r="AB66" s="154"/>
      <x:c r="AC66" s="154"/>
      <x:c r="AD66" s="154"/>
      <x:c r="AE66" s="154"/>
      <x:c r="AF66" s="154"/>
      <x:c r="AG66" s="154"/>
      <x:c r="AH66" s="154"/>
      <x:c r="AI66" s="154"/>
      <x:c r="AJ66" s="154"/>
      <x:c r="AK66" s="154"/>
      <x:c r="AL66" s="154"/>
      <x:c r="AM66" s="154"/>
      <x:c r="AN66" s="154"/>
      <x:c r="AO66" s="154"/>
      <x:c r="AP66" s="154"/>
      <x:c r="AQ66" s="154"/>
      <x:c r="AR66" s="154"/>
      <x:c r="AS66" s="154"/>
      <x:c r="AT66" s="154"/>
      <x:c r="AU66" s="154"/>
      <x:c r="AV66" s="154"/>
      <x:c r="AW66" s="154"/>
      <x:c r="AX66" s="154"/>
      <x:c r="AY66" s="154"/>
      <x:c r="AZ66" s="154"/>
    </x:row>
    <x:row r="67">
      <x:c r="A67" s="154"/>
      <x:c r="B67" s="154"/>
      <x:c r="C67" s="154"/>
      <x:c r="D67" s="154"/>
      <x:c r="E67" s="154"/>
      <x:c r="F67" s="154"/>
      <x:c r="G67" s="154"/>
      <x:c r="H67" s="154"/>
      <x:c r="I67" s="154"/>
      <x:c r="J67" s="154"/>
      <x:c r="K67" s="154"/>
      <x:c r="L67" s="154"/>
      <x:c r="M67" s="154"/>
      <x:c r="N67" s="154"/>
      <x:c r="O67" s="154"/>
      <x:c r="P67" s="154"/>
      <x:c r="Q67" s="154"/>
      <x:c r="R67" s="154"/>
      <x:c r="S67" s="154"/>
      <x:c r="T67" s="154"/>
      <x:c r="U67" s="154"/>
      <x:c r="V67" s="154"/>
      <x:c r="W67" s="154"/>
      <x:c r="X67" s="154"/>
      <x:c r="Y67" s="154"/>
      <x:c r="Z67" s="154"/>
      <x:c r="AA67" s="154"/>
      <x:c r="AB67" s="154"/>
      <x:c r="AC67" s="154"/>
      <x:c r="AD67" s="154"/>
      <x:c r="AE67" s="154"/>
      <x:c r="AF67" s="154"/>
      <x:c r="AG67" s="154"/>
      <x:c r="AH67" s="154"/>
      <x:c r="AI67" s="154"/>
      <x:c r="AJ67" s="154"/>
      <x:c r="AK67" s="154"/>
      <x:c r="AL67" s="154"/>
      <x:c r="AM67" s="154"/>
      <x:c r="AN67" s="154"/>
      <x:c r="AO67" s="154"/>
      <x:c r="AP67" s="154"/>
      <x:c r="AQ67" s="154"/>
      <x:c r="AR67" s="154"/>
      <x:c r="AS67" s="154"/>
      <x:c r="AT67" s="154"/>
      <x:c r="AU67" s="154"/>
      <x:c r="AV67" s="154"/>
      <x:c r="AW67" s="154"/>
      <x:c r="AX67" s="154"/>
      <x:c r="AY67" s="154"/>
      <x:c r="AZ67" s="154"/>
    </x:row>
    <x:row r="68">
      <x:c r="A68" s="154"/>
      <x:c r="B68" s="154"/>
      <x:c r="C68" s="154"/>
      <x:c r="D68" s="154"/>
      <x:c r="E68" s="154"/>
      <x:c r="F68" s="154"/>
      <x:c r="G68" s="154"/>
      <x:c r="H68" s="154"/>
      <x:c r="I68" s="154"/>
      <x:c r="J68" s="154"/>
      <x:c r="K68" s="154"/>
      <x:c r="L68" s="154"/>
      <x:c r="M68" s="154"/>
      <x:c r="N68" s="154"/>
      <x:c r="O68" s="154"/>
      <x:c r="P68" s="154"/>
      <x:c r="Q68" s="154"/>
      <x:c r="R68" s="154"/>
      <x:c r="S68" s="154"/>
      <x:c r="T68" s="154"/>
      <x:c r="U68" s="154"/>
      <x:c r="V68" s="154"/>
      <x:c r="W68" s="154"/>
      <x:c r="X68" s="154"/>
      <x:c r="Y68" s="154"/>
      <x:c r="Z68" s="154"/>
      <x:c r="AA68" s="154"/>
      <x:c r="AB68" s="154"/>
      <x:c r="AC68" s="154"/>
      <x:c r="AD68" s="154"/>
      <x:c r="AE68" s="154"/>
      <x:c r="AF68" s="154"/>
      <x:c r="AG68" s="154"/>
      <x:c r="AH68" s="154"/>
      <x:c r="AI68" s="154"/>
      <x:c r="AJ68" s="154"/>
      <x:c r="AK68" s="154"/>
      <x:c r="AL68" s="154"/>
      <x:c r="AM68" s="154"/>
      <x:c r="AN68" s="154"/>
      <x:c r="AO68" s="154"/>
      <x:c r="AP68" s="154"/>
      <x:c r="AQ68" s="154"/>
      <x:c r="AR68" s="154"/>
      <x:c r="AS68" s="154"/>
      <x:c r="AT68" s="154"/>
      <x:c r="AU68" s="154"/>
      <x:c r="AV68" s="154"/>
      <x:c r="AW68" s="154"/>
      <x:c r="AX68" s="154"/>
      <x:c r="AY68" s="154"/>
      <x:c r="AZ68" s="154"/>
    </x:row>
    <x:row r="69">
      <x:c r="A69" s="154"/>
      <x:c r="B69" s="154"/>
      <x:c r="C69" s="154"/>
      <x:c r="D69" s="154"/>
      <x:c r="E69" s="154"/>
      <x:c r="F69" s="154"/>
      <x:c r="G69" s="154"/>
      <x:c r="H69" s="154"/>
      <x:c r="I69" s="154"/>
      <x:c r="J69" s="154"/>
      <x:c r="K69" s="154"/>
      <x:c r="L69" s="154"/>
      <x:c r="M69" s="154"/>
      <x:c r="N69" s="154"/>
      <x:c r="O69" s="154"/>
      <x:c r="P69" s="154"/>
      <x:c r="Q69" s="154"/>
      <x:c r="R69" s="154"/>
      <x:c r="S69" s="154"/>
      <x:c r="T69" s="154"/>
      <x:c r="U69" s="154"/>
      <x:c r="V69" s="154"/>
      <x:c r="W69" s="154"/>
      <x:c r="X69" s="154"/>
      <x:c r="Y69" s="154"/>
      <x:c r="Z69" s="154"/>
      <x:c r="AA69" s="154"/>
      <x:c r="AB69" s="154"/>
      <x:c r="AC69" s="154"/>
      <x:c r="AD69" s="154"/>
      <x:c r="AE69" s="154"/>
      <x:c r="AF69" s="154"/>
      <x:c r="AG69" s="154"/>
      <x:c r="AH69" s="154"/>
      <x:c r="AI69" s="154"/>
      <x:c r="AJ69" s="154"/>
      <x:c r="AK69" s="154"/>
      <x:c r="AL69" s="154"/>
      <x:c r="AM69" s="154"/>
      <x:c r="AN69" s="154"/>
      <x:c r="AO69" s="154"/>
      <x:c r="AP69" s="154"/>
      <x:c r="AQ69" s="154"/>
      <x:c r="AR69" s="154"/>
      <x:c r="AS69" s="154"/>
      <x:c r="AT69" s="154"/>
      <x:c r="AU69" s="154"/>
      <x:c r="AV69" s="154"/>
      <x:c r="AW69" s="154"/>
      <x:c r="AX69" s="154"/>
      <x:c r="AY69" s="154"/>
      <x:c r="AZ69" s="154"/>
    </x:row>
    <x:row r="70">
      <x:c r="A70" s="154"/>
      <x:c r="B70" s="154"/>
      <x:c r="C70" s="154"/>
      <x:c r="D70" s="154"/>
      <x:c r="E70" s="154"/>
      <x:c r="F70" s="154"/>
      <x:c r="G70" s="154"/>
      <x:c r="H70" s="154"/>
      <x:c r="I70" s="154"/>
      <x:c r="J70" s="154"/>
      <x:c r="K70" s="154"/>
      <x:c r="L70" s="154"/>
      <x:c r="M70" s="154"/>
      <x:c r="N70" s="154"/>
      <x:c r="O70" s="154"/>
      <x:c r="P70" s="154"/>
      <x:c r="Q70" s="154"/>
      <x:c r="R70" s="154"/>
      <x:c r="S70" s="154"/>
      <x:c r="T70" s="154"/>
      <x:c r="U70" s="154"/>
      <x:c r="V70" s="154"/>
      <x:c r="W70" s="154"/>
      <x:c r="X70" s="154"/>
      <x:c r="Y70" s="154"/>
      <x:c r="Z70" s="154"/>
      <x:c r="AA70" s="154"/>
      <x:c r="AB70" s="154"/>
      <x:c r="AC70" s="154"/>
      <x:c r="AD70" s="154"/>
      <x:c r="AE70" s="154"/>
      <x:c r="AF70" s="154"/>
      <x:c r="AG70" s="154"/>
      <x:c r="AH70" s="154"/>
      <x:c r="AI70" s="154"/>
      <x:c r="AJ70" s="154"/>
      <x:c r="AK70" s="154"/>
      <x:c r="AL70" s="154"/>
      <x:c r="AM70" s="154"/>
      <x:c r="AN70" s="154"/>
      <x:c r="AO70" s="154"/>
      <x:c r="AP70" s="154"/>
      <x:c r="AQ70" s="154"/>
      <x:c r="AR70" s="154"/>
      <x:c r="AS70" s="154"/>
      <x:c r="AT70" s="154"/>
      <x:c r="AU70" s="154"/>
      <x:c r="AV70" s="154"/>
      <x:c r="AW70" s="154"/>
      <x:c r="AX70" s="154"/>
      <x:c r="AY70" s="154"/>
      <x:c r="AZ70" s="154"/>
    </x:row>
    <x:row r="71">
      <x:c r="A71" s="154"/>
      <x:c r="B71" s="154"/>
      <x:c r="C71" s="154"/>
      <x:c r="D71" s="154"/>
      <x:c r="E71" s="154"/>
      <x:c r="F71" s="154"/>
      <x:c r="G71" s="154"/>
      <x:c r="H71" s="154"/>
      <x:c r="I71" s="154"/>
      <x:c r="J71" s="154"/>
      <x:c r="K71" s="154"/>
      <x:c r="L71" s="154"/>
      <x:c r="M71" s="154"/>
      <x:c r="N71" s="154"/>
      <x:c r="O71" s="154"/>
      <x:c r="P71" s="154"/>
      <x:c r="Q71" s="154"/>
      <x:c r="R71" s="154"/>
      <x:c r="S71" s="154"/>
      <x:c r="T71" s="154"/>
      <x:c r="U71" s="154"/>
      <x:c r="V71" s="154"/>
      <x:c r="W71" s="154"/>
      <x:c r="X71" s="154"/>
      <x:c r="Y71" s="154"/>
      <x:c r="Z71" s="154"/>
      <x:c r="AA71" s="154"/>
      <x:c r="AB71" s="154"/>
      <x:c r="AC71" s="154"/>
      <x:c r="AD71" s="154"/>
      <x:c r="AE71" s="154"/>
      <x:c r="AF71" s="154"/>
      <x:c r="AG71" s="154"/>
      <x:c r="AH71" s="154"/>
      <x:c r="AI71" s="154"/>
      <x:c r="AJ71" s="154"/>
      <x:c r="AK71" s="154"/>
      <x:c r="AL71" s="154"/>
      <x:c r="AM71" s="154"/>
      <x:c r="AN71" s="154"/>
      <x:c r="AO71" s="154"/>
      <x:c r="AP71" s="154"/>
      <x:c r="AQ71" s="154"/>
      <x:c r="AR71" s="154"/>
      <x:c r="AS71" s="154"/>
      <x:c r="AT71" s="154"/>
      <x:c r="AU71" s="154"/>
      <x:c r="AV71" s="154"/>
      <x:c r="AW71" s="154"/>
      <x:c r="AX71" s="154"/>
      <x:c r="AY71" s="154"/>
      <x:c r="AZ71" s="154"/>
    </x:row>
    <x:row r="72">
      <x:c r="A72" s="154"/>
      <x:c r="B72" s="154"/>
      <x:c r="C72" s="154"/>
      <x:c r="D72" s="154"/>
      <x:c r="E72" s="154"/>
      <x:c r="F72" s="154"/>
      <x:c r="G72" s="154"/>
      <x:c r="H72" s="154"/>
      <x:c r="I72" s="154"/>
      <x:c r="J72" s="154"/>
      <x:c r="K72" s="154"/>
      <x:c r="L72" s="154"/>
      <x:c r="M72" s="154"/>
      <x:c r="N72" s="154"/>
      <x:c r="O72" s="154"/>
      <x:c r="P72" s="154"/>
      <x:c r="Q72" s="154"/>
      <x:c r="R72" s="154"/>
      <x:c r="S72" s="154"/>
      <x:c r="T72" s="154"/>
      <x:c r="U72" s="154"/>
      <x:c r="V72" s="154"/>
      <x:c r="W72" s="154"/>
      <x:c r="X72" s="154"/>
      <x:c r="Y72" s="154"/>
      <x:c r="Z72" s="154"/>
      <x:c r="AA72" s="154"/>
      <x:c r="AB72" s="154"/>
      <x:c r="AC72" s="154"/>
      <x:c r="AD72" s="154"/>
      <x:c r="AE72" s="154"/>
      <x:c r="AF72" s="154"/>
      <x:c r="AG72" s="154"/>
      <x:c r="AH72" s="154"/>
      <x:c r="AI72" s="154"/>
      <x:c r="AJ72" s="154"/>
      <x:c r="AK72" s="154"/>
      <x:c r="AL72" s="154"/>
      <x:c r="AM72" s="154"/>
      <x:c r="AN72" s="154"/>
      <x:c r="AO72" s="154"/>
      <x:c r="AP72" s="154"/>
      <x:c r="AQ72" s="154"/>
      <x:c r="AR72" s="154"/>
      <x:c r="AS72" s="154"/>
      <x:c r="AT72" s="154"/>
      <x:c r="AU72" s="154"/>
      <x:c r="AV72" s="154"/>
      <x:c r="AW72" s="154"/>
      <x:c r="AX72" s="154"/>
      <x:c r="AY72" s="154"/>
      <x:c r="AZ72" s="154"/>
    </x:row>
    <x:row r="73">
      <x:c r="A73" s="154"/>
      <x:c r="B73" s="154"/>
      <x:c r="C73" s="154"/>
      <x:c r="D73" s="154"/>
      <x:c r="E73" s="154"/>
      <x:c r="F73" s="154"/>
      <x:c r="G73" s="154"/>
      <x:c r="H73" s="154"/>
      <x:c r="I73" s="154"/>
      <x:c r="J73" s="154"/>
      <x:c r="K73" s="154"/>
      <x:c r="L73" s="154"/>
      <x:c r="M73" s="154"/>
      <x:c r="N73" s="154"/>
      <x:c r="O73" s="154"/>
      <x:c r="P73" s="154"/>
      <x:c r="Q73" s="154"/>
      <x:c r="R73" s="154"/>
      <x:c r="S73" s="154"/>
      <x:c r="T73" s="154"/>
      <x:c r="U73" s="154"/>
      <x:c r="V73" s="154"/>
      <x:c r="W73" s="154"/>
      <x:c r="X73" s="154"/>
      <x:c r="Y73" s="154"/>
      <x:c r="Z73" s="154"/>
      <x:c r="AA73" s="154"/>
      <x:c r="AB73" s="154"/>
      <x:c r="AC73" s="154"/>
      <x:c r="AD73" s="154"/>
      <x:c r="AE73" s="154"/>
      <x:c r="AF73" s="154"/>
      <x:c r="AG73" s="154"/>
      <x:c r="AH73" s="154"/>
      <x:c r="AI73" s="154"/>
      <x:c r="AJ73" s="154"/>
      <x:c r="AK73" s="154"/>
      <x:c r="AL73" s="154"/>
      <x:c r="AM73" s="154"/>
      <x:c r="AN73" s="154"/>
      <x:c r="AO73" s="154"/>
      <x:c r="AP73" s="154"/>
      <x:c r="AQ73" s="154"/>
      <x:c r="AR73" s="154"/>
      <x:c r="AS73" s="154"/>
      <x:c r="AT73" s="154"/>
      <x:c r="AU73" s="154"/>
      <x:c r="AV73" s="154"/>
      <x:c r="AW73" s="154"/>
      <x:c r="AX73" s="154"/>
      <x:c r="AY73" s="154"/>
      <x:c r="AZ73" s="154"/>
    </x:row>
    <x:row r="74">
      <x:c r="A74" s="154"/>
      <x:c r="B74" s="154"/>
      <x:c r="C74" s="154"/>
      <x:c r="D74" s="154"/>
      <x:c r="E74" s="154"/>
      <x:c r="F74" s="154"/>
      <x:c r="G74" s="154"/>
      <x:c r="H74" s="154"/>
      <x:c r="I74" s="154"/>
      <x:c r="J74" s="154"/>
      <x:c r="K74" s="154"/>
      <x:c r="L74" s="154"/>
      <x:c r="M74" s="154"/>
      <x:c r="N74" s="154"/>
      <x:c r="O74" s="154"/>
      <x:c r="P74" s="154"/>
      <x:c r="Q74" s="154"/>
      <x:c r="R74" s="154"/>
      <x:c r="S74" s="154"/>
      <x:c r="T74" s="154"/>
      <x:c r="U74" s="154"/>
      <x:c r="V74" s="154"/>
      <x:c r="W74" s="154"/>
      <x:c r="X74" s="154"/>
      <x:c r="Y74" s="154"/>
      <x:c r="Z74" s="154"/>
      <x:c r="AA74" s="154"/>
      <x:c r="AB74" s="154"/>
      <x:c r="AC74" s="154"/>
      <x:c r="AD74" s="154"/>
      <x:c r="AE74" s="154"/>
      <x:c r="AF74" s="154"/>
      <x:c r="AG74" s="154"/>
      <x:c r="AH74" s="154"/>
      <x:c r="AI74" s="154"/>
      <x:c r="AJ74" s="154"/>
      <x:c r="AK74" s="154"/>
      <x:c r="AL74" s="154"/>
      <x:c r="AM74" s="154"/>
      <x:c r="AN74" s="154"/>
      <x:c r="AO74" s="154"/>
      <x:c r="AP74" s="154"/>
      <x:c r="AQ74" s="154"/>
      <x:c r="AR74" s="154"/>
      <x:c r="AS74" s="154"/>
      <x:c r="AT74" s="154"/>
      <x:c r="AU74" s="154"/>
      <x:c r="AV74" s="154"/>
      <x:c r="AW74" s="154"/>
      <x:c r="AX74" s="154"/>
      <x:c r="AY74" s="154"/>
      <x:c r="AZ74" s="154"/>
    </x:row>
    <x:row r="75">
      <x:c r="A75" s="154"/>
      <x:c r="B75" s="154"/>
      <x:c r="C75" s="154"/>
      <x:c r="D75" s="154"/>
      <x:c r="E75" s="154"/>
      <x:c r="F75" s="154"/>
      <x:c r="G75" s="154"/>
      <x:c r="H75" s="154"/>
      <x:c r="I75" s="154"/>
      <x:c r="J75" s="154"/>
      <x:c r="K75" s="154"/>
      <x:c r="L75" s="154"/>
      <x:c r="M75" s="154"/>
      <x:c r="N75" s="154"/>
      <x:c r="O75" s="154"/>
      <x:c r="P75" s="154"/>
      <x:c r="Q75" s="154"/>
      <x:c r="R75" s="154"/>
      <x:c r="S75" s="154"/>
      <x:c r="T75" s="154"/>
      <x:c r="U75" s="154"/>
      <x:c r="V75" s="154"/>
      <x:c r="W75" s="154"/>
      <x:c r="X75" s="154"/>
      <x:c r="Y75" s="154"/>
      <x:c r="Z75" s="154"/>
      <x:c r="AA75" s="154"/>
      <x:c r="AB75" s="154"/>
      <x:c r="AC75" s="154"/>
      <x:c r="AD75" s="154"/>
      <x:c r="AE75" s="154"/>
      <x:c r="AF75" s="154"/>
      <x:c r="AG75" s="154"/>
      <x:c r="AH75" s="154"/>
      <x:c r="AI75" s="154"/>
      <x:c r="AJ75" s="154"/>
      <x:c r="AK75" s="154"/>
      <x:c r="AL75" s="154"/>
      <x:c r="AM75" s="154"/>
      <x:c r="AN75" s="154"/>
      <x:c r="AO75" s="154"/>
      <x:c r="AP75" s="154"/>
      <x:c r="AQ75" s="154"/>
      <x:c r="AR75" s="154"/>
      <x:c r="AS75" s="154"/>
      <x:c r="AT75" s="154"/>
      <x:c r="AU75" s="154"/>
      <x:c r="AV75" s="154"/>
      <x:c r="AW75" s="154"/>
      <x:c r="AX75" s="154"/>
      <x:c r="AY75" s="154"/>
      <x:c r="AZ75" s="154"/>
    </x:row>
    <x:row r="76">
      <x:c r="A76" s="154"/>
      <x:c r="B76" s="154"/>
      <x:c r="C76" s="154"/>
      <x:c r="D76" s="154"/>
      <x:c r="E76" s="154"/>
      <x:c r="F76" s="154"/>
      <x:c r="G76" s="154"/>
      <x:c r="H76" s="154"/>
      <x:c r="I76" s="154"/>
      <x:c r="J76" s="154"/>
      <x:c r="K76" s="154"/>
      <x:c r="L76" s="154"/>
      <x:c r="M76" s="154"/>
      <x:c r="N76" s="154"/>
      <x:c r="O76" s="154"/>
      <x:c r="P76" s="154"/>
      <x:c r="Q76" s="154"/>
      <x:c r="R76" s="154"/>
      <x:c r="S76" s="154"/>
      <x:c r="T76" s="154"/>
      <x:c r="U76" s="154"/>
      <x:c r="V76" s="154"/>
      <x:c r="W76" s="154"/>
      <x:c r="X76" s="154"/>
      <x:c r="Y76" s="154"/>
      <x:c r="Z76" s="154"/>
      <x:c r="AA76" s="154"/>
      <x:c r="AB76" s="154"/>
      <x:c r="AC76" s="154"/>
      <x:c r="AD76" s="154"/>
      <x:c r="AE76" s="154"/>
      <x:c r="AF76" s="154"/>
      <x:c r="AG76" s="154"/>
      <x:c r="AH76" s="154"/>
      <x:c r="AI76" s="154"/>
      <x:c r="AJ76" s="154"/>
      <x:c r="AK76" s="154"/>
      <x:c r="AL76" s="154"/>
      <x:c r="AM76" s="154"/>
      <x:c r="AN76" s="154"/>
      <x:c r="AO76" s="154"/>
      <x:c r="AP76" s="154"/>
      <x:c r="AQ76" s="154"/>
      <x:c r="AR76" s="154"/>
      <x:c r="AS76" s="154"/>
      <x:c r="AT76" s="154"/>
      <x:c r="AU76" s="154"/>
      <x:c r="AV76" s="154"/>
      <x:c r="AW76" s="154"/>
      <x:c r="AX76" s="154"/>
      <x:c r="AY76" s="154"/>
      <x:c r="AZ76" s="154"/>
    </x:row>
    <x:row r="77">
      <x:c r="A77" s="154"/>
      <x:c r="B77" s="154"/>
      <x:c r="C77" s="154"/>
      <x:c r="D77" s="154"/>
      <x:c r="E77" s="154"/>
      <x:c r="F77" s="154"/>
      <x:c r="G77" s="154"/>
      <x:c r="H77" s="154"/>
      <x:c r="I77" s="154"/>
      <x:c r="J77" s="154"/>
      <x:c r="K77" s="154"/>
      <x:c r="L77" s="154"/>
      <x:c r="M77" s="154"/>
      <x:c r="N77" s="154"/>
      <x:c r="O77" s="154"/>
      <x:c r="P77" s="154"/>
      <x:c r="Q77" s="154"/>
      <x:c r="R77" s="154"/>
      <x:c r="S77" s="154"/>
      <x:c r="T77" s="154"/>
      <x:c r="U77" s="154"/>
      <x:c r="V77" s="154"/>
      <x:c r="W77" s="154"/>
      <x:c r="X77" s="154"/>
      <x:c r="Y77" s="154"/>
      <x:c r="Z77" s="154"/>
      <x:c r="AA77" s="154"/>
      <x:c r="AB77" s="154"/>
      <x:c r="AC77" s="154"/>
      <x:c r="AD77" s="154"/>
      <x:c r="AE77" s="154"/>
      <x:c r="AF77" s="154"/>
      <x:c r="AG77" s="154"/>
      <x:c r="AH77" s="154"/>
      <x:c r="AI77" s="154"/>
      <x:c r="AJ77" s="154"/>
      <x:c r="AK77" s="154"/>
      <x:c r="AL77" s="154"/>
      <x:c r="AM77" s="154"/>
      <x:c r="AN77" s="154"/>
      <x:c r="AO77" s="154"/>
      <x:c r="AP77" s="154"/>
      <x:c r="AQ77" s="154"/>
      <x:c r="AR77" s="154"/>
      <x:c r="AS77" s="154"/>
      <x:c r="AT77" s="154"/>
      <x:c r="AU77" s="154"/>
      <x:c r="AV77" s="154"/>
      <x:c r="AW77" s="154"/>
      <x:c r="AX77" s="154"/>
      <x:c r="AY77" s="154"/>
      <x:c r="AZ77" s="154"/>
    </x:row>
    <x:row r="78">
      <x:c r="A78" s="154"/>
      <x:c r="B78" s="154"/>
      <x:c r="C78" s="154"/>
      <x:c r="D78" s="154"/>
      <x:c r="E78" s="154"/>
      <x:c r="F78" s="154"/>
      <x:c r="G78" s="154"/>
      <x:c r="H78" s="154"/>
      <x:c r="I78" s="154"/>
      <x:c r="J78" s="154"/>
      <x:c r="K78" s="154"/>
      <x:c r="L78" s="154"/>
      <x:c r="M78" s="154"/>
      <x:c r="N78" s="154"/>
      <x:c r="O78" s="154"/>
      <x:c r="P78" s="154"/>
      <x:c r="Q78" s="154"/>
      <x:c r="R78" s="154"/>
      <x:c r="S78" s="154"/>
      <x:c r="T78" s="154"/>
      <x:c r="U78" s="154"/>
      <x:c r="V78" s="154"/>
      <x:c r="W78" s="154"/>
      <x:c r="X78" s="154"/>
      <x:c r="Y78" s="154"/>
      <x:c r="Z78" s="154"/>
      <x:c r="AA78" s="154"/>
      <x:c r="AB78" s="154"/>
      <x:c r="AC78" s="154"/>
      <x:c r="AD78" s="154"/>
      <x:c r="AE78" s="154"/>
      <x:c r="AF78" s="154"/>
      <x:c r="AG78" s="154"/>
      <x:c r="AH78" s="154"/>
      <x:c r="AI78" s="154"/>
      <x:c r="AJ78" s="154"/>
      <x:c r="AK78" s="154"/>
      <x:c r="AL78" s="154"/>
      <x:c r="AM78" s="154"/>
      <x:c r="AN78" s="154"/>
      <x:c r="AO78" s="154"/>
      <x:c r="AP78" s="154"/>
      <x:c r="AQ78" s="154"/>
      <x:c r="AR78" s="154"/>
      <x:c r="AS78" s="154"/>
      <x:c r="AT78" s="154"/>
      <x:c r="AU78" s="154"/>
      <x:c r="AV78" s="154"/>
      <x:c r="AW78" s="154"/>
      <x:c r="AX78" s="154"/>
      <x:c r="AY78" s="154"/>
      <x:c r="AZ78" s="154"/>
    </x:row>
    <x:row r="79">
      <x:c r="A79" s="154"/>
      <x:c r="B79" s="154"/>
      <x:c r="C79" s="154"/>
      <x:c r="D79" s="154"/>
      <x:c r="E79" s="154"/>
      <x:c r="F79" s="154"/>
      <x:c r="G79" s="154"/>
      <x:c r="H79" s="154"/>
      <x:c r="I79" s="154"/>
      <x:c r="J79" s="154"/>
      <x:c r="K79" s="154"/>
      <x:c r="L79" s="154"/>
      <x:c r="M79" s="154"/>
      <x:c r="N79" s="154"/>
      <x:c r="O79" s="154"/>
      <x:c r="P79" s="154"/>
      <x:c r="Q79" s="154"/>
      <x:c r="R79" s="154"/>
      <x:c r="S79" s="154"/>
      <x:c r="T79" s="154"/>
      <x:c r="U79" s="154"/>
      <x:c r="V79" s="154"/>
      <x:c r="W79" s="154"/>
      <x:c r="X79" s="154"/>
      <x:c r="Y79" s="154"/>
      <x:c r="Z79" s="154"/>
      <x:c r="AA79" s="154"/>
      <x:c r="AB79" s="154"/>
      <x:c r="AC79" s="154"/>
      <x:c r="AD79" s="154"/>
      <x:c r="AE79" s="154"/>
      <x:c r="AF79" s="154"/>
      <x:c r="AG79" s="154"/>
      <x:c r="AH79" s="154"/>
      <x:c r="AI79" s="154"/>
      <x:c r="AJ79" s="154"/>
      <x:c r="AK79" s="154"/>
      <x:c r="AL79" s="154"/>
      <x:c r="AM79" s="154"/>
      <x:c r="AN79" s="154"/>
      <x:c r="AO79" s="154"/>
      <x:c r="AP79" s="154"/>
      <x:c r="AQ79" s="154"/>
      <x:c r="AR79" s="154"/>
      <x:c r="AS79" s="154"/>
      <x:c r="AT79" s="154"/>
      <x:c r="AU79" s="154"/>
      <x:c r="AV79" s="154"/>
      <x:c r="AW79" s="154"/>
      <x:c r="AX79" s="154"/>
      <x:c r="AY79" s="154"/>
      <x:c r="AZ79" s="154"/>
    </x:row>
    <x:row r="80">
      <x:c r="A80" s="154"/>
      <x:c r="B80" s="154"/>
      <x:c r="C80" s="154"/>
      <x:c r="D80" s="154"/>
      <x:c r="E80" s="154"/>
      <x:c r="F80" s="154"/>
      <x:c r="G80" s="154"/>
      <x:c r="H80" s="154"/>
      <x:c r="I80" s="154"/>
      <x:c r="J80" s="154"/>
      <x:c r="K80" s="154"/>
      <x:c r="L80" s="154"/>
      <x:c r="M80" s="154"/>
      <x:c r="N80" s="154"/>
      <x:c r="O80" s="154"/>
      <x:c r="P80" s="154"/>
      <x:c r="Q80" s="154"/>
      <x:c r="R80" s="154"/>
      <x:c r="S80" s="154"/>
      <x:c r="T80" s="154"/>
      <x:c r="U80" s="154"/>
      <x:c r="V80" s="154"/>
      <x:c r="W80" s="154"/>
      <x:c r="X80" s="154"/>
      <x:c r="Y80" s="154"/>
      <x:c r="Z80" s="154"/>
      <x:c r="AA80" s="154"/>
      <x:c r="AB80" s="154"/>
      <x:c r="AC80" s="154"/>
      <x:c r="AD80" s="154"/>
      <x:c r="AE80" s="154"/>
      <x:c r="AF80" s="154"/>
      <x:c r="AG80" s="154"/>
      <x:c r="AH80" s="154"/>
      <x:c r="AI80" s="154"/>
      <x:c r="AJ80" s="154"/>
      <x:c r="AK80" s="154"/>
      <x:c r="AL80" s="154"/>
      <x:c r="AM80" s="154"/>
      <x:c r="AN80" s="154"/>
      <x:c r="AO80" s="154"/>
      <x:c r="AP80" s="154"/>
      <x:c r="AQ80" s="154"/>
      <x:c r="AR80" s="154"/>
      <x:c r="AS80" s="154"/>
      <x:c r="AT80" s="154"/>
      <x:c r="AU80" s="154"/>
      <x:c r="AV80" s="154"/>
      <x:c r="AW80" s="154"/>
      <x:c r="AX80" s="154"/>
      <x:c r="AY80" s="154"/>
      <x:c r="AZ80" s="154"/>
    </x:row>
  </x:sheetData>
  <x:mergeCells>
    <x:mergeCell ref="A1:F1"/>
  </x:mergeCells>
  <x:pageMargins left="0.7" right="0.7" top="0.75" bottom="0.75" header="0.3" footer="0.3"/>
</x:worksheet>
</file>