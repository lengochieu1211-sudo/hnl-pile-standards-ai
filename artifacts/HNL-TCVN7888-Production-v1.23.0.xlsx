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7ba3e211984e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TONG_QUAN" sheetId="1" r:id="Ra555d747156d4c58"/>
    <x:sheet xmlns:r="http://schemas.openxmlformats.org/officeDocument/2006/relationships" name="01_INPUT" sheetId="2" r:id="R392ebb8dcbb94d46"/>
    <x:sheet xmlns:r="http://schemas.openxmlformats.org/officeDocument/2006/relationships" name="02_BANG1_PC_PHC" sheetId="3" r:id="Rd94042a6aca347c9"/>
    <x:sheet xmlns:r="http://schemas.openxmlformats.org/officeDocument/2006/relationships" name="03_BANG2_NPH" sheetId="4" r:id="R5b84f9e3f59f4b36"/>
    <x:sheet xmlns:r="http://schemas.openxmlformats.org/officeDocument/2006/relationships" name="04_TINH_TOAN" sheetId="5" r:id="R6a2b0c0cbcc54944"/>
    <x:sheet xmlns:r="http://schemas.openxmlformats.org/officeDocument/2006/relationships" name="05_KET_QUA" sheetId="6" r:id="Re796ae5721864f53"/>
    <x:sheet xmlns:r="http://schemas.openxmlformats.org/officeDocument/2006/relationships" name="06_THUYET_MINH" sheetId="7" r:id="Rc3fedf89c4f64bc1"/>
    <x:sheet xmlns:r="http://schemas.openxmlformats.org/officeDocument/2006/relationships" name="07_NGUON" sheetId="8" r:id="R67c09faad4054775"/>
    <x:sheet xmlns:r="http://schemas.openxmlformats.org/officeDocument/2006/relationships" name="08_BENCHMARK" sheetId="9" r:id="Refdb00dd8a6a4f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548235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3df69b393f45cf" /><Relationship Type="http://schemas.openxmlformats.org/officeDocument/2006/relationships/theme" Target="/xl/theme/theme1.xml" Id="R520125d49c83435a" /><Relationship Type="http://schemas.openxmlformats.org/officeDocument/2006/relationships/sharedStrings" Target="/xl/sharedStrings.xml" Id="R839ed9ddd2cf403e" /><Relationship Type="http://schemas.openxmlformats.org/officeDocument/2006/relationships/worksheet" Target="/xl/worksheets/sheet1.xml" Id="Ra555d747156d4c58" /><Relationship Type="http://schemas.openxmlformats.org/officeDocument/2006/relationships/worksheet" Target="/xl/worksheets/sheet2.xml" Id="R392ebb8dcbb94d46" /><Relationship Type="http://schemas.openxmlformats.org/officeDocument/2006/relationships/worksheet" Target="/xl/worksheets/sheet3.xml" Id="Rd94042a6aca347c9" /><Relationship Type="http://schemas.openxmlformats.org/officeDocument/2006/relationships/worksheet" Target="/xl/worksheets/sheet4.xml" Id="R5b84f9e3f59f4b36" /><Relationship Type="http://schemas.openxmlformats.org/officeDocument/2006/relationships/worksheet" Target="/xl/worksheets/sheet5.xml" Id="R6a2b0c0cbcc54944" /><Relationship Type="http://schemas.openxmlformats.org/officeDocument/2006/relationships/worksheet" Target="/xl/worksheets/sheet6.xml" Id="Re796ae5721864f53" /><Relationship Type="http://schemas.openxmlformats.org/officeDocument/2006/relationships/worksheet" Target="/xl/worksheets/sheet7.xml" Id="Rc3fedf89c4f64bc1" /><Relationship Type="http://schemas.openxmlformats.org/officeDocument/2006/relationships/worksheet" Target="/xl/worksheets/sheet8.xml" Id="R67c09faad4054775" /><Relationship Type="http://schemas.openxmlformats.org/officeDocument/2006/relationships/worksheet" Target="/xl/worksheets/sheet9.xml" Id="Refdb00dd8a6a4f2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00" hidden="0" customWidth="1"/>
  </x:cols>
  <x:sheetData>
    <x:row r="1">
      <x:c r="A1" s="24" t="str">
        <x:v>HNL · TCVN 7888:2014 · GOLDEN PRODUCTION WORKBOOK v1.23.0</x:v>
      </x:c>
      <x:c r="B1" s="24"/>
      <x:c r="C1" s="24"/>
      <x:c r="D1" s="24"/>
      <x:c r="E1" s="24"/>
      <x:c r="F1" s="24"/>
      <x:c r="G1" s="24"/>
      <x:c r="H1" s="24"/>
      <x:c r="I1" s="25"/>
      <x:c r="J1" s="25"/>
      <x:c r="K1" s="25"/>
      <x:c r="L1" s="25"/>
      <x:c r="M1" s="25"/>
      <x:c r="N1" s="25"/>
    </x:row>
    <x:row r="2">
      <x:c r="A2" s="25"/>
      <x:c r="B2" s="25"/>
      <x:c r="C2" s="25"/>
      <x:c r="D2" s="25"/>
      <x:c r="E2" s="25"/>
      <x:c r="F2" s="25"/>
      <x:c r="G2" s="25"/>
      <x:c r="H2" s="25"/>
      <x:c r="I2" s="25"/>
      <x:c r="J2" s="25"/>
      <x:c r="K2" s="25"/>
      <x:c r="L2" s="25"/>
      <x:c r="M2" s="25"/>
      <x:c r="N2" s="25"/>
    </x:row>
    <x:row r="3">
      <x:c r="A3" s="26" t="str">
        <x:v>Mục</x:v>
      </x:c>
      <x:c r="B3" s="26" t="str">
        <x:v>Nội dung</x:v>
      </x:c>
      <x:c r="C3" s="26" t="str"/>
      <x:c r="D3" s="26" t="str"/>
      <x:c r="E3" s="26" t="str"/>
      <x:c r="F3" s="26" t="str"/>
      <x:c r="G3" s="26" t="str"/>
      <x:c r="H3" s="26" t="str"/>
      <x:c r="I3" s="25"/>
      <x:c r="J3" s="25"/>
      <x:c r="K3" s="25"/>
      <x:c r="L3" s="25"/>
      <x:c r="M3" s="25"/>
      <x:c r="N3" s="25"/>
    </x:row>
    <x:row r="4">
      <x:c r="A4" s="25" t="str">
        <x:v>Mục tiêu</x:v>
      </x:c>
      <x:c r="B4" s="25" t="str">
        <x:v>Nhập PC/PHC/NPH → tra đúng Bảng 1/2 → tính A0 → Ra dài hạn → Ra ngắn hạn → Pmax → kiểm điều kiện.</x:v>
      </x:c>
      <x:c r="C4" s="25"/>
      <x:c r="D4" s="25"/>
      <x:c r="E4" s="25"/>
      <x:c r="F4" s="25"/>
      <x:c r="G4" s="25"/>
      <x:c r="H4" s="25"/>
      <x:c r="I4" s="25"/>
      <x:c r="J4" s="25"/>
      <x:c r="K4" s="25"/>
      <x:c r="L4" s="25"/>
      <x:c r="M4" s="25"/>
      <x:c r="N4" s="25"/>
    </x:row>
    <x:row r="5">
      <x:c r="A5" s="25" t="str">
        <x:v>Safety</x:v>
      </x:c>
      <x:c r="B5" s="25" t="str">
        <x:v>PC σcu≥60 MPa; PHC/NPH σcu≥80 MPa; NPH không có AB.</x:v>
      </x:c>
      <x:c r="C5" s="25"/>
      <x:c r="D5" s="25"/>
      <x:c r="E5" s="25"/>
      <x:c r="F5" s="25"/>
      <x:c r="G5" s="25"/>
      <x:c r="H5" s="25"/>
      <x:c r="I5" s="25"/>
      <x:c r="J5" s="25"/>
      <x:c r="K5" s="25"/>
      <x:c r="L5" s="25"/>
      <x:c r="M5" s="25"/>
      <x:c r="N5" s="25"/>
    </x:row>
    <x:row r="6">
      <x:c r="A6" s="25" t="str">
        <x:v>Đơn vị</x:v>
      </x:c>
      <x:c r="B6" s="25" t="str">
        <x:v>D,t mm; A0 mm²; σ MPa = N/mm²; kết quả chia 1000 để ra kN.</x:v>
      </x:c>
      <x:c r="C6" s="25"/>
      <x:c r="D6" s="25"/>
      <x:c r="E6" s="25"/>
      <x:c r="F6" s="25"/>
      <x:c r="G6" s="25"/>
      <x:c r="H6" s="25"/>
      <x:c r="I6" s="25"/>
      <x:c r="J6" s="25"/>
      <x:c r="K6" s="25"/>
      <x:c r="L6" s="25"/>
      <x:c r="M6" s="25"/>
      <x:c r="N6" s="25"/>
    </x:row>
    <x:row r="7">
      <x:c r="A7" s="25" t="str">
        <x:v>Màu vàng</x:v>
      </x:c>
      <x:c r="B7" s="25" t="str">
        <x:v>Ô input người dùng thay đổi.</x:v>
      </x:c>
      <x:c r="C7" s="25"/>
      <x:c r="D7" s="25"/>
      <x:c r="E7" s="25"/>
      <x:c r="F7" s="25"/>
      <x:c r="G7" s="25"/>
      <x:c r="H7" s="25"/>
      <x:c r="I7" s="25"/>
      <x:c r="J7" s="25"/>
      <x:c r="K7" s="25"/>
      <x:c r="L7" s="25"/>
      <x:c r="M7" s="25"/>
      <x:c r="N7" s="25"/>
    </x:row>
    <x:row r="8">
      <x:c r="A8" s="25" t="str">
        <x:v>Màu xanh nhạt</x:v>
      </x:c>
      <x:c r="B8" s="25" t="str">
        <x:v>Công thức Excel thật.</x:v>
      </x:c>
      <x:c r="C8" s="25"/>
      <x:c r="D8" s="25"/>
      <x:c r="E8" s="25"/>
      <x:c r="F8" s="25"/>
      <x:c r="G8" s="25"/>
      <x:c r="H8" s="25"/>
      <x:c r="I8" s="25"/>
      <x:c r="J8" s="25"/>
      <x:c r="K8" s="25"/>
      <x:c r="L8" s="25"/>
      <x:c r="M8" s="25"/>
      <x:c r="N8" s="25"/>
    </x:row>
    <x:row r="9">
      <x:c r="A9" s="25" t="str">
        <x:v>Nguồn</x:v>
      </x:c>
      <x:c r="B9" s="25" t="str">
        <x:v>Điều 3, 4.2, 6.2, Bảng 1/2, Phụ lục B.</x:v>
      </x:c>
      <x:c r="C9" s="25"/>
      <x:c r="D9" s="25"/>
      <x:c r="E9" s="25"/>
      <x:c r="F9" s="25"/>
      <x:c r="G9" s="25"/>
      <x:c r="H9" s="25"/>
      <x:c r="I9" s="25"/>
      <x:c r="J9" s="25"/>
      <x:c r="K9" s="25"/>
      <x:c r="L9" s="25"/>
      <x:c r="M9" s="25"/>
      <x:c r="N9" s="25"/>
    </x:row>
    <x:row r="10">
      <x:c r="A10" s="25" t="str">
        <x:v>Golden</x:v>
      </x:c>
      <x:c r="B10" s="25" t="str">
        <x:v>PHC D600-B, PC D400-A, NPH 800-600-B.</x:v>
      </x:c>
      <x:c r="C10" s="25"/>
      <x:c r="D10" s="25"/>
      <x:c r="E10" s="25"/>
      <x:c r="F10" s="25"/>
      <x:c r="G10" s="25"/>
      <x:c r="H10" s="25"/>
      <x:c r="I10" s="25"/>
      <x:c r="J10" s="25"/>
      <x:c r="K10" s="25"/>
      <x:c r="L10" s="25"/>
      <x:c r="M10" s="25"/>
      <x:c r="N10" s="25"/>
    </x:row>
    <x:row r="11">
      <x:c r="A11" s="25" t="str">
        <x:v>Reject</x:v>
      </x:c>
      <x:c r="B11" s="25" t="str">
        <x:v>NPH-AB và σcu dưới ngưỡng phải bị khóa.</x:v>
      </x:c>
      <x:c r="C11" s="25"/>
      <x:c r="D11" s="25"/>
      <x:c r="E11" s="25"/>
      <x:c r="F11" s="25"/>
      <x:c r="G11" s="25"/>
      <x:c r="H11" s="25"/>
      <x:c r="I11" s="25"/>
      <x:c r="J11" s="25"/>
      <x:c r="K11" s="25"/>
      <x:c r="L11" s="25"/>
      <x:c r="M11" s="25"/>
      <x:c r="N11" s="25"/>
    </x:row>
    <x:row r="12">
      <x:c r="A12" s="25" t="str">
        <x:v>Build</x:v>
      </x:c>
      <x:c r="B12" s="25" t="str">
        <x:v>Workbook dùng độc lập để đối chiếu HNL Calculation Engine.</x:v>
      </x:c>
      <x:c r="C12" s="25"/>
      <x:c r="D12" s="25"/>
      <x:c r="E12" s="25"/>
      <x:c r="F12" s="25"/>
      <x:c r="G12" s="25"/>
      <x:c r="H12" s="25"/>
      <x:c r="I12" s="25"/>
      <x:c r="J12" s="25"/>
      <x:c r="K12" s="25"/>
      <x:c r="L12" s="25"/>
      <x:c r="M12" s="25"/>
      <x:c r="N12" s="25"/>
    </x:row>
    <x:row r="13">
      <x:c r="A13" s="25"/>
      <x:c r="B13" s="25"/>
      <x:c r="C13" s="25"/>
      <x:c r="D13" s="25"/>
      <x:c r="E13" s="25"/>
      <x:c r="F13" s="25"/>
      <x:c r="G13" s="25"/>
      <x:c r="H13" s="25"/>
      <x:c r="I13" s="25"/>
      <x:c r="J13" s="25"/>
      <x:c r="K13" s="25"/>
      <x:c r="L13" s="25"/>
      <x:c r="M13" s="25"/>
      <x:c r="N13" s="25"/>
    </x:row>
    <x:row r="14">
      <x:c r="A14" s="25"/>
      <x:c r="B14" s="25"/>
      <x:c r="C14" s="25"/>
      <x:c r="D14" s="25"/>
      <x:c r="E14" s="25"/>
      <x:c r="F14" s="25"/>
      <x:c r="G14" s="25"/>
      <x:c r="H14" s="25"/>
      <x:c r="I14" s="25"/>
      <x:c r="J14" s="25"/>
      <x:c r="K14" s="25"/>
      <x:c r="L14" s="25"/>
      <x:c r="M14" s="25"/>
      <x:c r="N14" s="25"/>
    </x:row>
    <x:row r="15">
      <x:c r="A15" s="25"/>
      <x:c r="B15" s="25"/>
      <x:c r="C15" s="25"/>
      <x:c r="D15" s="25"/>
      <x:c r="E15" s="25"/>
      <x:c r="F15" s="25"/>
      <x:c r="G15" s="25"/>
      <x:c r="H15" s="25"/>
      <x:c r="I15" s="25"/>
      <x:c r="J15" s="25"/>
      <x:c r="K15" s="25"/>
      <x:c r="L15" s="25"/>
      <x:c r="M15" s="25"/>
      <x:c r="N15" s="25"/>
    </x:row>
    <x:row r="16">
      <x:c r="A16" s="25"/>
      <x:c r="B16" s="25"/>
      <x:c r="C16" s="25"/>
      <x:c r="D16" s="25"/>
      <x:c r="E16" s="25"/>
      <x:c r="F16" s="25"/>
      <x:c r="G16" s="25"/>
      <x:c r="H16" s="25"/>
      <x:c r="I16" s="25"/>
      <x:c r="J16" s="25"/>
      <x:c r="K16" s="25"/>
      <x:c r="L16" s="25"/>
      <x:c r="M16" s="25"/>
      <x:c r="N16" s="25"/>
    </x:row>
    <x:row r="17">
      <x:c r="A17" s="25"/>
      <x:c r="B17" s="25"/>
      <x:c r="C17" s="25"/>
      <x:c r="D17" s="25"/>
      <x:c r="E17" s="25"/>
      <x:c r="F17" s="25"/>
      <x:c r="G17" s="25"/>
      <x:c r="H17" s="25"/>
      <x:c r="I17" s="25"/>
      <x:c r="J17" s="25"/>
      <x:c r="K17" s="25"/>
      <x:c r="L17" s="25"/>
      <x:c r="M17" s="25"/>
      <x:c r="N17" s="25"/>
    </x:row>
    <x:row r="18">
      <x:c r="A18" s="25"/>
      <x:c r="B18" s="25"/>
      <x:c r="C18" s="25"/>
      <x:c r="D18" s="25"/>
      <x:c r="E18" s="25"/>
      <x:c r="F18" s="25"/>
      <x:c r="G18" s="25"/>
      <x:c r="H18" s="25"/>
      <x:c r="I18" s="25"/>
      <x:c r="J18" s="25"/>
      <x:c r="K18" s="25"/>
      <x:c r="L18" s="25"/>
      <x:c r="M18" s="25"/>
      <x:c r="N18" s="25"/>
    </x:row>
    <x:row r="19">
      <x:c r="A19" s="25"/>
      <x:c r="B19" s="25"/>
      <x:c r="C19" s="25"/>
      <x:c r="D19" s="25"/>
      <x:c r="E19" s="25"/>
      <x:c r="F19" s="25"/>
      <x:c r="G19" s="25"/>
      <x:c r="H19" s="25"/>
      <x:c r="I19" s="25"/>
      <x:c r="J19" s="25"/>
      <x:c r="K19" s="25"/>
      <x:c r="L19" s="25"/>
      <x:c r="M19" s="25"/>
      <x:c r="N19" s="25"/>
    </x:row>
    <x:row r="20">
      <x:c r="A20" s="25"/>
      <x:c r="B20" s="25"/>
      <x:c r="C20" s="25"/>
      <x:c r="D20" s="25"/>
      <x:c r="E20" s="25"/>
      <x:c r="F20" s="25"/>
      <x:c r="G20" s="25"/>
      <x:c r="H20" s="25"/>
      <x:c r="I20" s="25"/>
      <x:c r="J20" s="25"/>
      <x:c r="K20" s="25"/>
      <x:c r="L20" s="25"/>
      <x:c r="M20" s="25"/>
      <x:c r="N20" s="25"/>
    </x:row>
    <x:row r="21">
      <x:c r="A21" s="25"/>
      <x:c r="B21" s="25"/>
      <x:c r="C21" s="25"/>
      <x:c r="D21" s="25"/>
      <x:c r="E21" s="25"/>
      <x:c r="F21" s="25"/>
      <x:c r="G21" s="25"/>
      <x:c r="H21" s="25"/>
      <x:c r="I21" s="25"/>
      <x:c r="J21" s="25"/>
      <x:c r="K21" s="25"/>
      <x:c r="L21" s="25"/>
      <x:c r="M21" s="25"/>
      <x:c r="N21" s="25"/>
    </x:row>
    <x:row r="22">
      <x:c r="A22" s="25"/>
      <x:c r="B22" s="25"/>
      <x:c r="C22" s="25"/>
      <x:c r="D22" s="25"/>
      <x:c r="E22" s="25"/>
      <x:c r="F22" s="25"/>
      <x:c r="G22" s="25"/>
      <x:c r="H22" s="25"/>
      <x:c r="I22" s="25"/>
      <x:c r="J22" s="25"/>
      <x:c r="K22" s="25"/>
      <x:c r="L22" s="25"/>
      <x:c r="M22" s="25"/>
      <x:c r="N22" s="25"/>
    </x:row>
    <x:row r="23">
      <x:c r="A23" s="25"/>
      <x:c r="B23" s="25"/>
      <x:c r="C23" s="25"/>
      <x:c r="D23" s="25"/>
      <x:c r="E23" s="25"/>
      <x:c r="F23" s="25"/>
      <x:c r="G23" s="25"/>
      <x:c r="H23" s="25"/>
      <x:c r="I23" s="25"/>
      <x:c r="J23" s="25"/>
      <x:c r="K23" s="25"/>
      <x:c r="L23" s="25"/>
      <x:c r="M23" s="25"/>
      <x:c r="N23" s="25"/>
    </x:row>
    <x:row r="24">
      <x:c r="A24" s="25"/>
      <x:c r="B24" s="25"/>
      <x:c r="C24" s="25"/>
      <x:c r="D24" s="25"/>
      <x:c r="E24" s="25"/>
      <x:c r="F24" s="25"/>
      <x:c r="G24" s="25"/>
      <x:c r="H24" s="25"/>
      <x:c r="I24" s="25"/>
      <x:c r="J24" s="25"/>
      <x:c r="K24" s="25"/>
      <x:c r="L24" s="25"/>
      <x:c r="M24" s="25"/>
      <x:c r="N24" s="25"/>
    </x:row>
    <x:row r="25">
      <x:c r="A25" s="25"/>
      <x:c r="B25" s="25"/>
      <x:c r="C25" s="25"/>
      <x:c r="D25" s="25"/>
      <x:c r="E25" s="25"/>
      <x:c r="F25" s="25"/>
      <x:c r="G25" s="25"/>
      <x:c r="H25" s="25"/>
      <x:c r="I25" s="25"/>
      <x:c r="J25" s="25"/>
      <x:c r="K25" s="25"/>
      <x:c r="L25" s="25"/>
      <x:c r="M25" s="25"/>
      <x:c r="N25" s="25"/>
    </x:row>
    <x:row r="26">
      <x:c r="A26" s="25"/>
      <x:c r="B26" s="25"/>
      <x:c r="C26" s="25"/>
      <x:c r="D26" s="25"/>
      <x:c r="E26" s="25"/>
      <x:c r="F26" s="25"/>
      <x:c r="G26" s="25"/>
      <x:c r="H26" s="25"/>
      <x:c r="I26" s="25"/>
      <x:c r="J26" s="25"/>
      <x:c r="K26" s="25"/>
      <x:c r="L26" s="25"/>
      <x:c r="M26" s="25"/>
      <x:c r="N26" s="25"/>
    </x:row>
    <x:row r="27">
      <x:c r="A27" s="25"/>
      <x:c r="B27" s="25"/>
      <x:c r="C27" s="25"/>
      <x:c r="D27" s="25"/>
      <x:c r="E27" s="25"/>
      <x:c r="F27" s="25"/>
      <x:c r="G27" s="25"/>
      <x:c r="H27" s="25"/>
      <x:c r="I27" s="25"/>
      <x:c r="J27" s="25"/>
      <x:c r="K27" s="25"/>
      <x:c r="L27" s="25"/>
      <x:c r="M27" s="25"/>
      <x:c r="N27" s="25"/>
    </x:row>
    <x:row r="28">
      <x:c r="A28" s="25"/>
      <x:c r="B28" s="25"/>
      <x:c r="C28" s="25"/>
      <x:c r="D28" s="25"/>
      <x:c r="E28" s="25"/>
      <x:c r="F28" s="25"/>
      <x:c r="G28" s="25"/>
      <x:c r="H28" s="25"/>
      <x:c r="I28" s="25"/>
      <x:c r="J28" s="25"/>
      <x:c r="K28" s="25"/>
      <x:c r="L28" s="25"/>
      <x:c r="M28" s="25"/>
      <x:c r="N28" s="25"/>
    </x:row>
    <x:row r="29">
      <x:c r="A29" s="25"/>
      <x:c r="B29" s="25"/>
      <x:c r="C29" s="25"/>
      <x:c r="D29" s="25"/>
      <x:c r="E29" s="25"/>
      <x:c r="F29" s="25"/>
      <x:c r="G29" s="25"/>
      <x:c r="H29" s="25"/>
      <x:c r="I29" s="25"/>
      <x:c r="J29" s="25"/>
      <x:c r="K29" s="25"/>
      <x:c r="L29" s="25"/>
      <x:c r="M29" s="25"/>
      <x:c r="N29" s="25"/>
    </x:row>
    <x:row r="30">
      <x:c r="A30" s="25"/>
      <x:c r="B30" s="25"/>
      <x:c r="C30" s="25"/>
      <x:c r="D30" s="25"/>
      <x:c r="E30" s="25"/>
      <x:c r="F30" s="25"/>
      <x:c r="G30" s="25"/>
      <x:c r="H30" s="25"/>
      <x:c r="I30" s="25"/>
      <x:c r="J30" s="25"/>
      <x:c r="K30" s="25"/>
      <x:c r="L30" s="25"/>
      <x:c r="M30" s="25"/>
      <x:c r="N30" s="25"/>
    </x:row>
    <x:row r="31">
      <x:c r="A31" s="25"/>
      <x:c r="B31" s="25"/>
      <x:c r="C31" s="25"/>
      <x:c r="D31" s="25"/>
      <x:c r="E31" s="25"/>
      <x:c r="F31" s="25"/>
      <x:c r="G31" s="25"/>
      <x:c r="H31" s="25"/>
      <x:c r="I31" s="25"/>
      <x:c r="J31" s="25"/>
      <x:c r="K31" s="25"/>
      <x:c r="L31" s="25"/>
      <x:c r="M31" s="25"/>
      <x:c r="N31" s="25"/>
    </x:row>
    <x:row r="32">
      <x:c r="A32" s="25"/>
      <x:c r="B32" s="25"/>
      <x:c r="C32" s="25"/>
      <x:c r="D32" s="25"/>
      <x:c r="E32" s="25"/>
      <x:c r="F32" s="25"/>
      <x:c r="G32" s="25"/>
      <x:c r="H32" s="25"/>
      <x:c r="I32" s="25"/>
      <x:c r="J32" s="25"/>
      <x:c r="K32" s="25"/>
      <x:c r="L32" s="25"/>
      <x:c r="M32" s="25"/>
      <x:c r="N32" s="25"/>
    </x:row>
    <x:row r="33">
      <x:c r="A33" s="25"/>
      <x:c r="B33" s="25"/>
      <x:c r="C33" s="25"/>
      <x:c r="D33" s="25"/>
      <x:c r="E33" s="25"/>
      <x:c r="F33" s="25"/>
      <x:c r="G33" s="25"/>
      <x:c r="H33" s="25"/>
      <x:c r="I33" s="25"/>
      <x:c r="J33" s="25"/>
      <x:c r="K33" s="25"/>
      <x:c r="L33" s="25"/>
      <x:c r="M33" s="25"/>
      <x:c r="N33" s="25"/>
    </x:row>
    <x:row r="34">
      <x:c r="A34" s="25"/>
      <x:c r="B34" s="25"/>
      <x:c r="C34" s="25"/>
      <x:c r="D34" s="25"/>
      <x:c r="E34" s="25"/>
      <x:c r="F34" s="25"/>
      <x:c r="G34" s="25"/>
      <x:c r="H34" s="25"/>
      <x:c r="I34" s="25"/>
      <x:c r="J34" s="25"/>
      <x:c r="K34" s="25"/>
      <x:c r="L34" s="25"/>
      <x:c r="M34" s="25"/>
      <x:c r="N34" s="25"/>
    </x:row>
    <x:row r="35">
      <x:c r="A35" s="25"/>
      <x:c r="B35" s="25"/>
      <x:c r="C35" s="25"/>
      <x:c r="D35" s="25"/>
      <x:c r="E35" s="25"/>
      <x:c r="F35" s="25"/>
      <x:c r="G35" s="25"/>
      <x:c r="H35" s="25"/>
      <x:c r="I35" s="25"/>
      <x:c r="J35" s="25"/>
      <x:c r="K35" s="25"/>
      <x:c r="L35" s="25"/>
      <x:c r="M35" s="25"/>
      <x:c r="N35" s="25"/>
    </x:row>
    <x:row r="36">
      <x:c r="A36" s="25"/>
      <x:c r="B36" s="25"/>
      <x:c r="C36" s="25"/>
      <x:c r="D36" s="25"/>
      <x:c r="E36" s="25"/>
      <x:c r="F36" s="25"/>
      <x:c r="G36" s="25"/>
      <x:c r="H36" s="25"/>
      <x:c r="I36" s="25"/>
      <x:c r="J36" s="25"/>
      <x:c r="K36" s="25"/>
      <x:c r="L36" s="25"/>
      <x:c r="M36" s="25"/>
      <x:c r="N36" s="25"/>
    </x:row>
    <x:row r="37">
      <x:c r="A37" s="25"/>
      <x:c r="B37" s="25"/>
      <x:c r="C37" s="25"/>
      <x:c r="D37" s="25"/>
      <x:c r="E37" s="25"/>
      <x:c r="F37" s="25"/>
      <x:c r="G37" s="25"/>
      <x:c r="H37" s="25"/>
      <x:c r="I37" s="25"/>
      <x:c r="J37" s="25"/>
      <x:c r="K37" s="25"/>
      <x:c r="L37" s="25"/>
      <x:c r="M37" s="25"/>
      <x:c r="N37" s="25"/>
    </x:row>
    <x:row r="38">
      <x:c r="A38" s="25"/>
      <x:c r="B38" s="25"/>
      <x:c r="C38" s="25"/>
      <x:c r="D38" s="25"/>
      <x:c r="E38" s="25"/>
      <x:c r="F38" s="25"/>
      <x:c r="G38" s="25"/>
      <x:c r="H38" s="25"/>
      <x:c r="I38" s="25"/>
      <x:c r="J38" s="25"/>
      <x:c r="K38" s="25"/>
      <x:c r="L38" s="25"/>
      <x:c r="M38" s="25"/>
      <x:c r="N38" s="25"/>
    </x:row>
    <x:row r="39">
      <x:c r="A39" s="25"/>
      <x:c r="B39" s="25"/>
      <x:c r="C39" s="25"/>
      <x:c r="D39" s="25"/>
      <x:c r="E39" s="25"/>
      <x:c r="F39" s="25"/>
      <x:c r="G39" s="25"/>
      <x:c r="H39" s="25"/>
      <x:c r="I39" s="25"/>
      <x:c r="J39" s="25"/>
      <x:c r="K39" s="25"/>
      <x:c r="L39" s="25"/>
      <x:c r="M39" s="25"/>
      <x:c r="N39" s="25"/>
    </x:row>
    <x:row r="40">
      <x:c r="A40" s="25"/>
      <x:c r="B40" s="25"/>
      <x:c r="C40" s="25"/>
      <x:c r="D40" s="25"/>
      <x:c r="E40" s="25"/>
      <x:c r="F40" s="25"/>
      <x:c r="G40" s="25"/>
      <x:c r="H40" s="25"/>
      <x:c r="I40" s="25"/>
      <x:c r="J40" s="25"/>
      <x:c r="K40" s="25"/>
      <x:c r="L40" s="25"/>
      <x:c r="M40" s="25"/>
      <x:c r="N40" s="25"/>
    </x:row>
    <x:row r="41">
      <x:c r="A41" s="25"/>
      <x:c r="B41" s="25"/>
      <x:c r="C41" s="25"/>
      <x:c r="D41" s="25"/>
      <x:c r="E41" s="25"/>
      <x:c r="F41" s="25"/>
      <x:c r="G41" s="25"/>
      <x:c r="H41" s="25"/>
      <x:c r="I41" s="25"/>
      <x:c r="J41" s="25"/>
      <x:c r="K41" s="25"/>
      <x:c r="L41" s="25"/>
      <x:c r="M41" s="25"/>
      <x:c r="N41" s="25"/>
    </x:row>
    <x:row r="42">
      <x:c r="A42" s="25"/>
      <x:c r="B42" s="25"/>
      <x:c r="C42" s="25"/>
      <x:c r="D42" s="25"/>
      <x:c r="E42" s="25"/>
      <x:c r="F42" s="25"/>
      <x:c r="G42" s="25"/>
      <x:c r="H42" s="25"/>
      <x:c r="I42" s="25"/>
      <x:c r="J42" s="25"/>
      <x:c r="K42" s="25"/>
      <x:c r="L42" s="25"/>
      <x:c r="M42" s="25"/>
      <x:c r="N42" s="25"/>
    </x:row>
    <x:row r="43">
      <x:c r="A43" s="25"/>
      <x:c r="B43" s="25"/>
      <x:c r="C43" s="25"/>
      <x:c r="D43" s="25"/>
      <x:c r="E43" s="25"/>
      <x:c r="F43" s="25"/>
      <x:c r="G43" s="25"/>
      <x:c r="H43" s="25"/>
      <x:c r="I43" s="25"/>
      <x:c r="J43" s="25"/>
      <x:c r="K43" s="25"/>
      <x:c r="L43" s="25"/>
      <x:c r="M43" s="25"/>
      <x:c r="N43" s="25"/>
    </x:row>
    <x:row r="44">
      <x:c r="A44" s="25"/>
      <x:c r="B44" s="25"/>
      <x:c r="C44" s="25"/>
      <x:c r="D44" s="25"/>
      <x:c r="E44" s="25"/>
      <x:c r="F44" s="25"/>
      <x:c r="G44" s="25"/>
      <x:c r="H44" s="25"/>
      <x:c r="I44" s="25"/>
      <x:c r="J44" s="25"/>
      <x:c r="K44" s="25"/>
      <x:c r="L44" s="25"/>
      <x:c r="M44" s="25"/>
      <x:c r="N44" s="25"/>
    </x:row>
    <x:row r="45">
      <x:c r="A45" s="25"/>
      <x:c r="B45" s="25"/>
      <x:c r="C45" s="25"/>
      <x:c r="D45" s="25"/>
      <x:c r="E45" s="25"/>
      <x:c r="F45" s="25"/>
      <x:c r="G45" s="25"/>
      <x:c r="H45" s="25"/>
      <x:c r="I45" s="25"/>
      <x:c r="J45" s="25"/>
      <x:c r="K45" s="25"/>
      <x:c r="L45" s="25"/>
      <x:c r="M45" s="25"/>
      <x:c r="N45" s="25"/>
    </x:row>
    <x:row r="46">
      <x:c r="A46" s="25"/>
      <x:c r="B46" s="25"/>
      <x:c r="C46" s="25"/>
      <x:c r="D46" s="25"/>
      <x:c r="E46" s="25"/>
      <x:c r="F46" s="25"/>
      <x:c r="G46" s="25"/>
      <x:c r="H46" s="25"/>
      <x:c r="I46" s="25"/>
      <x:c r="J46" s="25"/>
      <x:c r="K46" s="25"/>
      <x:c r="L46" s="25"/>
      <x:c r="M46" s="25"/>
      <x:c r="N46" s="25"/>
    </x:row>
    <x:row r="47">
      <x:c r="A47" s="25"/>
      <x:c r="B47" s="25"/>
      <x:c r="C47" s="25"/>
      <x:c r="D47" s="25"/>
      <x:c r="E47" s="25"/>
      <x:c r="F47" s="25"/>
      <x:c r="G47" s="25"/>
      <x:c r="H47" s="25"/>
      <x:c r="I47" s="25"/>
      <x:c r="J47" s="25"/>
      <x:c r="K47" s="25"/>
      <x:c r="L47" s="25"/>
      <x:c r="M47" s="25"/>
      <x:c r="N47" s="25"/>
    </x:row>
    <x:row r="48">
      <x:c r="A48" s="25"/>
      <x:c r="B48" s="25"/>
      <x:c r="C48" s="25"/>
      <x:c r="D48" s="25"/>
      <x:c r="E48" s="25"/>
      <x:c r="F48" s="25"/>
      <x:c r="G48" s="25"/>
      <x:c r="H48" s="25"/>
      <x:c r="I48" s="25"/>
      <x:c r="J48" s="25"/>
      <x:c r="K48" s="25"/>
      <x:c r="L48" s="25"/>
      <x:c r="M48" s="25"/>
      <x:c r="N48" s="25"/>
    </x:row>
    <x:row r="49">
      <x:c r="A49" s="25"/>
      <x:c r="B49" s="25"/>
      <x:c r="C49" s="25"/>
      <x:c r="D49" s="25"/>
      <x:c r="E49" s="25"/>
      <x:c r="F49" s="25"/>
      <x:c r="G49" s="25"/>
      <x:c r="H49" s="25"/>
      <x:c r="I49" s="25"/>
      <x:c r="J49" s="25"/>
      <x:c r="K49" s="25"/>
      <x:c r="L49" s="25"/>
      <x:c r="M49" s="25"/>
      <x:c r="N49" s="25"/>
    </x:row>
    <x:row r="50">
      <x:c r="A50" s="25"/>
      <x:c r="B50" s="25"/>
      <x:c r="C50" s="25"/>
      <x:c r="D50" s="25"/>
      <x:c r="E50" s="25"/>
      <x:c r="F50" s="25"/>
      <x:c r="G50" s="25"/>
      <x:c r="H50" s="25"/>
      <x:c r="I50" s="25"/>
      <x:c r="J50" s="25"/>
      <x:c r="K50" s="25"/>
      <x:c r="L50" s="25"/>
      <x:c r="M50" s="25"/>
      <x:c r="N50" s="25"/>
    </x:row>
    <x:row r="51">
      <x:c r="A51" s="25"/>
      <x:c r="B51" s="25"/>
      <x:c r="C51" s="25"/>
      <x:c r="D51" s="25"/>
      <x:c r="E51" s="25"/>
      <x:c r="F51" s="25"/>
      <x:c r="G51" s="25"/>
      <x:c r="H51" s="25"/>
      <x:c r="I51" s="25"/>
      <x:c r="J51" s="25"/>
      <x:c r="K51" s="25"/>
      <x:c r="L51" s="25"/>
      <x:c r="M51" s="25"/>
      <x:c r="N51" s="25"/>
    </x:row>
    <x:row r="52">
      <x:c r="A52" s="25"/>
      <x:c r="B52" s="25"/>
      <x:c r="C52" s="25"/>
      <x:c r="D52" s="25"/>
      <x:c r="E52" s="25"/>
      <x:c r="F52" s="25"/>
      <x:c r="G52" s="25"/>
      <x:c r="H52" s="25"/>
      <x:c r="I52" s="25"/>
      <x:c r="J52" s="25"/>
      <x:c r="K52" s="25"/>
      <x:c r="L52" s="25"/>
      <x:c r="M52" s="25"/>
      <x:c r="N52" s="25"/>
    </x:row>
    <x:row r="53">
      <x:c r="A53" s="25"/>
      <x:c r="B53" s="25"/>
      <x:c r="C53" s="25"/>
      <x:c r="D53" s="25"/>
      <x:c r="E53" s="25"/>
      <x:c r="F53" s="25"/>
      <x:c r="G53" s="25"/>
      <x:c r="H53" s="25"/>
      <x:c r="I53" s="25"/>
      <x:c r="J53" s="25"/>
      <x:c r="K53" s="25"/>
      <x:c r="L53" s="25"/>
      <x:c r="M53" s="25"/>
      <x:c r="N53" s="25"/>
    </x:row>
    <x:row r="54">
      <x:c r="A54" s="25"/>
      <x:c r="B54" s="25"/>
      <x:c r="C54" s="25"/>
      <x:c r="D54" s="25"/>
      <x:c r="E54" s="25"/>
      <x:c r="F54" s="25"/>
      <x:c r="G54" s="25"/>
      <x:c r="H54" s="25"/>
      <x:c r="I54" s="25"/>
      <x:c r="J54" s="25"/>
      <x:c r="K54" s="25"/>
      <x:c r="L54" s="25"/>
      <x:c r="M54" s="25"/>
      <x:c r="N54" s="25"/>
    </x:row>
    <x:row r="55">
      <x:c r="A55" s="25"/>
      <x:c r="B55" s="25"/>
      <x:c r="C55" s="25"/>
      <x:c r="D55" s="25"/>
      <x:c r="E55" s="25"/>
      <x:c r="F55" s="25"/>
      <x:c r="G55" s="25"/>
      <x:c r="H55" s="25"/>
      <x:c r="I55" s="25"/>
      <x:c r="J55" s="25"/>
      <x:c r="K55" s="25"/>
      <x:c r="L55" s="25"/>
      <x:c r="M55" s="25"/>
      <x:c r="N55" s="25"/>
    </x:row>
    <x:row r="56">
      <x:c r="A56" s="25"/>
      <x:c r="B56" s="25"/>
      <x:c r="C56" s="25"/>
      <x:c r="D56" s="25"/>
      <x:c r="E56" s="25"/>
      <x:c r="F56" s="25"/>
      <x:c r="G56" s="25"/>
      <x:c r="H56" s="25"/>
      <x:c r="I56" s="25"/>
      <x:c r="J56" s="25"/>
      <x:c r="K56" s="25"/>
      <x:c r="L56" s="25"/>
      <x:c r="M56" s="25"/>
      <x:c r="N56" s="25"/>
    </x:row>
    <x:row r="57">
      <x:c r="A57" s="25"/>
      <x:c r="B57" s="25"/>
      <x:c r="C57" s="25"/>
      <x:c r="D57" s="25"/>
      <x:c r="E57" s="25"/>
      <x:c r="F57" s="25"/>
      <x:c r="G57" s="25"/>
      <x:c r="H57" s="25"/>
      <x:c r="I57" s="25"/>
      <x:c r="J57" s="25"/>
      <x:c r="K57" s="25"/>
      <x:c r="L57" s="25"/>
      <x:c r="M57" s="25"/>
      <x:c r="N57" s="25"/>
    </x:row>
    <x:row r="58">
      <x:c r="A58" s="25"/>
      <x:c r="B58" s="25"/>
      <x:c r="C58" s="25"/>
      <x:c r="D58" s="25"/>
      <x:c r="E58" s="25"/>
      <x:c r="F58" s="25"/>
      <x:c r="G58" s="25"/>
      <x:c r="H58" s="25"/>
      <x:c r="I58" s="25"/>
      <x:c r="J58" s="25"/>
      <x:c r="K58" s="25"/>
      <x:c r="L58" s="25"/>
      <x:c r="M58" s="25"/>
      <x:c r="N58" s="25"/>
    </x:row>
    <x:row r="59">
      <x:c r="A59" s="25"/>
      <x:c r="B59" s="25"/>
      <x:c r="C59" s="25"/>
      <x:c r="D59" s="25"/>
      <x:c r="E59" s="25"/>
      <x:c r="F59" s="25"/>
      <x:c r="G59" s="25"/>
      <x:c r="H59" s="25"/>
      <x:c r="I59" s="25"/>
      <x:c r="J59" s="25"/>
      <x:c r="K59" s="25"/>
      <x:c r="L59" s="25"/>
      <x:c r="M59" s="25"/>
      <x:c r="N59" s="25"/>
    </x:row>
    <x:row r="60">
      <x:c r="A60" s="25"/>
      <x:c r="B60" s="25"/>
      <x:c r="C60" s="25"/>
      <x:c r="D60" s="25"/>
      <x:c r="E60" s="25"/>
      <x:c r="F60" s="25"/>
      <x:c r="G60" s="25"/>
      <x:c r="H60" s="25"/>
      <x:c r="I60" s="25"/>
      <x:c r="J60" s="25"/>
      <x:c r="K60" s="25"/>
      <x:c r="L60" s="25"/>
      <x:c r="M60" s="25"/>
      <x:c r="N60" s="25"/>
    </x:row>
    <x:row r="61">
      <x:c r="A61" s="25"/>
      <x:c r="B61" s="25"/>
      <x:c r="C61" s="25"/>
      <x:c r="D61" s="25"/>
      <x:c r="E61" s="25"/>
      <x:c r="F61" s="25"/>
      <x:c r="G61" s="25"/>
      <x:c r="H61" s="25"/>
      <x:c r="I61" s="25"/>
      <x:c r="J61" s="25"/>
      <x:c r="K61" s="25"/>
      <x:c r="L61" s="25"/>
      <x:c r="M61" s="25"/>
      <x:c r="N61" s="25"/>
    </x:row>
    <x:row r="62">
      <x:c r="A62" s="25"/>
      <x:c r="B62" s="25"/>
      <x:c r="C62" s="25"/>
      <x:c r="D62" s="25"/>
      <x:c r="E62" s="25"/>
      <x:c r="F62" s="25"/>
      <x:c r="G62" s="25"/>
      <x:c r="H62" s="25"/>
      <x:c r="I62" s="25"/>
      <x:c r="J62" s="25"/>
      <x:c r="K62" s="25"/>
      <x:c r="L62" s="25"/>
      <x:c r="M62" s="25"/>
      <x:c r="N62" s="25"/>
    </x:row>
    <x:row r="63">
      <x:c r="A63" s="25"/>
      <x:c r="B63" s="25"/>
      <x:c r="C63" s="25"/>
      <x:c r="D63" s="25"/>
      <x:c r="E63" s="25"/>
      <x:c r="F63" s="25"/>
      <x:c r="G63" s="25"/>
      <x:c r="H63" s="25"/>
      <x:c r="I63" s="25"/>
      <x:c r="J63" s="25"/>
      <x:c r="K63" s="25"/>
      <x:c r="L63" s="25"/>
      <x:c r="M63" s="25"/>
      <x:c r="N63" s="25"/>
    </x:row>
    <x:row r="64">
      <x:c r="A64" s="25"/>
      <x:c r="B64" s="25"/>
      <x:c r="C64" s="25"/>
      <x:c r="D64" s="25"/>
      <x:c r="E64" s="25"/>
      <x:c r="F64" s="25"/>
      <x:c r="G64" s="25"/>
      <x:c r="H64" s="25"/>
      <x:c r="I64" s="25"/>
      <x:c r="J64" s="25"/>
      <x:c r="K64" s="25"/>
      <x:c r="L64" s="25"/>
      <x:c r="M64" s="25"/>
      <x:c r="N64" s="25"/>
    </x:row>
    <x:row r="65">
      <x:c r="A65" s="25"/>
      <x:c r="B65" s="25"/>
      <x:c r="C65" s="25"/>
      <x:c r="D65" s="25"/>
      <x:c r="E65" s="25"/>
      <x:c r="F65" s="25"/>
      <x:c r="G65" s="25"/>
      <x:c r="H65" s="25"/>
      <x:c r="I65" s="25"/>
      <x:c r="J65" s="25"/>
      <x:c r="K65" s="25"/>
      <x:c r="L65" s="25"/>
      <x:c r="M65" s="25"/>
      <x:c r="N65" s="25"/>
    </x:row>
    <x:row r="66">
      <x:c r="A66" s="25"/>
      <x:c r="B66" s="25"/>
      <x:c r="C66" s="25"/>
      <x:c r="D66" s="25"/>
      <x:c r="E66" s="25"/>
      <x:c r="F66" s="25"/>
      <x:c r="G66" s="25"/>
      <x:c r="H66" s="25"/>
      <x:c r="I66" s="25"/>
      <x:c r="J66" s="25"/>
      <x:c r="K66" s="25"/>
      <x:c r="L66" s="25"/>
      <x:c r="M66" s="25"/>
      <x:c r="N66" s="25"/>
    </x:row>
    <x:row r="67">
      <x:c r="A67" s="25"/>
      <x:c r="B67" s="25"/>
      <x:c r="C67" s="25"/>
      <x:c r="D67" s="25"/>
      <x:c r="E67" s="25"/>
      <x:c r="F67" s="25"/>
      <x:c r="G67" s="25"/>
      <x:c r="H67" s="25"/>
      <x:c r="I67" s="25"/>
      <x:c r="J67" s="25"/>
      <x:c r="K67" s="25"/>
      <x:c r="L67" s="25"/>
      <x:c r="M67" s="25"/>
      <x:c r="N67" s="25"/>
    </x:row>
    <x:row r="68">
      <x:c r="A68" s="25"/>
      <x:c r="B68" s="25"/>
      <x:c r="C68" s="25"/>
      <x:c r="D68" s="25"/>
      <x:c r="E68" s="25"/>
      <x:c r="F68" s="25"/>
      <x:c r="G68" s="25"/>
      <x:c r="H68" s="25"/>
      <x:c r="I68" s="25"/>
      <x:c r="J68" s="25"/>
      <x:c r="K68" s="25"/>
      <x:c r="L68" s="25"/>
      <x:c r="M68" s="25"/>
      <x:c r="N68" s="25"/>
    </x:row>
    <x:row r="69">
      <x:c r="A69" s="25"/>
      <x:c r="B69" s="25"/>
      <x:c r="C69" s="25"/>
      <x:c r="D69" s="25"/>
      <x:c r="E69" s="25"/>
      <x:c r="F69" s="25"/>
      <x:c r="G69" s="25"/>
      <x:c r="H69" s="25"/>
      <x:c r="I69" s="25"/>
      <x:c r="J69" s="25"/>
      <x:c r="K69" s="25"/>
      <x:c r="L69" s="25"/>
      <x:c r="M69" s="25"/>
      <x:c r="N69" s="25"/>
    </x:row>
    <x:row r="70">
      <x:c r="A70" s="25"/>
      <x:c r="B70" s="25"/>
      <x:c r="C70" s="25"/>
      <x:c r="D70" s="25"/>
      <x:c r="E70" s="25"/>
      <x:c r="F70" s="25"/>
      <x:c r="G70" s="25"/>
      <x:c r="H70" s="25"/>
      <x:c r="I70" s="25"/>
      <x:c r="J70" s="25"/>
      <x:c r="K70" s="25"/>
      <x:c r="L70" s="25"/>
      <x:c r="M70" s="25"/>
      <x:c r="N70" s="25"/>
    </x:row>
    <x:row r="71">
      <x:c r="A71" s="25"/>
      <x:c r="B71" s="25"/>
      <x:c r="C71" s="25"/>
      <x:c r="D71" s="25"/>
      <x:c r="E71" s="25"/>
      <x:c r="F71" s="25"/>
      <x:c r="G71" s="25"/>
      <x:c r="H71" s="25"/>
      <x:c r="I71" s="25"/>
      <x:c r="J71" s="25"/>
      <x:c r="K71" s="25"/>
      <x:c r="L71" s="25"/>
      <x:c r="M71" s="25"/>
      <x:c r="N71" s="25"/>
    </x:row>
    <x:row r="72">
      <x:c r="A72" s="25"/>
      <x:c r="B72" s="25"/>
      <x:c r="C72" s="25"/>
      <x:c r="D72" s="25"/>
      <x:c r="E72" s="25"/>
      <x:c r="F72" s="25"/>
      <x:c r="G72" s="25"/>
      <x:c r="H72" s="25"/>
      <x:c r="I72" s="25"/>
      <x:c r="J72" s="25"/>
      <x:c r="K72" s="25"/>
      <x:c r="L72" s="25"/>
      <x:c r="M72" s="25"/>
      <x:c r="N72" s="25"/>
    </x:row>
    <x:row r="73">
      <x:c r="A73" s="25"/>
      <x:c r="B73" s="25"/>
      <x:c r="C73" s="25"/>
      <x:c r="D73" s="25"/>
      <x:c r="E73" s="25"/>
      <x:c r="F73" s="25"/>
      <x:c r="G73" s="25"/>
      <x:c r="H73" s="25"/>
      <x:c r="I73" s="25"/>
      <x:c r="J73" s="25"/>
      <x:c r="K73" s="25"/>
      <x:c r="L73" s="25"/>
      <x:c r="M73" s="25"/>
      <x:c r="N73" s="25"/>
    </x:row>
    <x:row r="74">
      <x:c r="A74" s="25"/>
      <x:c r="B74" s="25"/>
      <x:c r="C74" s="25"/>
      <x:c r="D74" s="25"/>
      <x:c r="E74" s="25"/>
      <x:c r="F74" s="25"/>
      <x:c r="G74" s="25"/>
      <x:c r="H74" s="25"/>
      <x:c r="I74" s="25"/>
      <x:c r="J74" s="25"/>
      <x:c r="K74" s="25"/>
      <x:c r="L74" s="25"/>
      <x:c r="M74" s="25"/>
      <x:c r="N74" s="25"/>
    </x:row>
    <x:row r="75">
      <x:c r="A75" s="25"/>
      <x:c r="B75" s="25"/>
      <x:c r="C75" s="25"/>
      <x:c r="D75" s="25"/>
      <x:c r="E75" s="25"/>
      <x:c r="F75" s="25"/>
      <x:c r="G75" s="25"/>
      <x:c r="H75" s="25"/>
      <x:c r="I75" s="25"/>
      <x:c r="J75" s="25"/>
      <x:c r="K75" s="25"/>
      <x:c r="L75" s="25"/>
      <x:c r="M75" s="25"/>
      <x:c r="N75" s="25"/>
    </x:row>
    <x:row r="76">
      <x:c r="A76" s="25"/>
      <x:c r="B76" s="25"/>
      <x:c r="C76" s="25"/>
      <x:c r="D76" s="25"/>
      <x:c r="E76" s="25"/>
      <x:c r="F76" s="25"/>
      <x:c r="G76" s="25"/>
      <x:c r="H76" s="25"/>
      <x:c r="I76" s="25"/>
      <x:c r="J76" s="25"/>
      <x:c r="K76" s="25"/>
      <x:c r="L76" s="25"/>
      <x:c r="M76" s="25"/>
      <x:c r="N76" s="25"/>
    </x:row>
    <x:row r="77">
      <x:c r="A77" s="25"/>
      <x:c r="B77" s="25"/>
      <x:c r="C77" s="25"/>
      <x:c r="D77" s="25"/>
      <x:c r="E77" s="25"/>
      <x:c r="F77" s="25"/>
      <x:c r="G77" s="25"/>
      <x:c r="H77" s="25"/>
      <x:c r="I77" s="25"/>
      <x:c r="J77" s="25"/>
      <x:c r="K77" s="25"/>
      <x:c r="L77" s="25"/>
      <x:c r="M77" s="25"/>
      <x:c r="N77" s="25"/>
    </x:row>
    <x:row r="78">
      <x:c r="A78" s="25"/>
      <x:c r="B78" s="25"/>
      <x:c r="C78" s="25"/>
      <x:c r="D78" s="25"/>
      <x:c r="E78" s="25"/>
      <x:c r="F78" s="25"/>
      <x:c r="G78" s="25"/>
      <x:c r="H78" s="25"/>
      <x:c r="I78" s="25"/>
      <x:c r="J78" s="25"/>
      <x:c r="K78" s="25"/>
      <x:c r="L78" s="25"/>
      <x:c r="M78" s="25"/>
      <x:c r="N78" s="25"/>
    </x:row>
    <x:row r="79">
      <x:c r="A79" s="25"/>
      <x:c r="B79" s="25"/>
      <x:c r="C79" s="25"/>
      <x:c r="D79" s="25"/>
      <x:c r="E79" s="25"/>
      <x:c r="F79" s="25"/>
      <x:c r="G79" s="25"/>
      <x:c r="H79" s="25"/>
      <x:c r="I79" s="25"/>
      <x:c r="J79" s="25"/>
      <x:c r="K79" s="25"/>
      <x:c r="L79" s="25"/>
      <x:c r="M79" s="25"/>
      <x:c r="N79" s="25"/>
    </x:row>
    <x:row r="80">
      <x:c r="A80" s="25"/>
      <x:c r="B80" s="25"/>
      <x:c r="C80" s="25"/>
      <x:c r="D80" s="25"/>
      <x:c r="E80" s="25"/>
      <x:c r="F80" s="25"/>
      <x:c r="G80" s="25"/>
      <x:c r="H80" s="25"/>
      <x:c r="I80" s="25"/>
      <x:c r="J80" s="25"/>
      <x:c r="K80" s="25"/>
      <x:c r="L80" s="25"/>
      <x:c r="M80" s="25"/>
      <x:c r="N80" s="25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12" hidden="0" customWidth="1"/>
    <x:col min="4" max="4" width="56" hidden="0" customWidth="1"/>
    <x:col min="5" max="5" width="16" hidden="0" customWidth="1"/>
    <x:col min="6" max="6" width="22" hidden="0" customWidth="1"/>
  </x:cols>
  <x:sheetData>
    <x:row r="1">
      <x:c r="A1" s="24" t="str">
        <x:v>01 · INPUT – THAY Ô VÀNG ĐỂ TỰ TÍNH LẠI</x:v>
      </x:c>
      <x:c r="B1" s="24"/>
      <x:c r="C1" s="24"/>
      <x:c r="D1" s="24"/>
      <x:c r="E1" s="24"/>
      <x:c r="F1" s="24"/>
      <x:c r="G1" s="25"/>
      <x:c r="H1" s="25"/>
      <x:c r="I1" s="25"/>
      <x:c r="J1" s="25"/>
      <x:c r="K1" s="25"/>
      <x:c r="L1" s="25"/>
      <x:c r="M1" s="25"/>
      <x:c r="N1" s="25"/>
    </x:row>
    <x:row r="2">
      <x:c r="A2" s="25"/>
      <x:c r="B2" s="25"/>
      <x:c r="C2" s="25"/>
      <x:c r="D2" s="25"/>
      <x:c r="E2" s="25"/>
      <x:c r="F2" s="25"/>
      <x:c r="G2" s="25"/>
      <x:c r="H2" s="25"/>
      <x:c r="I2" s="25"/>
      <x:c r="J2" s="25"/>
      <x:c r="K2" s="25"/>
      <x:c r="L2" s="25"/>
      <x:c r="M2" s="25"/>
      <x:c r="N2" s="25"/>
    </x:row>
    <x:row r="3">
      <x:c r="A3" s="26" t="str">
        <x:v>Thông số</x:v>
      </x:c>
      <x:c r="B3" s="26" t="str">
        <x:v>Giá trị</x:v>
      </x:c>
      <x:c r="C3" s="26" t="str">
        <x:v>Đơn vị</x:v>
      </x:c>
      <x:c r="D3" s="26" t="str">
        <x:v>Diễn giải</x:v>
      </x:c>
      <x:c r="E3" s="26" t="str">
        <x:v>Trạng thái</x:v>
      </x:c>
      <x:c r="F3" s="26" t="str">
        <x:v>Nguồn</x:v>
      </x:c>
      <x:c r="G3" s="25"/>
      <x:c r="H3" s="25"/>
      <x:c r="I3" s="25"/>
      <x:c r="J3" s="25"/>
      <x:c r="K3" s="25"/>
      <x:c r="L3" s="25"/>
      <x:c r="M3" s="25"/>
      <x:c r="N3" s="25"/>
    </x:row>
    <x:row r="4">
      <x:c r="A4" s="25" t="str">
        <x:v>Loại cọc</x:v>
      </x:c>
      <x:c r="B4" s="32" t="str">
        <x:v>PHC</x:v>
      </x:c>
      <x:c r="C4" s="25" t="str">
        <x:v>-</x:v>
      </x:c>
      <x:c r="D4" s="25" t="str">
        <x:v>PC / PHC / NPH</x:v>
      </x:c>
      <x:c r="E4" s="25" t="str">
        <x:v>INPUT</x:v>
      </x:c>
      <x:c r="F4" s="25" t="str">
        <x:v>TCVN 7888</x:v>
      </x:c>
      <x:c r="G4" s="25"/>
      <x:c r="H4" s="25"/>
      <x:c r="I4" s="25"/>
      <x:c r="J4" s="25"/>
      <x:c r="K4" s="25"/>
      <x:c r="L4" s="25"/>
      <x:c r="M4" s="25"/>
      <x:c r="N4" s="25"/>
    </x:row>
    <x:row r="5">
      <x:c r="A5" s="25" t="str">
        <x:v>Cấp tải</x:v>
      </x:c>
      <x:c r="B5" s="32" t="str">
        <x:v>B</x:v>
      </x:c>
      <x:c r="C5" s="25" t="str">
        <x:v>-</x:v>
      </x:c>
      <x:c r="D5" s="25" t="str">
        <x:v>A / AB / B / C; NPH chỉ A/B/C</x:v>
      </x:c>
      <x:c r="E5" s="25" t="str">
        <x:v>INPUT</x:v>
      </x:c>
      <x:c r="F5" s="25" t="str">
        <x:v>Bảng 1/2</x:v>
      </x:c>
      <x:c r="G5" s="25"/>
      <x:c r="H5" s="25"/>
      <x:c r="I5" s="25"/>
      <x:c r="J5" s="25"/>
      <x:c r="K5" s="25"/>
      <x:c r="L5" s="25"/>
      <x:c r="M5" s="25"/>
      <x:c r="N5" s="25"/>
    </x:row>
    <x:row r="6">
      <x:c r="A6" s="25" t="str">
        <x:v>D thân</x:v>
      </x:c>
      <x:c r="B6" s="32" t="n">
        <x:v>600</x:v>
      </x:c>
      <x:c r="C6" s="25" t="str">
        <x:v>mm</x:v>
      </x:c>
      <x:c r="D6" s="25" t="str">
        <x:v>Đường kính ngoài thân cọc</x:v>
      </x:c>
      <x:c r="E6" s="25" t="str">
        <x:v>INPUT</x:v>
      </x:c>
      <x:c r="F6" s="25" t="str">
        <x:v>Bảng 1/2</x:v>
      </x:c>
      <x:c r="G6" s="25"/>
      <x:c r="H6" s="25"/>
      <x:c r="I6" s="25"/>
      <x:c r="J6" s="25"/>
      <x:c r="K6" s="25"/>
      <x:c r="L6" s="25"/>
      <x:c r="M6" s="25"/>
      <x:c r="N6" s="25"/>
    </x:row>
    <x:row r="7">
      <x:c r="A7" s="25" t="str">
        <x:v>L</x:v>
      </x:c>
      <x:c r="B7" s="32" t="n">
        <x:v>20</x:v>
      </x:c>
      <x:c r="C7" s="25" t="str">
        <x:v>m</x:v>
      </x:c>
      <x:c r="D7" s="25" t="str">
        <x:v>Chiều dài cọc</x:v>
      </x:c>
      <x:c r="E7" s="25" t="str">
        <x:v>INPUT</x:v>
      </x:c>
      <x:c r="F7" s="25" t="str">
        <x:v>Đề bài</x:v>
      </x:c>
      <x:c r="G7" s="25"/>
      <x:c r="H7" s="25"/>
      <x:c r="I7" s="25"/>
      <x:c r="J7" s="25"/>
      <x:c r="K7" s="25"/>
      <x:c r="L7" s="25"/>
      <x:c r="M7" s="25"/>
      <x:c r="N7" s="25"/>
    </x:row>
    <x:row r="8">
      <x:c r="A8" s="25" t="str">
        <x:v>σcu</x:v>
      </x:c>
      <x:c r="B8" s="32" t="n">
        <x:v>80</x:v>
      </x:c>
      <x:c r="C8" s="25" t="str">
        <x:v>MPa</x:v>
      </x:c>
      <x:c r="D8" s="25" t="str">
        <x:v>Cường độ nén bê tông</x:v>
      </x:c>
      <x:c r="E8" s="25" t="str">
        <x:v>INPUT</x:v>
      </x:c>
      <x:c r="F8" s="25" t="str">
        <x:v>Điều 6.2</x:v>
      </x:c>
      <x:c r="G8" s="25"/>
      <x:c r="H8" s="25"/>
      <x:c r="I8" s="25"/>
      <x:c r="J8" s="25"/>
      <x:c r="K8" s="25"/>
      <x:c r="L8" s="25"/>
      <x:c r="M8" s="25"/>
      <x:c r="N8" s="25"/>
    </x:row>
    <x:row r="9">
      <x:c r="A9" s="25"/>
      <x:c r="B9" s="25"/>
      <x:c r="C9" s="25"/>
      <x:c r="D9" s="25"/>
      <x:c r="E9" s="25"/>
      <x:c r="F9" s="25"/>
      <x:c r="G9" s="25"/>
      <x:c r="H9" s="25"/>
      <x:c r="I9" s="25"/>
      <x:c r="J9" s="25"/>
      <x:c r="K9" s="25"/>
      <x:c r="L9" s="25"/>
      <x:c r="M9" s="25"/>
      <x:c r="N9" s="25"/>
    </x:row>
    <x:row r="10">
      <x:c r="A10" s="25"/>
      <x:c r="B10" s="25"/>
      <x:c r="C10" s="25"/>
      <x:c r="D10" s="25"/>
      <x:c r="E10" s="25"/>
      <x:c r="F10" s="25"/>
      <x:c r="G10" s="25"/>
      <x:c r="H10" s="25"/>
      <x:c r="I10" s="25"/>
      <x:c r="J10" s="25"/>
      <x:c r="K10" s="25"/>
      <x:c r="L10" s="25"/>
      <x:c r="M10" s="25"/>
      <x:c r="N10" s="25"/>
    </x:row>
    <x:row r="11">
      <x:c r="A11" s="25"/>
      <x:c r="B11" s="25"/>
      <x:c r="C11" s="25"/>
      <x:c r="D11" s="25"/>
      <x:c r="E11" s="25"/>
      <x:c r="F11" s="25"/>
      <x:c r="G11" s="25"/>
      <x:c r="H11" s="25"/>
      <x:c r="I11" s="25"/>
      <x:c r="J11" s="25"/>
      <x:c r="K11" s="25"/>
      <x:c r="L11" s="25"/>
      <x:c r="M11" s="25"/>
      <x:c r="N11" s="25"/>
    </x:row>
    <x:row r="12">
      <x:c r="A12" s="25"/>
      <x:c r="B12" s="25"/>
      <x:c r="C12" s="25"/>
      <x:c r="D12" s="25"/>
      <x:c r="E12" s="25"/>
      <x:c r="F12" s="25"/>
      <x:c r="G12" s="25"/>
      <x:c r="H12" s="25"/>
      <x:c r="I12" s="25"/>
      <x:c r="J12" s="25"/>
      <x:c r="K12" s="25"/>
      <x:c r="L12" s="25"/>
      <x:c r="M12" s="25"/>
      <x:c r="N12" s="25"/>
    </x:row>
    <x:row r="13">
      <x:c r="A13" s="25"/>
      <x:c r="B13" s="25"/>
      <x:c r="C13" s="25"/>
      <x:c r="D13" s="25"/>
      <x:c r="E13" s="25"/>
      <x:c r="F13" s="25"/>
      <x:c r="G13" s="25"/>
      <x:c r="H13" s="25"/>
      <x:c r="I13" s="25"/>
      <x:c r="J13" s="25"/>
      <x:c r="K13" s="25"/>
      <x:c r="L13" s="25"/>
      <x:c r="M13" s="25"/>
      <x:c r="N13" s="25"/>
    </x:row>
    <x:row r="14">
      <x:c r="A14" s="25"/>
      <x:c r="B14" s="25"/>
      <x:c r="C14" s="25"/>
      <x:c r="D14" s="25"/>
      <x:c r="E14" s="25"/>
      <x:c r="F14" s="25"/>
      <x:c r="G14" s="25"/>
      <x:c r="H14" s="25"/>
      <x:c r="I14" s="25"/>
      <x:c r="J14" s="25"/>
      <x:c r="K14" s="25"/>
      <x:c r="L14" s="25"/>
      <x:c r="M14" s="25"/>
      <x:c r="N14" s="25"/>
    </x:row>
    <x:row r="15">
      <x:c r="A15" s="25"/>
      <x:c r="B15" s="25"/>
      <x:c r="C15" s="25"/>
      <x:c r="D15" s="25"/>
      <x:c r="E15" s="25"/>
      <x:c r="F15" s="25"/>
      <x:c r="G15" s="25"/>
      <x:c r="H15" s="25"/>
      <x:c r="I15" s="25"/>
      <x:c r="J15" s="25"/>
      <x:c r="K15" s="25"/>
      <x:c r="L15" s="25"/>
      <x:c r="M15" s="25"/>
      <x:c r="N15" s="25"/>
    </x:row>
    <x:row r="16">
      <x:c r="A16" s="25"/>
      <x:c r="B16" s="25"/>
      <x:c r="C16" s="25"/>
      <x:c r="D16" s="25"/>
      <x:c r="E16" s="25"/>
      <x:c r="F16" s="25"/>
      <x:c r="G16" s="25"/>
      <x:c r="H16" s="25"/>
      <x:c r="I16" s="25"/>
      <x:c r="J16" s="25"/>
      <x:c r="K16" s="25"/>
      <x:c r="L16" s="25"/>
      <x:c r="M16" s="25"/>
      <x:c r="N16" s="25"/>
    </x:row>
    <x:row r="17">
      <x:c r="A17" s="25"/>
      <x:c r="B17" s="25"/>
      <x:c r="C17" s="25"/>
      <x:c r="D17" s="25"/>
      <x:c r="E17" s="25"/>
      <x:c r="F17" s="25"/>
      <x:c r="G17" s="25"/>
      <x:c r="H17" s="25"/>
      <x:c r="I17" s="25"/>
      <x:c r="J17" s="25"/>
      <x:c r="K17" s="25"/>
      <x:c r="L17" s="25"/>
      <x:c r="M17" s="25"/>
      <x:c r="N17" s="25"/>
    </x:row>
    <x:row r="18">
      <x:c r="A18" s="25"/>
      <x:c r="B18" s="25"/>
      <x:c r="C18" s="25"/>
      <x:c r="D18" s="25"/>
      <x:c r="E18" s="25"/>
      <x:c r="F18" s="25"/>
      <x:c r="G18" s="25"/>
      <x:c r="H18" s="25"/>
      <x:c r="I18" s="25"/>
      <x:c r="J18" s="25"/>
      <x:c r="K18" s="25"/>
      <x:c r="L18" s="25"/>
      <x:c r="M18" s="25"/>
      <x:c r="N18" s="25"/>
    </x:row>
    <x:row r="19">
      <x:c r="A19" s="25"/>
      <x:c r="B19" s="25"/>
      <x:c r="C19" s="25"/>
      <x:c r="D19" s="25"/>
      <x:c r="E19" s="25"/>
      <x:c r="F19" s="25"/>
      <x:c r="G19" s="25"/>
      <x:c r="H19" s="25"/>
      <x:c r="I19" s="25"/>
      <x:c r="J19" s="25"/>
      <x:c r="K19" s="25"/>
      <x:c r="L19" s="25"/>
      <x:c r="M19" s="25"/>
      <x:c r="N19" s="25"/>
    </x:row>
    <x:row r="20">
      <x:c r="A20" s="25"/>
      <x:c r="B20" s="25"/>
      <x:c r="C20" s="25"/>
      <x:c r="D20" s="25"/>
      <x:c r="E20" s="25"/>
      <x:c r="F20" s="25"/>
      <x:c r="G20" s="25"/>
      <x:c r="H20" s="25"/>
      <x:c r="I20" s="25"/>
      <x:c r="J20" s="25"/>
      <x:c r="K20" s="25"/>
      <x:c r="L20" s="25"/>
      <x:c r="M20" s="25"/>
      <x:c r="N20" s="25"/>
    </x:row>
    <x:row r="21">
      <x:c r="A21" s="25"/>
      <x:c r="B21" s="25"/>
      <x:c r="C21" s="25"/>
      <x:c r="D21" s="25"/>
      <x:c r="E21" s="25"/>
      <x:c r="F21" s="25"/>
      <x:c r="G21" s="25"/>
      <x:c r="H21" s="25"/>
      <x:c r="I21" s="25"/>
      <x:c r="J21" s="25"/>
      <x:c r="K21" s="25"/>
      <x:c r="L21" s="25"/>
      <x:c r="M21" s="25"/>
      <x:c r="N21" s="25"/>
    </x:row>
    <x:row r="22">
      <x:c r="A22" s="25"/>
      <x:c r="B22" s="25"/>
      <x:c r="C22" s="25"/>
      <x:c r="D22" s="25"/>
      <x:c r="E22" s="25"/>
      <x:c r="F22" s="25"/>
      <x:c r="G22" s="25"/>
      <x:c r="H22" s="25"/>
      <x:c r="I22" s="25"/>
      <x:c r="J22" s="25"/>
      <x:c r="K22" s="25"/>
      <x:c r="L22" s="25"/>
      <x:c r="M22" s="25"/>
      <x:c r="N22" s="25"/>
    </x:row>
    <x:row r="23">
      <x:c r="A23" s="25"/>
      <x:c r="B23" s="25"/>
      <x:c r="C23" s="25"/>
      <x:c r="D23" s="25"/>
      <x:c r="E23" s="25"/>
      <x:c r="F23" s="25"/>
      <x:c r="G23" s="25"/>
      <x:c r="H23" s="25"/>
      <x:c r="I23" s="25"/>
      <x:c r="J23" s="25"/>
      <x:c r="K23" s="25"/>
      <x:c r="L23" s="25"/>
      <x:c r="M23" s="25"/>
      <x:c r="N23" s="25"/>
    </x:row>
    <x:row r="24">
      <x:c r="A24" s="25"/>
      <x:c r="B24" s="25"/>
      <x:c r="C24" s="25"/>
      <x:c r="D24" s="25"/>
      <x:c r="E24" s="25"/>
      <x:c r="F24" s="25"/>
      <x:c r="G24" s="25"/>
      <x:c r="H24" s="25"/>
      <x:c r="I24" s="25"/>
      <x:c r="J24" s="25"/>
      <x:c r="K24" s="25"/>
      <x:c r="L24" s="25"/>
      <x:c r="M24" s="25"/>
      <x:c r="N24" s="25"/>
    </x:row>
    <x:row r="25">
      <x:c r="A25" s="25"/>
      <x:c r="B25" s="25"/>
      <x:c r="C25" s="25"/>
      <x:c r="D25" s="25"/>
      <x:c r="E25" s="25"/>
      <x:c r="F25" s="25"/>
      <x:c r="G25" s="25"/>
      <x:c r="H25" s="25"/>
      <x:c r="I25" s="25"/>
      <x:c r="J25" s="25"/>
      <x:c r="K25" s="25"/>
      <x:c r="L25" s="25"/>
      <x:c r="M25" s="25"/>
      <x:c r="N25" s="25"/>
    </x:row>
    <x:row r="26">
      <x:c r="A26" s="25"/>
      <x:c r="B26" s="25"/>
      <x:c r="C26" s="25"/>
      <x:c r="D26" s="25"/>
      <x:c r="E26" s="25"/>
      <x:c r="F26" s="25"/>
      <x:c r="G26" s="25"/>
      <x:c r="H26" s="25"/>
      <x:c r="I26" s="25"/>
      <x:c r="J26" s="25"/>
      <x:c r="K26" s="25"/>
      <x:c r="L26" s="25"/>
      <x:c r="M26" s="25"/>
      <x:c r="N26" s="25"/>
    </x:row>
    <x:row r="27">
      <x:c r="A27" s="25"/>
      <x:c r="B27" s="25"/>
      <x:c r="C27" s="25"/>
      <x:c r="D27" s="25"/>
      <x:c r="E27" s="25"/>
      <x:c r="F27" s="25"/>
      <x:c r="G27" s="25"/>
      <x:c r="H27" s="25"/>
      <x:c r="I27" s="25"/>
      <x:c r="J27" s="25"/>
      <x:c r="K27" s="25"/>
      <x:c r="L27" s="25"/>
      <x:c r="M27" s="25"/>
      <x:c r="N27" s="25"/>
    </x:row>
    <x:row r="28">
      <x:c r="A28" s="25"/>
      <x:c r="B28" s="25"/>
      <x:c r="C28" s="25"/>
      <x:c r="D28" s="25"/>
      <x:c r="E28" s="25"/>
      <x:c r="F28" s="25"/>
      <x:c r="G28" s="25"/>
      <x:c r="H28" s="25"/>
      <x:c r="I28" s="25"/>
      <x:c r="J28" s="25"/>
      <x:c r="K28" s="25"/>
      <x:c r="L28" s="25"/>
      <x:c r="M28" s="25"/>
      <x:c r="N28" s="25"/>
    </x:row>
    <x:row r="29">
      <x:c r="A29" s="25"/>
      <x:c r="B29" s="25"/>
      <x:c r="C29" s="25"/>
      <x:c r="D29" s="25"/>
      <x:c r="E29" s="25"/>
      <x:c r="F29" s="25"/>
      <x:c r="G29" s="25"/>
      <x:c r="H29" s="25"/>
      <x:c r="I29" s="25"/>
      <x:c r="J29" s="25"/>
      <x:c r="K29" s="25"/>
      <x:c r="L29" s="25"/>
      <x:c r="M29" s="25"/>
      <x:c r="N29" s="25"/>
    </x:row>
    <x:row r="30">
      <x:c r="A30" s="25"/>
      <x:c r="B30" s="25"/>
      <x:c r="C30" s="25"/>
      <x:c r="D30" s="25"/>
      <x:c r="E30" s="25"/>
      <x:c r="F30" s="25"/>
      <x:c r="G30" s="25"/>
      <x:c r="H30" s="25"/>
      <x:c r="I30" s="25"/>
      <x:c r="J30" s="25"/>
      <x:c r="K30" s="25"/>
      <x:c r="L30" s="25"/>
      <x:c r="M30" s="25"/>
      <x:c r="N30" s="25"/>
    </x:row>
    <x:row r="31">
      <x:c r="A31" s="25"/>
      <x:c r="B31" s="25"/>
      <x:c r="C31" s="25"/>
      <x:c r="D31" s="25"/>
      <x:c r="E31" s="25"/>
      <x:c r="F31" s="25"/>
      <x:c r="G31" s="25"/>
      <x:c r="H31" s="25"/>
      <x:c r="I31" s="25"/>
      <x:c r="J31" s="25"/>
      <x:c r="K31" s="25"/>
      <x:c r="L31" s="25"/>
      <x:c r="M31" s="25"/>
      <x:c r="N31" s="25"/>
    </x:row>
    <x:row r="32">
      <x:c r="A32" s="25"/>
      <x:c r="B32" s="25"/>
      <x:c r="C32" s="25"/>
      <x:c r="D32" s="25"/>
      <x:c r="E32" s="25"/>
      <x:c r="F32" s="25"/>
      <x:c r="G32" s="25"/>
      <x:c r="H32" s="25"/>
      <x:c r="I32" s="25"/>
      <x:c r="J32" s="25"/>
      <x:c r="K32" s="25"/>
      <x:c r="L32" s="25"/>
      <x:c r="M32" s="25"/>
      <x:c r="N32" s="25"/>
    </x:row>
    <x:row r="33">
      <x:c r="A33" s="25"/>
      <x:c r="B33" s="25"/>
      <x:c r="C33" s="25"/>
      <x:c r="D33" s="25"/>
      <x:c r="E33" s="25"/>
      <x:c r="F33" s="25"/>
      <x:c r="G33" s="25"/>
      <x:c r="H33" s="25"/>
      <x:c r="I33" s="25"/>
      <x:c r="J33" s="25"/>
      <x:c r="K33" s="25"/>
      <x:c r="L33" s="25"/>
      <x:c r="M33" s="25"/>
      <x:c r="N33" s="25"/>
    </x:row>
    <x:row r="34">
      <x:c r="A34" s="25"/>
      <x:c r="B34" s="25"/>
      <x:c r="C34" s="25"/>
      <x:c r="D34" s="25"/>
      <x:c r="E34" s="25"/>
      <x:c r="F34" s="25"/>
      <x:c r="G34" s="25"/>
      <x:c r="H34" s="25"/>
      <x:c r="I34" s="25"/>
      <x:c r="J34" s="25"/>
      <x:c r="K34" s="25"/>
      <x:c r="L34" s="25"/>
      <x:c r="M34" s="25"/>
      <x:c r="N34" s="25"/>
    </x:row>
    <x:row r="35">
      <x:c r="A35" s="25"/>
      <x:c r="B35" s="25"/>
      <x:c r="C35" s="25"/>
      <x:c r="D35" s="25"/>
      <x:c r="E35" s="25"/>
      <x:c r="F35" s="25"/>
      <x:c r="G35" s="25"/>
      <x:c r="H35" s="25"/>
      <x:c r="I35" s="25"/>
      <x:c r="J35" s="25"/>
      <x:c r="K35" s="25"/>
      <x:c r="L35" s="25"/>
      <x:c r="M35" s="25"/>
      <x:c r="N35" s="25"/>
    </x:row>
    <x:row r="36">
      <x:c r="A36" s="25"/>
      <x:c r="B36" s="25"/>
      <x:c r="C36" s="25"/>
      <x:c r="D36" s="25"/>
      <x:c r="E36" s="25"/>
      <x:c r="F36" s="25"/>
      <x:c r="G36" s="25"/>
      <x:c r="H36" s="25"/>
      <x:c r="I36" s="25"/>
      <x:c r="J36" s="25"/>
      <x:c r="K36" s="25"/>
      <x:c r="L36" s="25"/>
      <x:c r="M36" s="25"/>
      <x:c r="N36" s="25"/>
    </x:row>
    <x:row r="37">
      <x:c r="A37" s="25"/>
      <x:c r="B37" s="25"/>
      <x:c r="C37" s="25"/>
      <x:c r="D37" s="25"/>
      <x:c r="E37" s="25"/>
      <x:c r="F37" s="25"/>
      <x:c r="G37" s="25"/>
      <x:c r="H37" s="25"/>
      <x:c r="I37" s="25"/>
      <x:c r="J37" s="25"/>
      <x:c r="K37" s="25"/>
      <x:c r="L37" s="25"/>
      <x:c r="M37" s="25"/>
      <x:c r="N37" s="25"/>
    </x:row>
    <x:row r="38">
      <x:c r="A38" s="25"/>
      <x:c r="B38" s="25"/>
      <x:c r="C38" s="25"/>
      <x:c r="D38" s="25"/>
      <x:c r="E38" s="25"/>
      <x:c r="F38" s="25"/>
      <x:c r="G38" s="25"/>
      <x:c r="H38" s="25"/>
      <x:c r="I38" s="25"/>
      <x:c r="J38" s="25"/>
      <x:c r="K38" s="25"/>
      <x:c r="L38" s="25"/>
      <x:c r="M38" s="25"/>
      <x:c r="N38" s="25"/>
    </x:row>
    <x:row r="39">
      <x:c r="A39" s="25"/>
      <x:c r="B39" s="25"/>
      <x:c r="C39" s="25"/>
      <x:c r="D39" s="25"/>
      <x:c r="E39" s="25"/>
      <x:c r="F39" s="25"/>
      <x:c r="G39" s="25"/>
      <x:c r="H39" s="25"/>
      <x:c r="I39" s="25"/>
      <x:c r="J39" s="25"/>
      <x:c r="K39" s="25"/>
      <x:c r="L39" s="25"/>
      <x:c r="M39" s="25"/>
      <x:c r="N39" s="25"/>
    </x:row>
    <x:row r="40">
      <x:c r="A40" s="25"/>
      <x:c r="B40" s="25"/>
      <x:c r="C40" s="25"/>
      <x:c r="D40" s="25"/>
      <x:c r="E40" s="25"/>
      <x:c r="F40" s="25"/>
      <x:c r="G40" s="25"/>
      <x:c r="H40" s="25"/>
      <x:c r="I40" s="25"/>
      <x:c r="J40" s="25"/>
      <x:c r="K40" s="25"/>
      <x:c r="L40" s="25"/>
      <x:c r="M40" s="25"/>
      <x:c r="N40" s="25"/>
    </x:row>
    <x:row r="41">
      <x:c r="A41" s="25"/>
      <x:c r="B41" s="25"/>
      <x:c r="C41" s="25"/>
      <x:c r="D41" s="25"/>
      <x:c r="E41" s="25"/>
      <x:c r="F41" s="25"/>
      <x:c r="G41" s="25"/>
      <x:c r="H41" s="25"/>
      <x:c r="I41" s="25"/>
      <x:c r="J41" s="25"/>
      <x:c r="K41" s="25"/>
      <x:c r="L41" s="25"/>
      <x:c r="M41" s="25"/>
      <x:c r="N41" s="25"/>
    </x:row>
    <x:row r="42">
      <x:c r="A42" s="25"/>
      <x:c r="B42" s="25"/>
      <x:c r="C42" s="25"/>
      <x:c r="D42" s="25"/>
      <x:c r="E42" s="25"/>
      <x:c r="F42" s="25"/>
      <x:c r="G42" s="25"/>
      <x:c r="H42" s="25"/>
      <x:c r="I42" s="25"/>
      <x:c r="J42" s="25"/>
      <x:c r="K42" s="25"/>
      <x:c r="L42" s="25"/>
      <x:c r="M42" s="25"/>
      <x:c r="N42" s="25"/>
    </x:row>
    <x:row r="43">
      <x:c r="A43" s="25"/>
      <x:c r="B43" s="25"/>
      <x:c r="C43" s="25"/>
      <x:c r="D43" s="25"/>
      <x:c r="E43" s="25"/>
      <x:c r="F43" s="25"/>
      <x:c r="G43" s="25"/>
      <x:c r="H43" s="25"/>
      <x:c r="I43" s="25"/>
      <x:c r="J43" s="25"/>
      <x:c r="K43" s="25"/>
      <x:c r="L43" s="25"/>
      <x:c r="M43" s="25"/>
      <x:c r="N43" s="25"/>
    </x:row>
    <x:row r="44">
      <x:c r="A44" s="25"/>
      <x:c r="B44" s="25"/>
      <x:c r="C44" s="25"/>
      <x:c r="D44" s="25"/>
      <x:c r="E44" s="25"/>
      <x:c r="F44" s="25"/>
      <x:c r="G44" s="25"/>
      <x:c r="H44" s="25"/>
      <x:c r="I44" s="25"/>
      <x:c r="J44" s="25"/>
      <x:c r="K44" s="25"/>
      <x:c r="L44" s="25"/>
      <x:c r="M44" s="25"/>
      <x:c r="N44" s="25"/>
    </x:row>
    <x:row r="45">
      <x:c r="A45" s="25"/>
      <x:c r="B45" s="25"/>
      <x:c r="C45" s="25"/>
      <x:c r="D45" s="25"/>
      <x:c r="E45" s="25"/>
      <x:c r="F45" s="25"/>
      <x:c r="G45" s="25"/>
      <x:c r="H45" s="25"/>
      <x:c r="I45" s="25"/>
      <x:c r="J45" s="25"/>
      <x:c r="K45" s="25"/>
      <x:c r="L45" s="25"/>
      <x:c r="M45" s="25"/>
      <x:c r="N45" s="25"/>
    </x:row>
    <x:row r="46">
      <x:c r="A46" s="25"/>
      <x:c r="B46" s="25"/>
      <x:c r="C46" s="25"/>
      <x:c r="D46" s="25"/>
      <x:c r="E46" s="25"/>
      <x:c r="F46" s="25"/>
      <x:c r="G46" s="25"/>
      <x:c r="H46" s="25"/>
      <x:c r="I46" s="25"/>
      <x:c r="J46" s="25"/>
      <x:c r="K46" s="25"/>
      <x:c r="L46" s="25"/>
      <x:c r="M46" s="25"/>
      <x:c r="N46" s="25"/>
    </x:row>
    <x:row r="47">
      <x:c r="A47" s="25"/>
      <x:c r="B47" s="25"/>
      <x:c r="C47" s="25"/>
      <x:c r="D47" s="25"/>
      <x:c r="E47" s="25"/>
      <x:c r="F47" s="25"/>
      <x:c r="G47" s="25"/>
      <x:c r="H47" s="25"/>
      <x:c r="I47" s="25"/>
      <x:c r="J47" s="25"/>
      <x:c r="K47" s="25"/>
      <x:c r="L47" s="25"/>
      <x:c r="M47" s="25"/>
      <x:c r="N47" s="25"/>
    </x:row>
    <x:row r="48">
      <x:c r="A48" s="25"/>
      <x:c r="B48" s="25"/>
      <x:c r="C48" s="25"/>
      <x:c r="D48" s="25"/>
      <x:c r="E48" s="25"/>
      <x:c r="F48" s="25"/>
      <x:c r="G48" s="25"/>
      <x:c r="H48" s="25"/>
      <x:c r="I48" s="25"/>
      <x:c r="J48" s="25"/>
      <x:c r="K48" s="25"/>
      <x:c r="L48" s="25"/>
      <x:c r="M48" s="25"/>
      <x:c r="N48" s="25"/>
    </x:row>
    <x:row r="49">
      <x:c r="A49" s="25"/>
      <x:c r="B49" s="25"/>
      <x:c r="C49" s="25"/>
      <x:c r="D49" s="25"/>
      <x:c r="E49" s="25"/>
      <x:c r="F49" s="25"/>
      <x:c r="G49" s="25"/>
      <x:c r="H49" s="25"/>
      <x:c r="I49" s="25"/>
      <x:c r="J49" s="25"/>
      <x:c r="K49" s="25"/>
      <x:c r="L49" s="25"/>
      <x:c r="M49" s="25"/>
      <x:c r="N49" s="25"/>
    </x:row>
    <x:row r="50">
      <x:c r="A50" s="25"/>
      <x:c r="B50" s="25"/>
      <x:c r="C50" s="25"/>
      <x:c r="D50" s="25"/>
      <x:c r="E50" s="25"/>
      <x:c r="F50" s="25"/>
      <x:c r="G50" s="25"/>
      <x:c r="H50" s="25"/>
      <x:c r="I50" s="25"/>
      <x:c r="J50" s="25"/>
      <x:c r="K50" s="25"/>
      <x:c r="L50" s="25"/>
      <x:c r="M50" s="25"/>
      <x:c r="N50" s="25"/>
    </x:row>
    <x:row r="51">
      <x:c r="A51" s="25"/>
      <x:c r="B51" s="25"/>
      <x:c r="C51" s="25"/>
      <x:c r="D51" s="25"/>
      <x:c r="E51" s="25"/>
      <x:c r="F51" s="25"/>
      <x:c r="G51" s="25"/>
      <x:c r="H51" s="25"/>
      <x:c r="I51" s="25"/>
      <x:c r="J51" s="25"/>
      <x:c r="K51" s="25"/>
      <x:c r="L51" s="25"/>
      <x:c r="M51" s="25"/>
      <x:c r="N51" s="25"/>
    </x:row>
    <x:row r="52">
      <x:c r="A52" s="25"/>
      <x:c r="B52" s="25"/>
      <x:c r="C52" s="25"/>
      <x:c r="D52" s="25"/>
      <x:c r="E52" s="25"/>
      <x:c r="F52" s="25"/>
      <x:c r="G52" s="25"/>
      <x:c r="H52" s="25"/>
      <x:c r="I52" s="25"/>
      <x:c r="J52" s="25"/>
      <x:c r="K52" s="25"/>
      <x:c r="L52" s="25"/>
      <x:c r="M52" s="25"/>
      <x:c r="N52" s="25"/>
    </x:row>
    <x:row r="53">
      <x:c r="A53" s="25"/>
      <x:c r="B53" s="25"/>
      <x:c r="C53" s="25"/>
      <x:c r="D53" s="25"/>
      <x:c r="E53" s="25"/>
      <x:c r="F53" s="25"/>
      <x:c r="G53" s="25"/>
      <x:c r="H53" s="25"/>
      <x:c r="I53" s="25"/>
      <x:c r="J53" s="25"/>
      <x:c r="K53" s="25"/>
      <x:c r="L53" s="25"/>
      <x:c r="M53" s="25"/>
      <x:c r="N53" s="25"/>
    </x:row>
    <x:row r="54">
      <x:c r="A54" s="25"/>
      <x:c r="B54" s="25"/>
      <x:c r="C54" s="25"/>
      <x:c r="D54" s="25"/>
      <x:c r="E54" s="25"/>
      <x:c r="F54" s="25"/>
      <x:c r="G54" s="25"/>
      <x:c r="H54" s="25"/>
      <x:c r="I54" s="25"/>
      <x:c r="J54" s="25"/>
      <x:c r="K54" s="25"/>
      <x:c r="L54" s="25"/>
      <x:c r="M54" s="25"/>
      <x:c r="N54" s="25"/>
    </x:row>
    <x:row r="55">
      <x:c r="A55" s="25"/>
      <x:c r="B55" s="25"/>
      <x:c r="C55" s="25"/>
      <x:c r="D55" s="25"/>
      <x:c r="E55" s="25"/>
      <x:c r="F55" s="25"/>
      <x:c r="G55" s="25"/>
      <x:c r="H55" s="25"/>
      <x:c r="I55" s="25"/>
      <x:c r="J55" s="25"/>
      <x:c r="K55" s="25"/>
      <x:c r="L55" s="25"/>
      <x:c r="M55" s="25"/>
      <x:c r="N55" s="25"/>
    </x:row>
    <x:row r="56">
      <x:c r="A56" s="25"/>
      <x:c r="B56" s="25"/>
      <x:c r="C56" s="25"/>
      <x:c r="D56" s="25"/>
      <x:c r="E56" s="25"/>
      <x:c r="F56" s="25"/>
      <x:c r="G56" s="25"/>
      <x:c r="H56" s="25"/>
      <x:c r="I56" s="25"/>
      <x:c r="J56" s="25"/>
      <x:c r="K56" s="25"/>
      <x:c r="L56" s="25"/>
      <x:c r="M56" s="25"/>
      <x:c r="N56" s="25"/>
    </x:row>
    <x:row r="57">
      <x:c r="A57" s="25"/>
      <x:c r="B57" s="25"/>
      <x:c r="C57" s="25"/>
      <x:c r="D57" s="25"/>
      <x:c r="E57" s="25"/>
      <x:c r="F57" s="25"/>
      <x:c r="G57" s="25"/>
      <x:c r="H57" s="25"/>
      <x:c r="I57" s="25"/>
      <x:c r="J57" s="25"/>
      <x:c r="K57" s="25"/>
      <x:c r="L57" s="25"/>
      <x:c r="M57" s="25"/>
      <x:c r="N57" s="25"/>
    </x:row>
    <x:row r="58">
      <x:c r="A58" s="25"/>
      <x:c r="B58" s="25"/>
      <x:c r="C58" s="25"/>
      <x:c r="D58" s="25"/>
      <x:c r="E58" s="25"/>
      <x:c r="F58" s="25"/>
      <x:c r="G58" s="25"/>
      <x:c r="H58" s="25"/>
      <x:c r="I58" s="25"/>
      <x:c r="J58" s="25"/>
      <x:c r="K58" s="25"/>
      <x:c r="L58" s="25"/>
      <x:c r="M58" s="25"/>
      <x:c r="N58" s="25"/>
    </x:row>
    <x:row r="59">
      <x:c r="A59" s="25"/>
      <x:c r="B59" s="25"/>
      <x:c r="C59" s="25"/>
      <x:c r="D59" s="25"/>
      <x:c r="E59" s="25"/>
      <x:c r="F59" s="25"/>
      <x:c r="G59" s="25"/>
      <x:c r="H59" s="25"/>
      <x:c r="I59" s="25"/>
      <x:c r="J59" s="25"/>
      <x:c r="K59" s="25"/>
      <x:c r="L59" s="25"/>
      <x:c r="M59" s="25"/>
      <x:c r="N59" s="25"/>
    </x:row>
    <x:row r="60">
      <x:c r="A60" s="25"/>
      <x:c r="B60" s="25"/>
      <x:c r="C60" s="25"/>
      <x:c r="D60" s="25"/>
      <x:c r="E60" s="25"/>
      <x:c r="F60" s="25"/>
      <x:c r="G60" s="25"/>
      <x:c r="H60" s="25"/>
      <x:c r="I60" s="25"/>
      <x:c r="J60" s="25"/>
      <x:c r="K60" s="25"/>
      <x:c r="L60" s="25"/>
      <x:c r="M60" s="25"/>
      <x:c r="N60" s="25"/>
    </x:row>
    <x:row r="61">
      <x:c r="A61" s="25"/>
      <x:c r="B61" s="25"/>
      <x:c r="C61" s="25"/>
      <x:c r="D61" s="25"/>
      <x:c r="E61" s="25"/>
      <x:c r="F61" s="25"/>
      <x:c r="G61" s="25"/>
      <x:c r="H61" s="25"/>
      <x:c r="I61" s="25"/>
      <x:c r="J61" s="25"/>
      <x:c r="K61" s="25"/>
      <x:c r="L61" s="25"/>
      <x:c r="M61" s="25"/>
      <x:c r="N61" s="25"/>
    </x:row>
    <x:row r="62">
      <x:c r="A62" s="25"/>
      <x:c r="B62" s="25"/>
      <x:c r="C62" s="25"/>
      <x:c r="D62" s="25"/>
      <x:c r="E62" s="25"/>
      <x:c r="F62" s="25"/>
      <x:c r="G62" s="25"/>
      <x:c r="H62" s="25"/>
      <x:c r="I62" s="25"/>
      <x:c r="J62" s="25"/>
      <x:c r="K62" s="25"/>
      <x:c r="L62" s="25"/>
      <x:c r="M62" s="25"/>
      <x:c r="N62" s="25"/>
    </x:row>
    <x:row r="63">
      <x:c r="A63" s="25"/>
      <x:c r="B63" s="25"/>
      <x:c r="C63" s="25"/>
      <x:c r="D63" s="25"/>
      <x:c r="E63" s="25"/>
      <x:c r="F63" s="25"/>
      <x:c r="G63" s="25"/>
      <x:c r="H63" s="25"/>
      <x:c r="I63" s="25"/>
      <x:c r="J63" s="25"/>
      <x:c r="K63" s="25"/>
      <x:c r="L63" s="25"/>
      <x:c r="M63" s="25"/>
      <x:c r="N63" s="25"/>
    </x:row>
    <x:row r="64">
      <x:c r="A64" s="25"/>
      <x:c r="B64" s="25"/>
      <x:c r="C64" s="25"/>
      <x:c r="D64" s="25"/>
      <x:c r="E64" s="25"/>
      <x:c r="F64" s="25"/>
      <x:c r="G64" s="25"/>
      <x:c r="H64" s="25"/>
      <x:c r="I64" s="25"/>
      <x:c r="J64" s="25"/>
      <x:c r="K64" s="25"/>
      <x:c r="L64" s="25"/>
      <x:c r="M64" s="25"/>
      <x:c r="N64" s="25"/>
    </x:row>
    <x:row r="65">
      <x:c r="A65" s="25"/>
      <x:c r="B65" s="25"/>
      <x:c r="C65" s="25"/>
      <x:c r="D65" s="25"/>
      <x:c r="E65" s="25"/>
      <x:c r="F65" s="25"/>
      <x:c r="G65" s="25"/>
      <x:c r="H65" s="25"/>
      <x:c r="I65" s="25"/>
      <x:c r="J65" s="25"/>
      <x:c r="K65" s="25"/>
      <x:c r="L65" s="25"/>
      <x:c r="M65" s="25"/>
      <x:c r="N65" s="25"/>
    </x:row>
    <x:row r="66">
      <x:c r="A66" s="25"/>
      <x:c r="B66" s="25"/>
      <x:c r="C66" s="25"/>
      <x:c r="D66" s="25"/>
      <x:c r="E66" s="25"/>
      <x:c r="F66" s="25"/>
      <x:c r="G66" s="25"/>
      <x:c r="H66" s="25"/>
      <x:c r="I66" s="25"/>
      <x:c r="J66" s="25"/>
      <x:c r="K66" s="25"/>
      <x:c r="L66" s="25"/>
      <x:c r="M66" s="25"/>
      <x:c r="N66" s="25"/>
    </x:row>
    <x:row r="67">
      <x:c r="A67" s="25"/>
      <x:c r="B67" s="25"/>
      <x:c r="C67" s="25"/>
      <x:c r="D67" s="25"/>
      <x:c r="E67" s="25"/>
      <x:c r="F67" s="25"/>
      <x:c r="G67" s="25"/>
      <x:c r="H67" s="25"/>
      <x:c r="I67" s="25"/>
      <x:c r="J67" s="25"/>
      <x:c r="K67" s="25"/>
      <x:c r="L67" s="25"/>
      <x:c r="M67" s="25"/>
      <x:c r="N67" s="25"/>
    </x:row>
    <x:row r="68">
      <x:c r="A68" s="25"/>
      <x:c r="B68" s="25"/>
      <x:c r="C68" s="25"/>
      <x:c r="D68" s="25"/>
      <x:c r="E68" s="25"/>
      <x:c r="F68" s="25"/>
      <x:c r="G68" s="25"/>
      <x:c r="H68" s="25"/>
      <x:c r="I68" s="25"/>
      <x:c r="J68" s="25"/>
      <x:c r="K68" s="25"/>
      <x:c r="L68" s="25"/>
      <x:c r="M68" s="25"/>
      <x:c r="N68" s="25"/>
    </x:row>
    <x:row r="69">
      <x:c r="A69" s="25"/>
      <x:c r="B69" s="25"/>
      <x:c r="C69" s="25"/>
      <x:c r="D69" s="25"/>
      <x:c r="E69" s="25"/>
      <x:c r="F69" s="25"/>
      <x:c r="G69" s="25"/>
      <x:c r="H69" s="25"/>
      <x:c r="I69" s="25"/>
      <x:c r="J69" s="25"/>
      <x:c r="K69" s="25"/>
      <x:c r="L69" s="25"/>
      <x:c r="M69" s="25"/>
      <x:c r="N69" s="25"/>
    </x:row>
    <x:row r="70">
      <x:c r="A70" s="25"/>
      <x:c r="B70" s="25"/>
      <x:c r="C70" s="25"/>
      <x:c r="D70" s="25"/>
      <x:c r="E70" s="25"/>
      <x:c r="F70" s="25"/>
      <x:c r="G70" s="25"/>
      <x:c r="H70" s="25"/>
      <x:c r="I70" s="25"/>
      <x:c r="J70" s="25"/>
      <x:c r="K70" s="25"/>
      <x:c r="L70" s="25"/>
      <x:c r="M70" s="25"/>
      <x:c r="N70" s="25"/>
    </x:row>
    <x:row r="71">
      <x:c r="A71" s="25"/>
      <x:c r="B71" s="25"/>
      <x:c r="C71" s="25"/>
      <x:c r="D71" s="25"/>
      <x:c r="E71" s="25"/>
      <x:c r="F71" s="25"/>
      <x:c r="G71" s="25"/>
      <x:c r="H71" s="25"/>
      <x:c r="I71" s="25"/>
      <x:c r="J71" s="25"/>
      <x:c r="K71" s="25"/>
      <x:c r="L71" s="25"/>
      <x:c r="M71" s="25"/>
      <x:c r="N71" s="25"/>
    </x:row>
    <x:row r="72">
      <x:c r="A72" s="25"/>
      <x:c r="B72" s="25"/>
      <x:c r="C72" s="25"/>
      <x:c r="D72" s="25"/>
      <x:c r="E72" s="25"/>
      <x:c r="F72" s="25"/>
      <x:c r="G72" s="25"/>
      <x:c r="H72" s="25"/>
      <x:c r="I72" s="25"/>
      <x:c r="J72" s="25"/>
      <x:c r="K72" s="25"/>
      <x:c r="L72" s="25"/>
      <x:c r="M72" s="25"/>
      <x:c r="N72" s="25"/>
    </x:row>
    <x:row r="73">
      <x:c r="A73" s="25"/>
      <x:c r="B73" s="25"/>
      <x:c r="C73" s="25"/>
      <x:c r="D73" s="25"/>
      <x:c r="E73" s="25"/>
      <x:c r="F73" s="25"/>
      <x:c r="G73" s="25"/>
      <x:c r="H73" s="25"/>
      <x:c r="I73" s="25"/>
      <x:c r="J73" s="25"/>
      <x:c r="K73" s="25"/>
      <x:c r="L73" s="25"/>
      <x:c r="M73" s="25"/>
      <x:c r="N73" s="25"/>
    </x:row>
    <x:row r="74">
      <x:c r="A74" s="25"/>
      <x:c r="B74" s="25"/>
      <x:c r="C74" s="25"/>
      <x:c r="D74" s="25"/>
      <x:c r="E74" s="25"/>
      <x:c r="F74" s="25"/>
      <x:c r="G74" s="25"/>
      <x:c r="H74" s="25"/>
      <x:c r="I74" s="25"/>
      <x:c r="J74" s="25"/>
      <x:c r="K74" s="25"/>
      <x:c r="L74" s="25"/>
      <x:c r="M74" s="25"/>
      <x:c r="N74" s="25"/>
    </x:row>
    <x:row r="75">
      <x:c r="A75" s="25"/>
      <x:c r="B75" s="25"/>
      <x:c r="C75" s="25"/>
      <x:c r="D75" s="25"/>
      <x:c r="E75" s="25"/>
      <x:c r="F75" s="25"/>
      <x:c r="G75" s="25"/>
      <x:c r="H75" s="25"/>
      <x:c r="I75" s="25"/>
      <x:c r="J75" s="25"/>
      <x:c r="K75" s="25"/>
      <x:c r="L75" s="25"/>
      <x:c r="M75" s="25"/>
      <x:c r="N75" s="25"/>
    </x:row>
    <x:row r="76">
      <x:c r="A76" s="25"/>
      <x:c r="B76" s="25"/>
      <x:c r="C76" s="25"/>
      <x:c r="D76" s="25"/>
      <x:c r="E76" s="25"/>
      <x:c r="F76" s="25"/>
      <x:c r="G76" s="25"/>
      <x:c r="H76" s="25"/>
      <x:c r="I76" s="25"/>
      <x:c r="J76" s="25"/>
      <x:c r="K76" s="25"/>
      <x:c r="L76" s="25"/>
      <x:c r="M76" s="25"/>
      <x:c r="N76" s="25"/>
    </x:row>
    <x:row r="77">
      <x:c r="A77" s="25"/>
      <x:c r="B77" s="25"/>
      <x:c r="C77" s="25"/>
      <x:c r="D77" s="25"/>
      <x:c r="E77" s="25"/>
      <x:c r="F77" s="25"/>
      <x:c r="G77" s="25"/>
      <x:c r="H77" s="25"/>
      <x:c r="I77" s="25"/>
      <x:c r="J77" s="25"/>
      <x:c r="K77" s="25"/>
      <x:c r="L77" s="25"/>
      <x:c r="M77" s="25"/>
      <x:c r="N77" s="25"/>
    </x:row>
    <x:row r="78">
      <x:c r="A78" s="25"/>
      <x:c r="B78" s="25"/>
      <x:c r="C78" s="25"/>
      <x:c r="D78" s="25"/>
      <x:c r="E78" s="25"/>
      <x:c r="F78" s="25"/>
      <x:c r="G78" s="25"/>
      <x:c r="H78" s="25"/>
      <x:c r="I78" s="25"/>
      <x:c r="J78" s="25"/>
      <x:c r="K78" s="25"/>
      <x:c r="L78" s="25"/>
      <x:c r="M78" s="25"/>
      <x:c r="N78" s="25"/>
    </x:row>
    <x:row r="79">
      <x:c r="A79" s="25"/>
      <x:c r="B79" s="25"/>
      <x:c r="C79" s="25"/>
      <x:c r="D79" s="25"/>
      <x:c r="E79" s="25"/>
      <x:c r="F79" s="25"/>
      <x:c r="G79" s="25"/>
      <x:c r="H79" s="25"/>
      <x:c r="I79" s="25"/>
      <x:c r="J79" s="25"/>
      <x:c r="K79" s="25"/>
      <x:c r="L79" s="25"/>
      <x:c r="M79" s="25"/>
      <x:c r="N79" s="25"/>
    </x:row>
    <x:row r="80">
      <x:c r="A80" s="25"/>
      <x:c r="B80" s="25"/>
      <x:c r="C80" s="25"/>
      <x:c r="D80" s="25"/>
      <x:c r="E80" s="25"/>
      <x:c r="F80" s="25"/>
      <x:c r="G80" s="25"/>
      <x:c r="H80" s="25"/>
      <x:c r="I80" s="25"/>
      <x:c r="J80" s="25"/>
      <x:c r="K80" s="25"/>
      <x:c r="L80" s="25"/>
      <x:c r="M80" s="25"/>
      <x:c r="N80" s="25"/>
    </x:row>
  </x:sheetData>
  <x:mergeCells>
    <x:mergeCell ref="A1:F1"/>
  </x:mergeCells>
  <x:dataValidations count="2">
    <x:dataValidation type="list" sqref="B4">
      <x:formula1>"PC,PHC,NPH"</x:formula1>
    </x:dataValidation>
    <x:dataValidation type="list" sqref="B5">
      <x:formula1>"A,AB,B,C"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0" hidden="0" customWidth="1"/>
    <x:col min="4" max="4" width="16" hidden="0" customWidth="1"/>
    <x:col min="5" max="5" width="14" hidden="0" customWidth="1"/>
    <x:col min="6" max="6" width="16" hidden="0" customWidth="1"/>
    <x:col min="7" max="7" width="14" hidden="0" customWidth="1"/>
    <x:col min="8" max="8" width="28" hidden="0" customWidth="1"/>
  </x:cols>
  <x:sheetData>
    <x:row r="1">
      <x:c r="A1" s="24" t="str">
        <x:v>02 · BẢNG 1 – PC / PHC VERIFIED</x:v>
      </x:c>
      <x:c r="B1" s="24"/>
      <x:c r="C1" s="24"/>
      <x:c r="D1" s="24"/>
      <x:c r="E1" s="24"/>
      <x:c r="F1" s="24"/>
      <x:c r="G1" s="24"/>
      <x:c r="H1" s="24"/>
      <x:c r="I1" s="25"/>
      <x:c r="J1" s="25"/>
      <x:c r="K1" s="25"/>
      <x:c r="L1" s="25"/>
      <x:c r="M1" s="25"/>
      <x:c r="N1" s="25"/>
    </x:row>
    <x:row r="2">
      <x:c r="A2" s="25"/>
      <x:c r="B2" s="25"/>
      <x:c r="C2" s="25"/>
      <x:c r="D2" s="25"/>
      <x:c r="E2" s="25"/>
      <x:c r="F2" s="25"/>
      <x:c r="G2" s="25"/>
      <x:c r="H2" s="25"/>
      <x:c r="I2" s="25"/>
      <x:c r="J2" s="25"/>
      <x:c r="K2" s="25"/>
      <x:c r="L2" s="25"/>
      <x:c r="M2" s="25"/>
      <x:c r="N2" s="25"/>
    </x:row>
    <x:row r="3">
      <x:c r="A3" s="26" t="str">
        <x:v>D mm</x:v>
      </x:c>
      <x:c r="B3" s="26" t="str">
        <x:v>t mm</x:v>
      </x:c>
      <x:c r="C3" s="26" t="str">
        <x:v>Cấp</x:v>
      </x:c>
      <x:c r="D3" s="26" t="str">
        <x:v>Mcr kN.m</x:v>
      </x:c>
      <x:c r="E3" s="26" t="str">
        <x:v>σce MPa</x:v>
      </x:c>
      <x:c r="F3" s="26" t="str">
        <x:v>Bền cắt kN</x:v>
      </x:c>
      <x:c r="G3" s="26" t="str">
        <x:v>L m</x:v>
      </x:c>
      <x:c r="H3" s="26" t="str">
        <x:v>Nguồn</x:v>
      </x:c>
      <x:c r="I3" s="25"/>
      <x:c r="J3" s="25"/>
      <x:c r="K3" s="25"/>
      <x:c r="L3" s="25"/>
      <x:c r="M3" s="25"/>
      <x:c r="N3" s="25"/>
    </x:row>
    <x:row r="4">
      <x:c r="A4" s="25" t="n">
        <x:v>300</x:v>
      </x:c>
      <x:c r="B4" s="25" t="n">
        <x:v>60</x:v>
      </x:c>
      <x:c r="C4" s="25" t="str">
        <x:v>A</x:v>
      </x:c>
      <x:c r="D4" s="25" t="n">
        <x:v>24.5</x:v>
      </x:c>
      <x:c r="E4" s="25" t="n">
        <x:v>4</x:v>
      </x:c>
      <x:c r="F4" s="25" t="n">
        <x:v>99.1</x:v>
      </x:c>
      <x:c r="G4" s="25" t="str">
        <x:v>6–13</x:v>
      </x:c>
      <x:c r="H4" s="25" t="str">
        <x:v>Bảng 1 · trang 10–11</x:v>
      </x:c>
      <x:c r="I4" s="25"/>
      <x:c r="J4" s="25"/>
      <x:c r="K4" s="25"/>
      <x:c r="L4" s="25"/>
      <x:c r="M4" s="25"/>
      <x:c r="N4" s="25"/>
    </x:row>
    <x:row r="5">
      <x:c r="A5" s="25" t="n">
        <x:v>300</x:v>
      </x:c>
      <x:c r="B5" s="25" t="n">
        <x:v>60</x:v>
      </x:c>
      <x:c r="C5" s="25" t="str">
        <x:v>AB</x:v>
      </x:c>
      <x:c r="D5" s="25" t="n">
        <x:v>30</x:v>
      </x:c>
      <x:c r="E5" s="25" t="n">
        <x:v>6</x:v>
      </x:c>
      <x:c r="F5" s="25" t="n">
        <x:v>111</x:v>
      </x:c>
      <x:c r="G5" s="25" t="str">
        <x:v>6–13</x:v>
      </x:c>
      <x:c r="H5" s="25" t="str">
        <x:v>Bảng 1 · trang 10–11</x:v>
      </x:c>
      <x:c r="I5" s="25"/>
      <x:c r="J5" s="25"/>
      <x:c r="K5" s="25"/>
      <x:c r="L5" s="25"/>
      <x:c r="M5" s="25"/>
      <x:c r="N5" s="25"/>
    </x:row>
    <x:row r="6">
      <x:c r="A6" s="25" t="n">
        <x:v>300</x:v>
      </x:c>
      <x:c r="B6" s="25" t="n">
        <x:v>60</x:v>
      </x:c>
      <x:c r="C6" s="25" t="str">
        <x:v>B</x:v>
      </x:c>
      <x:c r="D6" s="25" t="n">
        <x:v>34.3</x:v>
      </x:c>
      <x:c r="E6" s="25" t="n">
        <x:v>8</x:v>
      </x:c>
      <x:c r="F6" s="25" t="n">
        <x:v>125.6</x:v>
      </x:c>
      <x:c r="G6" s="25" t="str">
        <x:v>6–13</x:v>
      </x:c>
      <x:c r="H6" s="25" t="str">
        <x:v>Bảng 1 · trang 10–11</x:v>
      </x:c>
      <x:c r="I6" s="25"/>
      <x:c r="J6" s="25"/>
      <x:c r="K6" s="25"/>
      <x:c r="L6" s="25"/>
      <x:c r="M6" s="25"/>
      <x:c r="N6" s="25"/>
    </x:row>
    <x:row r="7">
      <x:c r="A7" s="25" t="n">
        <x:v>300</x:v>
      </x:c>
      <x:c r="B7" s="25" t="n">
        <x:v>60</x:v>
      </x:c>
      <x:c r="C7" s="25" t="str">
        <x:v>C</x:v>
      </x:c>
      <x:c r="D7" s="25" t="n">
        <x:v>39.2</x:v>
      </x:c>
      <x:c r="E7" s="25" t="n">
        <x:v>10</x:v>
      </x:c>
      <x:c r="F7" s="25" t="n">
        <x:v>136.4</x:v>
      </x:c>
      <x:c r="G7" s="25" t="str">
        <x:v>6–13</x:v>
      </x:c>
      <x:c r="H7" s="25" t="str">
        <x:v>Bảng 1 · trang 10–11</x:v>
      </x:c>
      <x:c r="I7" s="25"/>
      <x:c r="J7" s="25"/>
      <x:c r="K7" s="25"/>
      <x:c r="L7" s="25"/>
      <x:c r="M7" s="25"/>
      <x:c r="N7" s="25"/>
    </x:row>
    <x:row r="8">
      <x:c r="A8" s="25" t="n">
        <x:v>350</x:v>
      </x:c>
      <x:c r="B8" s="25" t="n">
        <x:v>60</x:v>
      </x:c>
      <x:c r="C8" s="25" t="str">
        <x:v>A</x:v>
      </x:c>
      <x:c r="D8" s="25" t="n">
        <x:v>34.3</x:v>
      </x:c>
      <x:c r="E8" s="25" t="n">
        <x:v>4</x:v>
      </x:c>
      <x:c r="F8" s="25" t="n">
        <x:v>118.7</x:v>
      </x:c>
      <x:c r="G8" s="25" t="str">
        <x:v>6–15</x:v>
      </x:c>
      <x:c r="H8" s="25" t="str">
        <x:v>Bảng 1 · trang 10–11</x:v>
      </x:c>
      <x:c r="I8" s="25"/>
      <x:c r="J8" s="25"/>
      <x:c r="K8" s="25"/>
      <x:c r="L8" s="25"/>
      <x:c r="M8" s="25"/>
      <x:c r="N8" s="25"/>
    </x:row>
    <x:row r="9">
      <x:c r="A9" s="25" t="n">
        <x:v>350</x:v>
      </x:c>
      <x:c r="B9" s="25" t="n">
        <x:v>60</x:v>
      </x:c>
      <x:c r="C9" s="25" t="str">
        <x:v>B</x:v>
      </x:c>
      <x:c r="D9" s="25" t="n">
        <x:v>49</x:v>
      </x:c>
      <x:c r="E9" s="25" t="n">
        <x:v>8</x:v>
      </x:c>
      <x:c r="F9" s="25" t="n">
        <x:v>150.1</x:v>
      </x:c>
      <x:c r="G9" s="25" t="str">
        <x:v>6–15</x:v>
      </x:c>
      <x:c r="H9" s="25" t="str">
        <x:v>Bảng 1 · trang 10–11</x:v>
      </x:c>
      <x:c r="I9" s="25"/>
      <x:c r="J9" s="25"/>
      <x:c r="K9" s="25"/>
      <x:c r="L9" s="25"/>
      <x:c r="M9" s="25"/>
      <x:c r="N9" s="25"/>
    </x:row>
    <x:row r="10">
      <x:c r="A10" s="25" t="n">
        <x:v>350</x:v>
      </x:c>
      <x:c r="B10" s="25" t="n">
        <x:v>60</x:v>
      </x:c>
      <x:c r="C10" s="25" t="str">
        <x:v>C</x:v>
      </x:c>
      <x:c r="D10" s="25" t="n">
        <x:v>58.9</x:v>
      </x:c>
      <x:c r="E10" s="25" t="n">
        <x:v>10</x:v>
      </x:c>
      <x:c r="F10" s="25" t="n">
        <x:v>162.8</x:v>
      </x:c>
      <x:c r="G10" s="25" t="str">
        <x:v>6–15</x:v>
      </x:c>
      <x:c r="H10" s="25" t="str">
        <x:v>Bảng 1 · trang 10–11</x:v>
      </x:c>
      <x:c r="I10" s="25"/>
      <x:c r="J10" s="25"/>
      <x:c r="K10" s="25"/>
      <x:c r="L10" s="25"/>
      <x:c r="M10" s="25"/>
      <x:c r="N10" s="25"/>
    </x:row>
    <x:row r="11">
      <x:c r="A11" s="25" t="n">
        <x:v>400</x:v>
      </x:c>
      <x:c r="B11" s="25" t="n">
        <x:v>65</x:v>
      </x:c>
      <x:c r="C11" s="25" t="str">
        <x:v>A</x:v>
      </x:c>
      <x:c r="D11" s="25" t="n">
        <x:v>54</x:v>
      </x:c>
      <x:c r="E11" s="25" t="n">
        <x:v>4</x:v>
      </x:c>
      <x:c r="F11" s="25" t="n">
        <x:v>148.1</x:v>
      </x:c>
      <x:c r="G11" s="25" t="str">
        <x:v>6–16</x:v>
      </x:c>
      <x:c r="H11" s="25" t="str">
        <x:v>Bảng 1 · trang 10–11</x:v>
      </x:c>
      <x:c r="I11" s="25"/>
      <x:c r="J11" s="25"/>
      <x:c r="K11" s="25"/>
      <x:c r="L11" s="25"/>
      <x:c r="M11" s="25"/>
      <x:c r="N11" s="25"/>
    </x:row>
    <x:row r="12">
      <x:c r="A12" s="25" t="n">
        <x:v>400</x:v>
      </x:c>
      <x:c r="B12" s="25" t="n">
        <x:v>65</x:v>
      </x:c>
      <x:c r="C12" s="25" t="str">
        <x:v>AB</x:v>
      </x:c>
      <x:c r="D12" s="25" t="n">
        <x:v>64</x:v>
      </x:c>
      <x:c r="E12" s="25" t="n">
        <x:v>6</x:v>
      </x:c>
      <x:c r="F12" s="25" t="n">
        <x:v>176</x:v>
      </x:c>
      <x:c r="G12" s="25" t="str">
        <x:v>6–16</x:v>
      </x:c>
      <x:c r="H12" s="25" t="str">
        <x:v>Bảng 1 · trang 10–11</x:v>
      </x:c>
      <x:c r="I12" s="25"/>
      <x:c r="J12" s="25"/>
      <x:c r="K12" s="25"/>
      <x:c r="L12" s="25"/>
      <x:c r="M12" s="25"/>
      <x:c r="N12" s="25"/>
    </x:row>
    <x:row r="13">
      <x:c r="A13" s="25" t="n">
        <x:v>400</x:v>
      </x:c>
      <x:c r="B13" s="25" t="n">
        <x:v>65</x:v>
      </x:c>
      <x:c r="C13" s="25" t="str">
        <x:v>B</x:v>
      </x:c>
      <x:c r="D13" s="25" t="n">
        <x:v>73.6</x:v>
      </x:c>
      <x:c r="E13" s="25" t="n">
        <x:v>8</x:v>
      </x:c>
      <x:c r="F13" s="25" t="n">
        <x:v>187.4</x:v>
      </x:c>
      <x:c r="G13" s="25" t="str">
        <x:v>6–16</x:v>
      </x:c>
      <x:c r="H13" s="25" t="str">
        <x:v>Bảng 1 · trang 10–11</x:v>
      </x:c>
      <x:c r="I13" s="25"/>
      <x:c r="J13" s="25"/>
      <x:c r="K13" s="25"/>
      <x:c r="L13" s="25"/>
      <x:c r="M13" s="25"/>
      <x:c r="N13" s="25"/>
    </x:row>
    <x:row r="14">
      <x:c r="A14" s="25" t="n">
        <x:v>400</x:v>
      </x:c>
      <x:c r="B14" s="25" t="n">
        <x:v>65</x:v>
      </x:c>
      <x:c r="C14" s="25" t="str">
        <x:v>C</x:v>
      </x:c>
      <x:c r="D14" s="25" t="n">
        <x:v>88.3</x:v>
      </x:c>
      <x:c r="E14" s="25" t="n">
        <x:v>10</x:v>
      </x:c>
      <x:c r="F14" s="25" t="n">
        <x:v>204</x:v>
      </x:c>
      <x:c r="G14" s="25" t="str">
        <x:v>6–16</x:v>
      </x:c>
      <x:c r="H14" s="25" t="str">
        <x:v>Bảng 1 · trang 10–11</x:v>
      </x:c>
      <x:c r="I14" s="25"/>
      <x:c r="J14" s="25"/>
      <x:c r="K14" s="25"/>
      <x:c r="L14" s="25"/>
      <x:c r="M14" s="25"/>
      <x:c r="N14" s="25"/>
    </x:row>
    <x:row r="15">
      <x:c r="A15" s="25" t="n">
        <x:v>450</x:v>
      </x:c>
      <x:c r="B15" s="25" t="n">
        <x:v>70</x:v>
      </x:c>
      <x:c r="C15" s="25" t="str">
        <x:v>A</x:v>
      </x:c>
      <x:c r="D15" s="25" t="n">
        <x:v>73.6</x:v>
      </x:c>
      <x:c r="E15" s="25" t="n">
        <x:v>4</x:v>
      </x:c>
      <x:c r="F15" s="25" t="n">
        <x:v>180.5</x:v>
      </x:c>
      <x:c r="G15" s="25" t="str">
        <x:v>6–16</x:v>
      </x:c>
      <x:c r="H15" s="25" t="str">
        <x:v>Bảng 1 · trang 10–11</x:v>
      </x:c>
      <x:c r="I15" s="25"/>
      <x:c r="J15" s="25"/>
      <x:c r="K15" s="25"/>
      <x:c r="L15" s="25"/>
      <x:c r="M15" s="25"/>
      <x:c r="N15" s="25"/>
    </x:row>
    <x:row r="16">
      <x:c r="A16" s="25" t="n">
        <x:v>450</x:v>
      </x:c>
      <x:c r="B16" s="25" t="n">
        <x:v>70</x:v>
      </x:c>
      <x:c r="C16" s="25" t="str">
        <x:v>B</x:v>
      </x:c>
      <x:c r="D16" s="25" t="n">
        <x:v>107.9</x:v>
      </x:c>
      <x:c r="E16" s="25" t="n">
        <x:v>8</x:v>
      </x:c>
      <x:c r="F16" s="25" t="n">
        <x:v>227.6</x:v>
      </x:c>
      <x:c r="G16" s="25" t="str">
        <x:v>6–16</x:v>
      </x:c>
      <x:c r="H16" s="25" t="str">
        <x:v>Bảng 1 · trang 10–11</x:v>
      </x:c>
      <x:c r="I16" s="25"/>
      <x:c r="J16" s="25"/>
      <x:c r="K16" s="25"/>
      <x:c r="L16" s="25"/>
      <x:c r="M16" s="25"/>
      <x:c r="N16" s="25"/>
    </x:row>
    <x:row r="17">
      <x:c r="A17" s="25" t="n">
        <x:v>450</x:v>
      </x:c>
      <x:c r="B17" s="25" t="n">
        <x:v>70</x:v>
      </x:c>
      <x:c r="C17" s="25" t="str">
        <x:v>C</x:v>
      </x:c>
      <x:c r="D17" s="25" t="n">
        <x:v>122.6</x:v>
      </x:c>
      <x:c r="E17" s="25" t="n">
        <x:v>10</x:v>
      </x:c>
      <x:c r="F17" s="25" t="n">
        <x:v>248.2</x:v>
      </x:c>
      <x:c r="G17" s="25" t="str">
        <x:v>6–16</x:v>
      </x:c>
      <x:c r="H17" s="25" t="str">
        <x:v>Bảng 1 · trang 10–11</x:v>
      </x:c>
      <x:c r="I17" s="25"/>
      <x:c r="J17" s="25"/>
      <x:c r="K17" s="25"/>
      <x:c r="L17" s="25"/>
      <x:c r="M17" s="25"/>
      <x:c r="N17" s="25"/>
    </x:row>
    <x:row r="18">
      <x:c r="A18" s="25" t="n">
        <x:v>500</x:v>
      </x:c>
      <x:c r="B18" s="25" t="n">
        <x:v>80</x:v>
      </x:c>
      <x:c r="C18" s="25" t="str">
        <x:v>A</x:v>
      </x:c>
      <x:c r="D18" s="25" t="n">
        <x:v>103</x:v>
      </x:c>
      <x:c r="E18" s="25" t="n">
        <x:v>4</x:v>
      </x:c>
      <x:c r="F18" s="25" t="n">
        <x:v>228.6</x:v>
      </x:c>
      <x:c r="G18" s="25" t="str">
        <x:v>6–20</x:v>
      </x:c>
      <x:c r="H18" s="25" t="str">
        <x:v>Bảng 1 · trang 10–11</x:v>
      </x:c>
      <x:c r="I18" s="25"/>
      <x:c r="J18" s="25"/>
      <x:c r="K18" s="25"/>
      <x:c r="L18" s="25"/>
      <x:c r="M18" s="25"/>
      <x:c r="N18" s="25"/>
    </x:row>
    <x:row r="19">
      <x:c r="A19" s="25" t="n">
        <x:v>500</x:v>
      </x:c>
      <x:c r="B19" s="25" t="n">
        <x:v>80</x:v>
      </x:c>
      <x:c r="C19" s="25" t="str">
        <x:v>AB</x:v>
      </x:c>
      <x:c r="D19" s="25" t="n">
        <x:v>125</x:v>
      </x:c>
      <x:c r="E19" s="25" t="n">
        <x:v>6</x:v>
      </x:c>
      <x:c r="F19" s="25" t="n">
        <x:v>271</x:v>
      </x:c>
      <x:c r="G19" s="25" t="str">
        <x:v>6–20</x:v>
      </x:c>
      <x:c r="H19" s="25" t="str">
        <x:v>Bảng 1 · trang 10–11</x:v>
      </x:c>
      <x:c r="I19" s="25"/>
      <x:c r="J19" s="25"/>
      <x:c r="K19" s="25"/>
      <x:c r="L19" s="25"/>
      <x:c r="M19" s="25"/>
      <x:c r="N19" s="25"/>
    </x:row>
    <x:row r="20">
      <x:c r="A20" s="25" t="n">
        <x:v>500</x:v>
      </x:c>
      <x:c r="B20" s="25" t="n">
        <x:v>80</x:v>
      </x:c>
      <x:c r="C20" s="25" t="str">
        <x:v>B</x:v>
      </x:c>
      <x:c r="D20" s="25" t="n">
        <x:v>147.2</x:v>
      </x:c>
      <x:c r="E20" s="25" t="n">
        <x:v>8</x:v>
      </x:c>
      <x:c r="F20" s="25" t="n">
        <x:v>288.4</x:v>
      </x:c>
      <x:c r="G20" s="25" t="str">
        <x:v>6–20</x:v>
      </x:c>
      <x:c r="H20" s="25" t="str">
        <x:v>Bảng 1 · trang 10–11</x:v>
      </x:c>
      <x:c r="I20" s="25"/>
      <x:c r="J20" s="25"/>
      <x:c r="K20" s="25"/>
      <x:c r="L20" s="25"/>
      <x:c r="M20" s="25"/>
      <x:c r="N20" s="25"/>
    </x:row>
    <x:row r="21">
      <x:c r="A21" s="25" t="n">
        <x:v>500</x:v>
      </x:c>
      <x:c r="B21" s="25" t="n">
        <x:v>80</x:v>
      </x:c>
      <x:c r="C21" s="25" t="str">
        <x:v>C</x:v>
      </x:c>
      <x:c r="D21" s="25" t="n">
        <x:v>166.8</x:v>
      </x:c>
      <x:c r="E21" s="25" t="n">
        <x:v>10</x:v>
      </x:c>
      <x:c r="F21" s="25" t="n">
        <x:v>313.9</x:v>
      </x:c>
      <x:c r="G21" s="25" t="str">
        <x:v>6–20</x:v>
      </x:c>
      <x:c r="H21" s="25" t="str">
        <x:v>Bảng 1 · trang 10–11</x:v>
      </x:c>
      <x:c r="I21" s="25"/>
      <x:c r="J21" s="25"/>
      <x:c r="K21" s="25"/>
      <x:c r="L21" s="25"/>
      <x:c r="M21" s="25"/>
      <x:c r="N21" s="25"/>
    </x:row>
    <x:row r="22">
      <x:c r="A22" s="25" t="n">
        <x:v>600</x:v>
      </x:c>
      <x:c r="B22" s="25" t="n">
        <x:v>90</x:v>
      </x:c>
      <x:c r="C22" s="25" t="str">
        <x:v>A</x:v>
      </x:c>
      <x:c r="D22" s="25" t="n">
        <x:v>166.8</x:v>
      </x:c>
      <x:c r="E22" s="25" t="n">
        <x:v>4</x:v>
      </x:c>
      <x:c r="F22" s="25" t="n">
        <x:v>311</x:v>
      </x:c>
      <x:c r="G22" s="25" t="str">
        <x:v>6–24</x:v>
      </x:c>
      <x:c r="H22" s="25" t="str">
        <x:v>Bảng 1 · trang 10–11</x:v>
      </x:c>
      <x:c r="I22" s="25"/>
      <x:c r="J22" s="25"/>
      <x:c r="K22" s="25"/>
      <x:c r="L22" s="25"/>
      <x:c r="M22" s="25"/>
      <x:c r="N22" s="25"/>
    </x:row>
    <x:row r="23">
      <x:c r="A23" s="25" t="n">
        <x:v>600</x:v>
      </x:c>
      <x:c r="B23" s="25" t="n">
        <x:v>90</x:v>
      </x:c>
      <x:c r="C23" s="25" t="str">
        <x:v>AB</x:v>
      </x:c>
      <x:c r="D23" s="25" t="n">
        <x:v>206</x:v>
      </x:c>
      <x:c r="E23" s="25" t="n">
        <x:v>6</x:v>
      </x:c>
      <x:c r="F23" s="25" t="n">
        <x:v>362</x:v>
      </x:c>
      <x:c r="G23" s="25" t="str">
        <x:v>6–24</x:v>
      </x:c>
      <x:c r="H23" s="25" t="str">
        <x:v>Bảng 1 · trang 10–11</x:v>
      </x:c>
      <x:c r="I23" s="25"/>
      <x:c r="J23" s="25"/>
      <x:c r="K23" s="25"/>
      <x:c r="L23" s="25"/>
      <x:c r="M23" s="25"/>
      <x:c r="N23" s="25"/>
    </x:row>
    <x:row r="24">
      <x:c r="A24" s="25" t="n">
        <x:v>600</x:v>
      </x:c>
      <x:c r="B24" s="25" t="n">
        <x:v>90</x:v>
      </x:c>
      <x:c r="C24" s="25" t="str">
        <x:v>B</x:v>
      </x:c>
      <x:c r="D24" s="25" t="n">
        <x:v>245.2</x:v>
      </x:c>
      <x:c r="E24" s="25" t="n">
        <x:v>8</x:v>
      </x:c>
      <x:c r="F24" s="25" t="n">
        <x:v>392.4</x:v>
      </x:c>
      <x:c r="G24" s="25" t="str">
        <x:v>6–24</x:v>
      </x:c>
      <x:c r="H24" s="25" t="str">
        <x:v>Bảng 1 · trang 10–11</x:v>
      </x:c>
      <x:c r="I24" s="25"/>
      <x:c r="J24" s="25"/>
      <x:c r="K24" s="25"/>
      <x:c r="L24" s="25"/>
      <x:c r="M24" s="25"/>
      <x:c r="N24" s="25"/>
    </x:row>
    <x:row r="25">
      <x:c r="A25" s="25" t="n">
        <x:v>600</x:v>
      </x:c>
      <x:c r="B25" s="25" t="n">
        <x:v>90</x:v>
      </x:c>
      <x:c r="C25" s="25" t="str">
        <x:v>C</x:v>
      </x:c>
      <x:c r="D25" s="25" t="n">
        <x:v>284.5</x:v>
      </x:c>
      <x:c r="E25" s="25" t="n">
        <x:v>10</x:v>
      </x:c>
      <x:c r="F25" s="25" t="n">
        <x:v>427.7</x:v>
      </x:c>
      <x:c r="G25" s="25" t="str">
        <x:v>6–24</x:v>
      </x:c>
      <x:c r="H25" s="25" t="str">
        <x:v>Bảng 1 · trang 10–11</x:v>
      </x:c>
      <x:c r="I25" s="25"/>
      <x:c r="J25" s="25"/>
      <x:c r="K25" s="25"/>
      <x:c r="L25" s="25"/>
      <x:c r="M25" s="25"/>
      <x:c r="N25" s="25"/>
    </x:row>
    <x:row r="26">
      <x:c r="A26" s="25" t="n">
        <x:v>700</x:v>
      </x:c>
      <x:c r="B26" s="25" t="n">
        <x:v>100</x:v>
      </x:c>
      <x:c r="C26" s="25" t="str">
        <x:v>A</x:v>
      </x:c>
      <x:c r="D26" s="25" t="n">
        <x:v>264.9</x:v>
      </x:c>
      <x:c r="E26" s="25" t="n">
        <x:v>4</x:v>
      </x:c>
      <x:c r="F26" s="25" t="n">
        <x:v>406.1</x:v>
      </x:c>
      <x:c r="G26" s="25" t="str">
        <x:v>6–30</x:v>
      </x:c>
      <x:c r="H26" s="25" t="str">
        <x:v>Bảng 1 · trang 10–11</x:v>
      </x:c>
      <x:c r="I26" s="25"/>
      <x:c r="J26" s="25"/>
      <x:c r="K26" s="25"/>
      <x:c r="L26" s="25"/>
      <x:c r="M26" s="25"/>
      <x:c r="N26" s="25"/>
    </x:row>
    <x:row r="27">
      <x:c r="A27" s="25" t="n">
        <x:v>700</x:v>
      </x:c>
      <x:c r="B27" s="25" t="n">
        <x:v>100</x:v>
      </x:c>
      <x:c r="C27" s="25" t="str">
        <x:v>AB</x:v>
      </x:c>
      <x:c r="D27" s="25" t="n">
        <x:v>319</x:v>
      </x:c>
      <x:c r="E27" s="25" t="n">
        <x:v>6</x:v>
      </x:c>
      <x:c r="F27" s="25" t="n">
        <x:v>437</x:v>
      </x:c>
      <x:c r="G27" s="25" t="str">
        <x:v>6–30</x:v>
      </x:c>
      <x:c r="H27" s="25" t="str">
        <x:v>Bảng 1 · trang 10–11</x:v>
      </x:c>
      <x:c r="I27" s="25"/>
      <x:c r="J27" s="25"/>
      <x:c r="K27" s="25"/>
      <x:c r="L27" s="25"/>
      <x:c r="M27" s="25"/>
      <x:c r="N27" s="25"/>
    </x:row>
    <x:row r="28">
      <x:c r="A28" s="25" t="n">
        <x:v>700</x:v>
      </x:c>
      <x:c r="B28" s="25" t="n">
        <x:v>100</x:v>
      </x:c>
      <x:c r="C28" s="25" t="str">
        <x:v>B</x:v>
      </x:c>
      <x:c r="D28" s="25" t="n">
        <x:v>372.8</x:v>
      </x:c>
      <x:c r="E28" s="25" t="n">
        <x:v>8</x:v>
      </x:c>
      <x:c r="F28" s="25" t="n">
        <x:v>512.1</x:v>
      </x:c>
      <x:c r="G28" s="25" t="str">
        <x:v>6–30</x:v>
      </x:c>
      <x:c r="H28" s="25" t="str">
        <x:v>Bảng 1 · trang 10–11</x:v>
      </x:c>
      <x:c r="I28" s="25"/>
      <x:c r="J28" s="25"/>
      <x:c r="K28" s="25"/>
      <x:c r="L28" s="25"/>
      <x:c r="M28" s="25"/>
      <x:c r="N28" s="25"/>
    </x:row>
    <x:row r="29">
      <x:c r="A29" s="25" t="n">
        <x:v>700</x:v>
      </x:c>
      <x:c r="B29" s="25" t="n">
        <x:v>100</x:v>
      </x:c>
      <x:c r="C29" s="25" t="str">
        <x:v>C</x:v>
      </x:c>
      <x:c r="D29" s="25" t="n">
        <x:v>441.4</x:v>
      </x:c>
      <x:c r="E29" s="25" t="n">
        <x:v>10</x:v>
      </x:c>
      <x:c r="F29" s="25" t="n">
        <x:v>557.2</x:v>
      </x:c>
      <x:c r="G29" s="25" t="str">
        <x:v>6–30</x:v>
      </x:c>
      <x:c r="H29" s="25" t="str">
        <x:v>Bảng 1 · trang 10–11</x:v>
      </x:c>
      <x:c r="I29" s="25"/>
      <x:c r="J29" s="25"/>
      <x:c r="K29" s="25"/>
      <x:c r="L29" s="25"/>
      <x:c r="M29" s="25"/>
      <x:c r="N29" s="25"/>
    </x:row>
    <x:row r="30">
      <x:c r="A30" s="25" t="n">
        <x:v>800</x:v>
      </x:c>
      <x:c r="B30" s="25" t="n">
        <x:v>110</x:v>
      </x:c>
      <x:c r="C30" s="25" t="str">
        <x:v>A</x:v>
      </x:c>
      <x:c r="D30" s="25" t="n">
        <x:v>392.4</x:v>
      </x:c>
      <x:c r="E30" s="25" t="n">
        <x:v>4</x:v>
      </x:c>
      <x:c r="F30" s="25" t="n">
        <x:v>512.1</x:v>
      </x:c>
      <x:c r="G30" s="25" t="str">
        <x:v>6–30</x:v>
      </x:c>
      <x:c r="H30" s="25" t="str">
        <x:v>Bảng 1 · trang 10–11</x:v>
      </x:c>
      <x:c r="I30" s="25"/>
      <x:c r="J30" s="25"/>
      <x:c r="K30" s="25"/>
      <x:c r="L30" s="25"/>
      <x:c r="M30" s="25"/>
      <x:c r="N30" s="25"/>
    </x:row>
    <x:row r="31">
      <x:c r="A31" s="25" t="n">
        <x:v>800</x:v>
      </x:c>
      <x:c r="B31" s="25" t="n">
        <x:v>110</x:v>
      </x:c>
      <x:c r="C31" s="25" t="str">
        <x:v>AB</x:v>
      </x:c>
      <x:c r="D31" s="25" t="n">
        <x:v>471</x:v>
      </x:c>
      <x:c r="E31" s="25" t="n">
        <x:v>6</x:v>
      </x:c>
      <x:c r="F31" s="25" t="n">
        <x:v>595</x:v>
      </x:c>
      <x:c r="G31" s="25" t="str">
        <x:v>6–30</x:v>
      </x:c>
      <x:c r="H31" s="25" t="str">
        <x:v>Bảng 1 · trang 10–11</x:v>
      </x:c>
      <x:c r="I31" s="25"/>
      <x:c r="J31" s="25"/>
      <x:c r="K31" s="25"/>
      <x:c r="L31" s="25"/>
      <x:c r="M31" s="25"/>
      <x:c r="N31" s="25"/>
    </x:row>
    <x:row r="32">
      <x:c r="A32" s="25" t="n">
        <x:v>800</x:v>
      </x:c>
      <x:c r="B32" s="25" t="n">
        <x:v>110</x:v>
      </x:c>
      <x:c r="C32" s="25" t="str">
        <x:v>B</x:v>
      </x:c>
      <x:c r="D32" s="25" t="n">
        <x:v>539.6</x:v>
      </x:c>
      <x:c r="E32" s="25" t="n">
        <x:v>8</x:v>
      </x:c>
      <x:c r="F32" s="25" t="n">
        <x:v>646.5</x:v>
      </x:c>
      <x:c r="G32" s="25" t="str">
        <x:v>6–30</x:v>
      </x:c>
      <x:c r="H32" s="25" t="str">
        <x:v>Bảng 1 · trang 10–11</x:v>
      </x:c>
      <x:c r="I32" s="25"/>
      <x:c r="J32" s="25"/>
      <x:c r="K32" s="25"/>
      <x:c r="L32" s="25"/>
      <x:c r="M32" s="25"/>
      <x:c r="N32" s="25"/>
    </x:row>
    <x:row r="33">
      <x:c r="A33" s="25" t="n">
        <x:v>800</x:v>
      </x:c>
      <x:c r="B33" s="25" t="n">
        <x:v>110</x:v>
      </x:c>
      <x:c r="C33" s="25" t="str">
        <x:v>C</x:v>
      </x:c>
      <x:c r="D33" s="25" t="n">
        <x:v>637.6</x:v>
      </x:c>
      <x:c r="E33" s="25" t="n">
        <x:v>10</x:v>
      </x:c>
      <x:c r="F33" s="25" t="n">
        <x:v>704.4</x:v>
      </x:c>
      <x:c r="G33" s="25" t="str">
        <x:v>6–30</x:v>
      </x:c>
      <x:c r="H33" s="25" t="str">
        <x:v>Bảng 1 · trang 10–11</x:v>
      </x:c>
      <x:c r="I33" s="25"/>
      <x:c r="J33" s="25"/>
      <x:c r="K33" s="25"/>
      <x:c r="L33" s="25"/>
      <x:c r="M33" s="25"/>
      <x:c r="N33" s="25"/>
    </x:row>
    <x:row r="34">
      <x:c r="A34" s="25" t="n">
        <x:v>900</x:v>
      </x:c>
      <x:c r="B34" s="25" t="n">
        <x:v>120</x:v>
      </x:c>
      <x:c r="C34" s="25" t="str">
        <x:v>A</x:v>
      </x:c>
      <x:c r="D34" s="25" t="n">
        <x:v>539.6</x:v>
      </x:c>
      <x:c r="E34" s="25" t="n">
        <x:v>4</x:v>
      </x:c>
      <x:c r="F34" s="25" t="n">
        <x:v>631</x:v>
      </x:c>
      <x:c r="G34" s="25" t="str">
        <x:v>6–30</x:v>
      </x:c>
      <x:c r="H34" s="25" t="str">
        <x:v>Bảng 1 · trang 10–11</x:v>
      </x:c>
      <x:c r="I34" s="25"/>
      <x:c r="J34" s="25"/>
      <x:c r="K34" s="25"/>
      <x:c r="L34" s="25"/>
      <x:c r="M34" s="25"/>
      <x:c r="N34" s="25"/>
    </x:row>
    <x:row r="35">
      <x:c r="A35" s="25" t="n">
        <x:v>900</x:v>
      </x:c>
      <x:c r="B35" s="25" t="n">
        <x:v>120</x:v>
      </x:c>
      <x:c r="C35" s="25" t="str">
        <x:v>B</x:v>
      </x:c>
      <x:c r="D35" s="25" t="n">
        <x:v>735.8</x:v>
      </x:c>
      <x:c r="E35" s="25" t="n">
        <x:v>8</x:v>
      </x:c>
      <x:c r="F35" s="25" t="n">
        <x:v>797</x:v>
      </x:c>
      <x:c r="G35" s="25" t="str">
        <x:v>6–30</x:v>
      </x:c>
      <x:c r="H35" s="25" t="str">
        <x:v>Bảng 1 · trang 10–11</x:v>
      </x:c>
      <x:c r="I35" s="25"/>
      <x:c r="J35" s="25"/>
      <x:c r="K35" s="25"/>
      <x:c r="L35" s="25"/>
      <x:c r="M35" s="25"/>
      <x:c r="N35" s="25"/>
    </x:row>
    <x:row r="36">
      <x:c r="A36" s="25" t="n">
        <x:v>900</x:v>
      </x:c>
      <x:c r="B36" s="25" t="n">
        <x:v>120</x:v>
      </x:c>
      <x:c r="C36" s="25" t="str">
        <x:v>C</x:v>
      </x:c>
      <x:c r="D36" s="25" t="n">
        <x:v>833.8</x:v>
      </x:c>
      <x:c r="E36" s="25" t="n">
        <x:v>10</x:v>
      </x:c>
      <x:c r="F36" s="25" t="n">
        <x:v>867</x:v>
      </x:c>
      <x:c r="G36" s="25" t="str">
        <x:v>6–30</x:v>
      </x:c>
      <x:c r="H36" s="25" t="str">
        <x:v>Bảng 1 · trang 10–11</x:v>
      </x:c>
      <x:c r="I36" s="25"/>
      <x:c r="J36" s="25"/>
      <x:c r="K36" s="25"/>
      <x:c r="L36" s="25"/>
      <x:c r="M36" s="25"/>
      <x:c r="N36" s="25"/>
    </x:row>
    <x:row r="37">
      <x:c r="A37" s="25" t="n">
        <x:v>1000</x:v>
      </x:c>
      <x:c r="B37" s="25" t="n">
        <x:v>130</x:v>
      </x:c>
      <x:c r="C37" s="25" t="str">
        <x:v>A</x:v>
      </x:c>
      <x:c r="D37" s="25" t="n">
        <x:v>735.8</x:v>
      </x:c>
      <x:c r="E37" s="25" t="n">
        <x:v>4</x:v>
      </x:c>
      <x:c r="F37" s="25" t="n">
        <x:v>762.2</x:v>
      </x:c>
      <x:c r="G37" s="25" t="str">
        <x:v>6–30</x:v>
      </x:c>
      <x:c r="H37" s="25" t="str">
        <x:v>Bảng 1 · trang 10–11</x:v>
      </x:c>
      <x:c r="I37" s="25"/>
      <x:c r="J37" s="25"/>
      <x:c r="K37" s="25"/>
      <x:c r="L37" s="25"/>
      <x:c r="M37" s="25"/>
      <x:c r="N37" s="25"/>
    </x:row>
    <x:row r="38">
      <x:c r="A38" s="25" t="n">
        <x:v>1000</x:v>
      </x:c>
      <x:c r="B38" s="25" t="n">
        <x:v>130</x:v>
      </x:c>
      <x:c r="C38" s="25" t="str">
        <x:v>AB</x:v>
      </x:c>
      <x:c r="D38" s="25" t="n">
        <x:v>883</x:v>
      </x:c>
      <x:c r="E38" s="25" t="n">
        <x:v>6</x:v>
      </x:c>
      <x:c r="F38" s="25" t="n">
        <x:v>774</x:v>
      </x:c>
      <x:c r="G38" s="25" t="str">
        <x:v>6–30</x:v>
      </x:c>
      <x:c r="H38" s="25" t="str">
        <x:v>Bảng 1 · trang 10–11</x:v>
      </x:c>
      <x:c r="I38" s="25"/>
      <x:c r="J38" s="25"/>
      <x:c r="K38" s="25"/>
      <x:c r="L38" s="25"/>
      <x:c r="M38" s="25"/>
      <x:c r="N38" s="25"/>
    </x:row>
    <x:row r="39">
      <x:c r="A39" s="25" t="n">
        <x:v>1000</x:v>
      </x:c>
      <x:c r="B39" s="25" t="n">
        <x:v>130</x:v>
      </x:c>
      <x:c r="C39" s="25" t="str">
        <x:v>B</x:v>
      </x:c>
      <x:c r="D39" s="25" t="n">
        <x:v>1030</x:v>
      </x:c>
      <x:c r="E39" s="25" t="n">
        <x:v>8</x:v>
      </x:c>
      <x:c r="F39" s="25" t="n">
        <x:v>961.4</x:v>
      </x:c>
      <x:c r="G39" s="25" t="str">
        <x:v>6–30</x:v>
      </x:c>
      <x:c r="H39" s="25" t="str">
        <x:v>Bảng 1 · trang 10–11</x:v>
      </x:c>
      <x:c r="I39" s="25"/>
      <x:c r="J39" s="25"/>
      <x:c r="K39" s="25"/>
      <x:c r="L39" s="25"/>
      <x:c r="M39" s="25"/>
      <x:c r="N39" s="25"/>
    </x:row>
    <x:row r="40">
      <x:c r="A40" s="25" t="n">
        <x:v>1000</x:v>
      </x:c>
      <x:c r="B40" s="25" t="n">
        <x:v>130</x:v>
      </x:c>
      <x:c r="C40" s="25" t="str">
        <x:v>C</x:v>
      </x:c>
      <x:c r="D40" s="25" t="n">
        <x:v>1177</x:v>
      </x:c>
      <x:c r="E40" s="25" t="n">
        <x:v>10</x:v>
      </x:c>
      <x:c r="F40" s="25" t="n">
        <x:v>1047</x:v>
      </x:c>
      <x:c r="G40" s="25" t="str">
        <x:v>6–30</x:v>
      </x:c>
      <x:c r="H40" s="25" t="str">
        <x:v>Bảng 1 · trang 10–11</x:v>
      </x:c>
      <x:c r="I40" s="25"/>
      <x:c r="J40" s="25"/>
      <x:c r="K40" s="25"/>
      <x:c r="L40" s="25"/>
      <x:c r="M40" s="25"/>
      <x:c r="N40" s="25"/>
    </x:row>
    <x:row r="41">
      <x:c r="A41" s="25" t="n">
        <x:v>1100</x:v>
      </x:c>
      <x:c r="B41" s="25" t="n">
        <x:v>140</x:v>
      </x:c>
      <x:c r="C41" s="25" t="str">
        <x:v>A</x:v>
      </x:c>
      <x:c r="D41" s="25" t="n">
        <x:v>932</x:v>
      </x:c>
      <x:c r="E41" s="25" t="n">
        <x:v>4</x:v>
      </x:c>
      <x:c r="F41" s="25" t="n">
        <x:v>905</x:v>
      </x:c>
      <x:c r="G41" s="25" t="str">
        <x:v>6–30</x:v>
      </x:c>
      <x:c r="H41" s="25" t="str">
        <x:v>Bảng 1 · trang 10–11</x:v>
      </x:c>
      <x:c r="I41" s="25"/>
      <x:c r="J41" s="25"/>
      <x:c r="K41" s="25"/>
      <x:c r="L41" s="25"/>
      <x:c r="M41" s="25"/>
      <x:c r="N41" s="25"/>
    </x:row>
    <x:row r="42">
      <x:c r="A42" s="25" t="n">
        <x:v>1100</x:v>
      </x:c>
      <x:c r="B42" s="25" t="n">
        <x:v>140</x:v>
      </x:c>
      <x:c r="C42" s="25" t="str">
        <x:v>B</x:v>
      </x:c>
      <x:c r="D42" s="25" t="n">
        <x:v>1324</x:v>
      </x:c>
      <x:c r="E42" s="25" t="n">
        <x:v>8</x:v>
      </x:c>
      <x:c r="F42" s="25" t="n">
        <x:v>1142</x:v>
      </x:c>
      <x:c r="G42" s="25" t="str">
        <x:v>6–30</x:v>
      </x:c>
      <x:c r="H42" s="25" t="str">
        <x:v>Bảng 1 · trang 10–11</x:v>
      </x:c>
      <x:c r="I42" s="25"/>
      <x:c r="J42" s="25"/>
      <x:c r="K42" s="25"/>
      <x:c r="L42" s="25"/>
      <x:c r="M42" s="25"/>
      <x:c r="N42" s="25"/>
    </x:row>
    <x:row r="43">
      <x:c r="A43" s="25" t="n">
        <x:v>1100</x:v>
      </x:c>
      <x:c r="B43" s="25" t="n">
        <x:v>140</x:v>
      </x:c>
      <x:c r="C43" s="25" t="str">
        <x:v>C</x:v>
      </x:c>
      <x:c r="D43" s="25" t="n">
        <x:v>1521</x:v>
      </x:c>
      <x:c r="E43" s="25" t="n">
        <x:v>10</x:v>
      </x:c>
      <x:c r="F43" s="25" t="n">
        <x:v>1244</x:v>
      </x:c>
      <x:c r="G43" s="25" t="str">
        <x:v>6–30</x:v>
      </x:c>
      <x:c r="H43" s="25" t="str">
        <x:v>Bảng 1 · trang 10–11</x:v>
      </x:c>
      <x:c r="I43" s="25"/>
      <x:c r="J43" s="25"/>
      <x:c r="K43" s="25"/>
      <x:c r="L43" s="25"/>
      <x:c r="M43" s="25"/>
      <x:c r="N43" s="25"/>
    </x:row>
    <x:row r="44">
      <x:c r="A44" s="25" t="n">
        <x:v>1200</x:v>
      </x:c>
      <x:c r="B44" s="25" t="n">
        <x:v>150</x:v>
      </x:c>
      <x:c r="C44" s="25" t="str">
        <x:v>A</x:v>
      </x:c>
      <x:c r="D44" s="25" t="n">
        <x:v>1177</x:v>
      </x:c>
      <x:c r="E44" s="25" t="n">
        <x:v>4</x:v>
      </x:c>
      <x:c r="F44" s="25" t="n">
        <x:v>1059</x:v>
      </x:c>
      <x:c r="G44" s="25" t="str">
        <x:v>6–30</x:v>
      </x:c>
      <x:c r="H44" s="25" t="str">
        <x:v>Bảng 1 · trang 10–11</x:v>
      </x:c>
      <x:c r="I44" s="25"/>
      <x:c r="J44" s="25"/>
      <x:c r="K44" s="25"/>
      <x:c r="L44" s="25"/>
      <x:c r="M44" s="25"/>
      <x:c r="N44" s="25"/>
    </x:row>
    <x:row r="45">
      <x:c r="A45" s="25" t="n">
        <x:v>1200</x:v>
      </x:c>
      <x:c r="B45" s="25" t="n">
        <x:v>150</x:v>
      </x:c>
      <x:c r="C45" s="25" t="str">
        <x:v>AB</x:v>
      </x:c>
      <x:c r="D45" s="25" t="n">
        <x:v>1412</x:v>
      </x:c>
      <x:c r="E45" s="25" t="n">
        <x:v>6</x:v>
      </x:c>
      <x:c r="F45" s="25" t="n">
        <x:v>1292</x:v>
      </x:c>
      <x:c r="G45" s="25" t="str">
        <x:v>6–30</x:v>
      </x:c>
      <x:c r="H45" s="25" t="str">
        <x:v>Bảng 1 · trang 10–11</x:v>
      </x:c>
      <x:c r="I45" s="25"/>
      <x:c r="J45" s="25"/>
      <x:c r="K45" s="25"/>
      <x:c r="L45" s="25"/>
      <x:c r="M45" s="25"/>
      <x:c r="N45" s="25"/>
    </x:row>
    <x:row r="46">
      <x:c r="A46" s="25" t="n">
        <x:v>1200</x:v>
      </x:c>
      <x:c r="B46" s="25" t="n">
        <x:v>150</x:v>
      </x:c>
      <x:c r="C46" s="25" t="str">
        <x:v>B</x:v>
      </x:c>
      <x:c r="D46" s="25" t="n">
        <x:v>1668</x:v>
      </x:c>
      <x:c r="E46" s="25" t="n">
        <x:v>8</x:v>
      </x:c>
      <x:c r="F46" s="25" t="n">
        <x:v>1337</x:v>
      </x:c>
      <x:c r="G46" s="25" t="str">
        <x:v>6–30</x:v>
      </x:c>
      <x:c r="H46" s="25" t="str">
        <x:v>Bảng 1 · trang 10–11</x:v>
      </x:c>
      <x:c r="I46" s="25"/>
      <x:c r="J46" s="25"/>
      <x:c r="K46" s="25"/>
      <x:c r="L46" s="25"/>
      <x:c r="M46" s="25"/>
      <x:c r="N46" s="25"/>
    </x:row>
    <x:row r="47">
      <x:c r="A47" s="25" t="n">
        <x:v>1200</x:v>
      </x:c>
      <x:c r="B47" s="25" t="n">
        <x:v>150</x:v>
      </x:c>
      <x:c r="C47" s="25" t="str">
        <x:v>C</x:v>
      </x:c>
      <x:c r="D47" s="25" t="n">
        <x:v>1962</x:v>
      </x:c>
      <x:c r="E47" s="25" t="n">
        <x:v>10</x:v>
      </x:c>
      <x:c r="F47" s="25" t="n">
        <x:v>1457</x:v>
      </x:c>
      <x:c r="G47" s="25" t="str">
        <x:v>6–30</x:v>
      </x:c>
      <x:c r="H47" s="25" t="str">
        <x:v>Bảng 1 · trang 10–11</x:v>
      </x:c>
      <x:c r="I47" s="25"/>
      <x:c r="J47" s="25"/>
      <x:c r="K47" s="25"/>
      <x:c r="L47" s="25"/>
      <x:c r="M47" s="25"/>
      <x:c r="N47" s="25"/>
    </x:row>
    <x:row r="48">
      <x:c r="A48" s="25"/>
      <x:c r="B48" s="25"/>
      <x:c r="C48" s="25"/>
      <x:c r="D48" s="25"/>
      <x:c r="E48" s="25"/>
      <x:c r="F48" s="25"/>
      <x:c r="G48" s="25"/>
      <x:c r="H48" s="25"/>
      <x:c r="I48" s="25"/>
      <x:c r="J48" s="25"/>
      <x:c r="K48" s="25"/>
      <x:c r="L48" s="25"/>
      <x:c r="M48" s="25"/>
      <x:c r="N48" s="25"/>
    </x:row>
    <x:row r="49">
      <x:c r="A49" s="25"/>
      <x:c r="B49" s="25"/>
      <x:c r="C49" s="25"/>
      <x:c r="D49" s="25"/>
      <x:c r="E49" s="25"/>
      <x:c r="F49" s="25"/>
      <x:c r="G49" s="25"/>
      <x:c r="H49" s="25"/>
      <x:c r="I49" s="25"/>
      <x:c r="J49" s="25"/>
      <x:c r="K49" s="25"/>
      <x:c r="L49" s="25"/>
      <x:c r="M49" s="25"/>
      <x:c r="N49" s="25"/>
    </x:row>
    <x:row r="50">
      <x:c r="A50" s="25"/>
      <x:c r="B50" s="25"/>
      <x:c r="C50" s="25"/>
      <x:c r="D50" s="25"/>
      <x:c r="E50" s="25"/>
      <x:c r="F50" s="25"/>
      <x:c r="G50" s="25"/>
      <x:c r="H50" s="25"/>
      <x:c r="I50" s="25"/>
      <x:c r="J50" s="25"/>
      <x:c r="K50" s="25"/>
      <x:c r="L50" s="25"/>
      <x:c r="M50" s="25"/>
      <x:c r="N50" s="25"/>
    </x:row>
    <x:row r="51">
      <x:c r="A51" s="25"/>
      <x:c r="B51" s="25"/>
      <x:c r="C51" s="25"/>
      <x:c r="D51" s="25"/>
      <x:c r="E51" s="25"/>
      <x:c r="F51" s="25"/>
      <x:c r="G51" s="25"/>
      <x:c r="H51" s="25"/>
      <x:c r="I51" s="25"/>
      <x:c r="J51" s="25"/>
      <x:c r="K51" s="25"/>
      <x:c r="L51" s="25"/>
      <x:c r="M51" s="25"/>
      <x:c r="N51" s="25"/>
    </x:row>
    <x:row r="52">
      <x:c r="A52" s="25"/>
      <x:c r="B52" s="25"/>
      <x:c r="C52" s="25"/>
      <x:c r="D52" s="25"/>
      <x:c r="E52" s="25"/>
      <x:c r="F52" s="25"/>
      <x:c r="G52" s="25"/>
      <x:c r="H52" s="25"/>
      <x:c r="I52" s="25"/>
      <x:c r="J52" s="25"/>
      <x:c r="K52" s="25"/>
      <x:c r="L52" s="25"/>
      <x:c r="M52" s="25"/>
      <x:c r="N52" s="25"/>
    </x:row>
    <x:row r="53">
      <x:c r="A53" s="25"/>
      <x:c r="B53" s="25"/>
      <x:c r="C53" s="25"/>
      <x:c r="D53" s="25"/>
      <x:c r="E53" s="25"/>
      <x:c r="F53" s="25"/>
      <x:c r="G53" s="25"/>
      <x:c r="H53" s="25"/>
      <x:c r="I53" s="25"/>
      <x:c r="J53" s="25"/>
      <x:c r="K53" s="25"/>
      <x:c r="L53" s="25"/>
      <x:c r="M53" s="25"/>
      <x:c r="N53" s="25"/>
    </x:row>
    <x:row r="54">
      <x:c r="A54" s="25"/>
      <x:c r="B54" s="25"/>
      <x:c r="C54" s="25"/>
      <x:c r="D54" s="25"/>
      <x:c r="E54" s="25"/>
      <x:c r="F54" s="25"/>
      <x:c r="G54" s="25"/>
      <x:c r="H54" s="25"/>
      <x:c r="I54" s="25"/>
      <x:c r="J54" s="25"/>
      <x:c r="K54" s="25"/>
      <x:c r="L54" s="25"/>
      <x:c r="M54" s="25"/>
      <x:c r="N54" s="25"/>
    </x:row>
    <x:row r="55">
      <x:c r="A55" s="25"/>
      <x:c r="B55" s="25"/>
      <x:c r="C55" s="25"/>
      <x:c r="D55" s="25"/>
      <x:c r="E55" s="25"/>
      <x:c r="F55" s="25"/>
      <x:c r="G55" s="25"/>
      <x:c r="H55" s="25"/>
      <x:c r="I55" s="25"/>
      <x:c r="J55" s="25"/>
      <x:c r="K55" s="25"/>
      <x:c r="L55" s="25"/>
      <x:c r="M55" s="25"/>
      <x:c r="N55" s="25"/>
    </x:row>
    <x:row r="56">
      <x:c r="A56" s="25"/>
      <x:c r="B56" s="25"/>
      <x:c r="C56" s="25"/>
      <x:c r="D56" s="25"/>
      <x:c r="E56" s="25"/>
      <x:c r="F56" s="25"/>
      <x:c r="G56" s="25"/>
      <x:c r="H56" s="25"/>
      <x:c r="I56" s="25"/>
      <x:c r="J56" s="25"/>
      <x:c r="K56" s="25"/>
      <x:c r="L56" s="25"/>
      <x:c r="M56" s="25"/>
      <x:c r="N56" s="25"/>
    </x:row>
    <x:row r="57">
      <x:c r="A57" s="25"/>
      <x:c r="B57" s="25"/>
      <x:c r="C57" s="25"/>
      <x:c r="D57" s="25"/>
      <x:c r="E57" s="25"/>
      <x:c r="F57" s="25"/>
      <x:c r="G57" s="25"/>
      <x:c r="H57" s="25"/>
      <x:c r="I57" s="25"/>
      <x:c r="J57" s="25"/>
      <x:c r="K57" s="25"/>
      <x:c r="L57" s="25"/>
      <x:c r="M57" s="25"/>
      <x:c r="N57" s="25"/>
    </x:row>
    <x:row r="58">
      <x:c r="A58" s="25"/>
      <x:c r="B58" s="25"/>
      <x:c r="C58" s="25"/>
      <x:c r="D58" s="25"/>
      <x:c r="E58" s="25"/>
      <x:c r="F58" s="25"/>
      <x:c r="G58" s="25"/>
      <x:c r="H58" s="25"/>
      <x:c r="I58" s="25"/>
      <x:c r="J58" s="25"/>
      <x:c r="K58" s="25"/>
      <x:c r="L58" s="25"/>
      <x:c r="M58" s="25"/>
      <x:c r="N58" s="25"/>
    </x:row>
    <x:row r="59">
      <x:c r="A59" s="25"/>
      <x:c r="B59" s="25"/>
      <x:c r="C59" s="25"/>
      <x:c r="D59" s="25"/>
      <x:c r="E59" s="25"/>
      <x:c r="F59" s="25"/>
      <x:c r="G59" s="25"/>
      <x:c r="H59" s="25"/>
      <x:c r="I59" s="25"/>
      <x:c r="J59" s="25"/>
      <x:c r="K59" s="25"/>
      <x:c r="L59" s="25"/>
      <x:c r="M59" s="25"/>
      <x:c r="N59" s="25"/>
    </x:row>
    <x:row r="60">
      <x:c r="A60" s="25"/>
      <x:c r="B60" s="25"/>
      <x:c r="C60" s="25"/>
      <x:c r="D60" s="25"/>
      <x:c r="E60" s="25"/>
      <x:c r="F60" s="25"/>
      <x:c r="G60" s="25"/>
      <x:c r="H60" s="25"/>
      <x:c r="I60" s="25"/>
      <x:c r="J60" s="25"/>
      <x:c r="K60" s="25"/>
      <x:c r="L60" s="25"/>
      <x:c r="M60" s="25"/>
      <x:c r="N60" s="25"/>
    </x:row>
    <x:row r="61">
      <x:c r="A61" s="25"/>
      <x:c r="B61" s="25"/>
      <x:c r="C61" s="25"/>
      <x:c r="D61" s="25"/>
      <x:c r="E61" s="25"/>
      <x:c r="F61" s="25"/>
      <x:c r="G61" s="25"/>
      <x:c r="H61" s="25"/>
      <x:c r="I61" s="25"/>
      <x:c r="J61" s="25"/>
      <x:c r="K61" s="25"/>
      <x:c r="L61" s="25"/>
      <x:c r="M61" s="25"/>
      <x:c r="N61" s="25"/>
    </x:row>
    <x:row r="62">
      <x:c r="A62" s="25"/>
      <x:c r="B62" s="25"/>
      <x:c r="C62" s="25"/>
      <x:c r="D62" s="25"/>
      <x:c r="E62" s="25"/>
      <x:c r="F62" s="25"/>
      <x:c r="G62" s="25"/>
      <x:c r="H62" s="25"/>
      <x:c r="I62" s="25"/>
      <x:c r="J62" s="25"/>
      <x:c r="K62" s="25"/>
      <x:c r="L62" s="25"/>
      <x:c r="M62" s="25"/>
      <x:c r="N62" s="25"/>
    </x:row>
    <x:row r="63">
      <x:c r="A63" s="25"/>
      <x:c r="B63" s="25"/>
      <x:c r="C63" s="25"/>
      <x:c r="D63" s="25"/>
      <x:c r="E63" s="25"/>
      <x:c r="F63" s="25"/>
      <x:c r="G63" s="25"/>
      <x:c r="H63" s="25"/>
      <x:c r="I63" s="25"/>
      <x:c r="J63" s="25"/>
      <x:c r="K63" s="25"/>
      <x:c r="L63" s="25"/>
      <x:c r="M63" s="25"/>
      <x:c r="N63" s="25"/>
    </x:row>
    <x:row r="64">
      <x:c r="A64" s="25"/>
      <x:c r="B64" s="25"/>
      <x:c r="C64" s="25"/>
      <x:c r="D64" s="25"/>
      <x:c r="E64" s="25"/>
      <x:c r="F64" s="25"/>
      <x:c r="G64" s="25"/>
      <x:c r="H64" s="25"/>
      <x:c r="I64" s="25"/>
      <x:c r="J64" s="25"/>
      <x:c r="K64" s="25"/>
      <x:c r="L64" s="25"/>
      <x:c r="M64" s="25"/>
      <x:c r="N64" s="25"/>
    </x:row>
    <x:row r="65">
      <x:c r="A65" s="25"/>
      <x:c r="B65" s="25"/>
      <x:c r="C65" s="25"/>
      <x:c r="D65" s="25"/>
      <x:c r="E65" s="25"/>
      <x:c r="F65" s="25"/>
      <x:c r="G65" s="25"/>
      <x:c r="H65" s="25"/>
      <x:c r="I65" s="25"/>
      <x:c r="J65" s="25"/>
      <x:c r="K65" s="25"/>
      <x:c r="L65" s="25"/>
      <x:c r="M65" s="25"/>
      <x:c r="N65" s="25"/>
    </x:row>
    <x:row r="66">
      <x:c r="A66" s="25"/>
      <x:c r="B66" s="25"/>
      <x:c r="C66" s="25"/>
      <x:c r="D66" s="25"/>
      <x:c r="E66" s="25"/>
      <x:c r="F66" s="25"/>
      <x:c r="G66" s="25"/>
      <x:c r="H66" s="25"/>
      <x:c r="I66" s="25"/>
      <x:c r="J66" s="25"/>
      <x:c r="K66" s="25"/>
      <x:c r="L66" s="25"/>
      <x:c r="M66" s="25"/>
      <x:c r="N66" s="25"/>
    </x:row>
    <x:row r="67">
      <x:c r="A67" s="25"/>
      <x:c r="B67" s="25"/>
      <x:c r="C67" s="25"/>
      <x:c r="D67" s="25"/>
      <x:c r="E67" s="25"/>
      <x:c r="F67" s="25"/>
      <x:c r="G67" s="25"/>
      <x:c r="H67" s="25"/>
      <x:c r="I67" s="25"/>
      <x:c r="J67" s="25"/>
      <x:c r="K67" s="25"/>
      <x:c r="L67" s="25"/>
      <x:c r="M67" s="25"/>
      <x:c r="N67" s="25"/>
    </x:row>
    <x:row r="68">
      <x:c r="A68" s="25"/>
      <x:c r="B68" s="25"/>
      <x:c r="C68" s="25"/>
      <x:c r="D68" s="25"/>
      <x:c r="E68" s="25"/>
      <x:c r="F68" s="25"/>
      <x:c r="G68" s="25"/>
      <x:c r="H68" s="25"/>
      <x:c r="I68" s="25"/>
      <x:c r="J68" s="25"/>
      <x:c r="K68" s="25"/>
      <x:c r="L68" s="25"/>
      <x:c r="M68" s="25"/>
      <x:c r="N68" s="25"/>
    </x:row>
    <x:row r="69">
      <x:c r="A69" s="25"/>
      <x:c r="B69" s="25"/>
      <x:c r="C69" s="25"/>
      <x:c r="D69" s="25"/>
      <x:c r="E69" s="25"/>
      <x:c r="F69" s="25"/>
      <x:c r="G69" s="25"/>
      <x:c r="H69" s="25"/>
      <x:c r="I69" s="25"/>
      <x:c r="J69" s="25"/>
      <x:c r="K69" s="25"/>
      <x:c r="L69" s="25"/>
      <x:c r="M69" s="25"/>
      <x:c r="N69" s="25"/>
    </x:row>
    <x:row r="70">
      <x:c r="A70" s="25"/>
      <x:c r="B70" s="25"/>
      <x:c r="C70" s="25"/>
      <x:c r="D70" s="25"/>
      <x:c r="E70" s="25"/>
      <x:c r="F70" s="25"/>
      <x:c r="G70" s="25"/>
      <x:c r="H70" s="25"/>
      <x:c r="I70" s="25"/>
      <x:c r="J70" s="25"/>
      <x:c r="K70" s="25"/>
      <x:c r="L70" s="25"/>
      <x:c r="M70" s="25"/>
      <x:c r="N70" s="25"/>
    </x:row>
    <x:row r="71">
      <x:c r="A71" s="25"/>
      <x:c r="B71" s="25"/>
      <x:c r="C71" s="25"/>
      <x:c r="D71" s="25"/>
      <x:c r="E71" s="25"/>
      <x:c r="F71" s="25"/>
      <x:c r="G71" s="25"/>
      <x:c r="H71" s="25"/>
      <x:c r="I71" s="25"/>
      <x:c r="J71" s="25"/>
      <x:c r="K71" s="25"/>
      <x:c r="L71" s="25"/>
      <x:c r="M71" s="25"/>
      <x:c r="N71" s="25"/>
    </x:row>
    <x:row r="72">
      <x:c r="A72" s="25"/>
      <x:c r="B72" s="25"/>
      <x:c r="C72" s="25"/>
      <x:c r="D72" s="25"/>
      <x:c r="E72" s="25"/>
      <x:c r="F72" s="25"/>
      <x:c r="G72" s="25"/>
      <x:c r="H72" s="25"/>
      <x:c r="I72" s="25"/>
      <x:c r="J72" s="25"/>
      <x:c r="K72" s="25"/>
      <x:c r="L72" s="25"/>
      <x:c r="M72" s="25"/>
      <x:c r="N72" s="25"/>
    </x:row>
    <x:row r="73">
      <x:c r="A73" s="25"/>
      <x:c r="B73" s="25"/>
      <x:c r="C73" s="25"/>
      <x:c r="D73" s="25"/>
      <x:c r="E73" s="25"/>
      <x:c r="F73" s="25"/>
      <x:c r="G73" s="25"/>
      <x:c r="H73" s="25"/>
      <x:c r="I73" s="25"/>
      <x:c r="J73" s="25"/>
      <x:c r="K73" s="25"/>
      <x:c r="L73" s="25"/>
      <x:c r="M73" s="25"/>
      <x:c r="N73" s="25"/>
    </x:row>
    <x:row r="74">
      <x:c r="A74" s="25"/>
      <x:c r="B74" s="25"/>
      <x:c r="C74" s="25"/>
      <x:c r="D74" s="25"/>
      <x:c r="E74" s="25"/>
      <x:c r="F74" s="25"/>
      <x:c r="G74" s="25"/>
      <x:c r="H74" s="25"/>
      <x:c r="I74" s="25"/>
      <x:c r="J74" s="25"/>
      <x:c r="K74" s="25"/>
      <x:c r="L74" s="25"/>
      <x:c r="M74" s="25"/>
      <x:c r="N74" s="25"/>
    </x:row>
    <x:row r="75">
      <x:c r="A75" s="25"/>
      <x:c r="B75" s="25"/>
      <x:c r="C75" s="25"/>
      <x:c r="D75" s="25"/>
      <x:c r="E75" s="25"/>
      <x:c r="F75" s="25"/>
      <x:c r="G75" s="25"/>
      <x:c r="H75" s="25"/>
      <x:c r="I75" s="25"/>
      <x:c r="J75" s="25"/>
      <x:c r="K75" s="25"/>
      <x:c r="L75" s="25"/>
      <x:c r="M75" s="25"/>
      <x:c r="N75" s="25"/>
    </x:row>
    <x:row r="76">
      <x:c r="A76" s="25"/>
      <x:c r="B76" s="25"/>
      <x:c r="C76" s="25"/>
      <x:c r="D76" s="25"/>
      <x:c r="E76" s="25"/>
      <x:c r="F76" s="25"/>
      <x:c r="G76" s="25"/>
      <x:c r="H76" s="25"/>
      <x:c r="I76" s="25"/>
      <x:c r="J76" s="25"/>
      <x:c r="K76" s="25"/>
      <x:c r="L76" s="25"/>
      <x:c r="M76" s="25"/>
      <x:c r="N76" s="25"/>
    </x:row>
    <x:row r="77">
      <x:c r="A77" s="25"/>
      <x:c r="B77" s="25"/>
      <x:c r="C77" s="25"/>
      <x:c r="D77" s="25"/>
      <x:c r="E77" s="25"/>
      <x:c r="F77" s="25"/>
      <x:c r="G77" s="25"/>
      <x:c r="H77" s="25"/>
      <x:c r="I77" s="25"/>
      <x:c r="J77" s="25"/>
      <x:c r="K77" s="25"/>
      <x:c r="L77" s="25"/>
      <x:c r="M77" s="25"/>
      <x:c r="N77" s="25"/>
    </x:row>
    <x:row r="78">
      <x:c r="A78" s="25"/>
      <x:c r="B78" s="25"/>
      <x:c r="C78" s="25"/>
      <x:c r="D78" s="25"/>
      <x:c r="E78" s="25"/>
      <x:c r="F78" s="25"/>
      <x:c r="G78" s="25"/>
      <x:c r="H78" s="25"/>
      <x:c r="I78" s="25"/>
      <x:c r="J78" s="25"/>
      <x:c r="K78" s="25"/>
      <x:c r="L78" s="25"/>
      <x:c r="M78" s="25"/>
      <x:c r="N78" s="25"/>
    </x:row>
    <x:row r="79">
      <x:c r="A79" s="25"/>
      <x:c r="B79" s="25"/>
      <x:c r="C79" s="25"/>
      <x:c r="D79" s="25"/>
      <x:c r="E79" s="25"/>
      <x:c r="F79" s="25"/>
      <x:c r="G79" s="25"/>
      <x:c r="H79" s="25"/>
      <x:c r="I79" s="25"/>
      <x:c r="J79" s="25"/>
      <x:c r="K79" s="25"/>
      <x:c r="L79" s="25"/>
      <x:c r="M79" s="25"/>
      <x:c r="N79" s="25"/>
    </x:row>
    <x:row r="80">
      <x:c r="A80" s="25"/>
      <x:c r="B80" s="25"/>
      <x:c r="C80" s="25"/>
      <x:c r="D80" s="25"/>
      <x:c r="E80" s="25"/>
      <x:c r="F80" s="25"/>
      <x:c r="G80" s="25"/>
      <x:c r="H80" s="25"/>
      <x:c r="I80" s="25"/>
      <x:c r="J80" s="25"/>
      <x:c r="K80" s="25"/>
      <x:c r="L80" s="25"/>
      <x:c r="M80" s="25"/>
      <x:c r="N80" s="25"/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12" hidden="0" customWidth="1"/>
    <x:col min="4" max="4" width="10" hidden="0" customWidth="1"/>
    <x:col min="5" max="5" width="10" hidden="0" customWidth="1"/>
    <x:col min="6" max="6" width="10" hidden="0" customWidth="1"/>
    <x:col min="7" max="7" width="14" hidden="0" customWidth="1"/>
    <x:col min="8" max="8" width="12" hidden="0" customWidth="1"/>
    <x:col min="9" max="9" width="16" hidden="0" customWidth="1"/>
    <x:col min="10" max="10" width="25" hidden="0" customWidth="1"/>
    <x:col min="11" max="11" width="16" hidden="0" customWidth="1"/>
  </x:cols>
  <x:sheetData>
    <x:row r="1">
      <x:c r="A1" s="24" t="str">
        <x:v>03 · BẢNG 2 – NPH VERIFIED</x:v>
      </x:c>
      <x:c r="B1" s="24"/>
      <x:c r="C1" s="24"/>
      <x:c r="D1" s="24"/>
      <x:c r="E1" s="24"/>
      <x:c r="F1" s="24"/>
      <x:c r="G1" s="24"/>
      <x:c r="H1" s="24"/>
      <x:c r="I1" s="24"/>
      <x:c r="J1" s="24"/>
      <x:c r="K1" s="24"/>
      <x:c r="L1" s="25"/>
      <x:c r="M1" s="25"/>
      <x:c r="N1" s="25"/>
    </x:row>
    <x:row r="2">
      <x:c r="A2" s="25"/>
      <x:c r="B2" s="25"/>
      <x:c r="C2" s="25"/>
      <x:c r="D2" s="25"/>
      <x:c r="E2" s="25"/>
      <x:c r="F2" s="25"/>
      <x:c r="G2" s="25"/>
      <x:c r="H2" s="25"/>
      <x:c r="I2" s="25"/>
      <x:c r="J2" s="25"/>
      <x:c r="K2" s="25"/>
      <x:c r="L2" s="25"/>
      <x:c r="M2" s="25"/>
      <x:c r="N2" s="25"/>
    </x:row>
    <x:row r="3">
      <x:c r="A3" s="26" t="str">
        <x:v>Ký hiệu</x:v>
      </x:c>
      <x:c r="B3" s="26" t="str">
        <x:v>D thân</x:v>
      </x:c>
      <x:c r="C3" s="26" t="str">
        <x:v>Dk,max</x:v>
      </x:c>
      <x:c r="D3" s="26" t="str">
        <x:v>t</x:v>
      </x:c>
      <x:c r="E3" s="26" t="str">
        <x:v>b/c/d</x:v>
      </x:c>
      <x:c r="F3" s="26" t="str">
        <x:v>Cấp</x:v>
      </x:c>
      <x:c r="G3" s="26" t="str">
        <x:v>Mcr</x:v>
      </x:c>
      <x:c r="H3" s="26" t="str">
        <x:v>σce</x:v>
      </x:c>
      <x:c r="I3" s="26" t="str">
        <x:v>Bền cắt</x:v>
      </x:c>
      <x:c r="J3" s="26" t="str">
        <x:v>Nguồn</x:v>
      </x:c>
      <x:c r="K3" s="26" t="str">
        <x:v>Trạng thái</x:v>
      </x:c>
      <x:c r="L3" s="25"/>
      <x:c r="M3" s="25"/>
      <x:c r="N3" s="25"/>
    </x:row>
    <x:row r="4">
      <x:c r="A4" s="25" t="str">
        <x:v>450-300</x:v>
      </x:c>
      <x:c r="B4" s="25" t="n">
        <x:v>300</x:v>
      </x:c>
      <x:c r="C4" s="25" t="n">
        <x:v>450</x:v>
      </x:c>
      <x:c r="D4" s="25" t="n">
        <x:v>60</x:v>
      </x:c>
      <x:c r="E4" s="25" t="n">
        <x:v>75</x:v>
      </x:c>
      <x:c r="F4" s="25" t="str">
        <x:v>A</x:v>
      </x:c>
      <x:c r="G4" s="25" t="n">
        <x:v>24.5</x:v>
      </x:c>
      <x:c r="H4" s="25" t="n">
        <x:v>4</x:v>
      </x:c>
      <x:c r="I4" s="25" t="n">
        <x:v>99.1</x:v>
      </x:c>
      <x:c r="J4" s="25" t="str">
        <x:v>Bảng 2 · trang 12</x:v>
      </x:c>
      <x:c r="K4" s="25" t="str">
        <x:v>VERIFIED</x:v>
      </x:c>
      <x:c r="L4" s="25"/>
      <x:c r="M4" s="25"/>
      <x:c r="N4" s="25"/>
    </x:row>
    <x:row r="5">
      <x:c r="A5" s="25" t="str">
        <x:v>450-300</x:v>
      </x:c>
      <x:c r="B5" s="25" t="n">
        <x:v>300</x:v>
      </x:c>
      <x:c r="C5" s="25" t="n">
        <x:v>450</x:v>
      </x:c>
      <x:c r="D5" s="25" t="n">
        <x:v>60</x:v>
      </x:c>
      <x:c r="E5" s="25" t="n">
        <x:v>75</x:v>
      </x:c>
      <x:c r="F5" s="25" t="str">
        <x:v>B</x:v>
      </x:c>
      <x:c r="G5" s="25" t="n">
        <x:v>34.3</x:v>
      </x:c>
      <x:c r="H5" s="25" t="n">
        <x:v>8</x:v>
      </x:c>
      <x:c r="I5" s="25" t="n">
        <x:v>125.6</x:v>
      </x:c>
      <x:c r="J5" s="25" t="str">
        <x:v>Bảng 2 · trang 12</x:v>
      </x:c>
      <x:c r="K5" s="25" t="str">
        <x:v>VERIFIED</x:v>
      </x:c>
      <x:c r="L5" s="25"/>
      <x:c r="M5" s="25"/>
      <x:c r="N5" s="25"/>
    </x:row>
    <x:row r="6">
      <x:c r="A6" s="25" t="str">
        <x:v>450-300</x:v>
      </x:c>
      <x:c r="B6" s="25" t="n">
        <x:v>300</x:v>
      </x:c>
      <x:c r="C6" s="25" t="n">
        <x:v>450</x:v>
      </x:c>
      <x:c r="D6" s="25" t="n">
        <x:v>60</x:v>
      </x:c>
      <x:c r="E6" s="25" t="n">
        <x:v>75</x:v>
      </x:c>
      <x:c r="F6" s="25" t="str">
        <x:v>C</x:v>
      </x:c>
      <x:c r="G6" s="25" t="n">
        <x:v>39.2</x:v>
      </x:c>
      <x:c r="H6" s="25" t="n">
        <x:v>10</x:v>
      </x:c>
      <x:c r="I6" s="25" t="n">
        <x:v>136.4</x:v>
      </x:c>
      <x:c r="J6" s="25" t="str">
        <x:v>Bảng 2 · trang 12</x:v>
      </x:c>
      <x:c r="K6" s="25" t="str">
        <x:v>VERIFIED</x:v>
      </x:c>
      <x:c r="L6" s="25"/>
      <x:c r="M6" s="25"/>
      <x:c r="N6" s="25"/>
    </x:row>
    <x:row r="7">
      <x:c r="A7" s="25" t="str">
        <x:v>550-400</x:v>
      </x:c>
      <x:c r="B7" s="25" t="n">
        <x:v>400</x:v>
      </x:c>
      <x:c r="C7" s="25" t="n">
        <x:v>550</x:v>
      </x:c>
      <x:c r="D7" s="25" t="n">
        <x:v>65</x:v>
      </x:c>
      <x:c r="E7" s="25" t="n">
        <x:v>75</x:v>
      </x:c>
      <x:c r="F7" s="25" t="str">
        <x:v>A</x:v>
      </x:c>
      <x:c r="G7" s="25" t="n">
        <x:v>54</x:v>
      </x:c>
      <x:c r="H7" s="25" t="n">
        <x:v>4</x:v>
      </x:c>
      <x:c r="I7" s="25" t="n">
        <x:v>148.1</x:v>
      </x:c>
      <x:c r="J7" s="25" t="str">
        <x:v>Bảng 2 · trang 12</x:v>
      </x:c>
      <x:c r="K7" s="25" t="str">
        <x:v>VERIFIED</x:v>
      </x:c>
      <x:c r="L7" s="25"/>
      <x:c r="M7" s="25"/>
      <x:c r="N7" s="25"/>
    </x:row>
    <x:row r="8">
      <x:c r="A8" s="25" t="str">
        <x:v>550-400</x:v>
      </x:c>
      <x:c r="B8" s="25" t="n">
        <x:v>400</x:v>
      </x:c>
      <x:c r="C8" s="25" t="n">
        <x:v>550</x:v>
      </x:c>
      <x:c r="D8" s="25" t="n">
        <x:v>65</x:v>
      </x:c>
      <x:c r="E8" s="25" t="n">
        <x:v>75</x:v>
      </x:c>
      <x:c r="F8" s="25" t="str">
        <x:v>B</x:v>
      </x:c>
      <x:c r="G8" s="25" t="n">
        <x:v>73.6</x:v>
      </x:c>
      <x:c r="H8" s="25" t="n">
        <x:v>8</x:v>
      </x:c>
      <x:c r="I8" s="25" t="n">
        <x:v>187.4</x:v>
      </x:c>
      <x:c r="J8" s="25" t="str">
        <x:v>Bảng 2 · trang 12</x:v>
      </x:c>
      <x:c r="K8" s="25" t="str">
        <x:v>VERIFIED</x:v>
      </x:c>
      <x:c r="L8" s="25"/>
      <x:c r="M8" s="25"/>
      <x:c r="N8" s="25"/>
    </x:row>
    <x:row r="9">
      <x:c r="A9" s="25" t="str">
        <x:v>550-400</x:v>
      </x:c>
      <x:c r="B9" s="25" t="n">
        <x:v>400</x:v>
      </x:c>
      <x:c r="C9" s="25" t="n">
        <x:v>550</x:v>
      </x:c>
      <x:c r="D9" s="25" t="n">
        <x:v>65</x:v>
      </x:c>
      <x:c r="E9" s="25" t="n">
        <x:v>75</x:v>
      </x:c>
      <x:c r="F9" s="25" t="str">
        <x:v>C</x:v>
      </x:c>
      <x:c r="G9" s="25" t="n">
        <x:v>88.3</x:v>
      </x:c>
      <x:c r="H9" s="25" t="n">
        <x:v>10</x:v>
      </x:c>
      <x:c r="I9" s="25" t="n">
        <x:v>204</x:v>
      </x:c>
      <x:c r="J9" s="25" t="str">
        <x:v>Bảng 2 · trang 12</x:v>
      </x:c>
      <x:c r="K9" s="25" t="str">
        <x:v>VERIFIED</x:v>
      </x:c>
      <x:c r="L9" s="25"/>
      <x:c r="M9" s="25"/>
      <x:c r="N9" s="25"/>
    </x:row>
    <x:row r="10">
      <x:c r="A10" s="25" t="str">
        <x:v>600-450</x:v>
      </x:c>
      <x:c r="B10" s="25" t="n">
        <x:v>450</x:v>
      </x:c>
      <x:c r="C10" s="25" t="n">
        <x:v>600</x:v>
      </x:c>
      <x:c r="D10" s="25" t="n">
        <x:v>70</x:v>
      </x:c>
      <x:c r="E10" s="25" t="n">
        <x:v>75</x:v>
      </x:c>
      <x:c r="F10" s="25" t="str">
        <x:v>A</x:v>
      </x:c>
      <x:c r="G10" s="25" t="n">
        <x:v>73.6</x:v>
      </x:c>
      <x:c r="H10" s="25" t="n">
        <x:v>4</x:v>
      </x:c>
      <x:c r="I10" s="25" t="n">
        <x:v>180.5</x:v>
      </x:c>
      <x:c r="J10" s="25" t="str">
        <x:v>Bảng 2 · trang 12</x:v>
      </x:c>
      <x:c r="K10" s="25" t="str">
        <x:v>VERIFIED</x:v>
      </x:c>
      <x:c r="L10" s="25"/>
      <x:c r="M10" s="25"/>
      <x:c r="N10" s="25"/>
    </x:row>
    <x:row r="11">
      <x:c r="A11" s="25" t="str">
        <x:v>600-450</x:v>
      </x:c>
      <x:c r="B11" s="25" t="n">
        <x:v>450</x:v>
      </x:c>
      <x:c r="C11" s="25" t="n">
        <x:v>600</x:v>
      </x:c>
      <x:c r="D11" s="25" t="n">
        <x:v>70</x:v>
      </x:c>
      <x:c r="E11" s="25" t="n">
        <x:v>75</x:v>
      </x:c>
      <x:c r="F11" s="25" t="str">
        <x:v>B</x:v>
      </x:c>
      <x:c r="G11" s="25" t="n">
        <x:v>107.9</x:v>
      </x:c>
      <x:c r="H11" s="25" t="n">
        <x:v>8</x:v>
      </x:c>
      <x:c r="I11" s="25" t="n">
        <x:v>227.6</x:v>
      </x:c>
      <x:c r="J11" s="25" t="str">
        <x:v>Bảng 2 · trang 12</x:v>
      </x:c>
      <x:c r="K11" s="25" t="str">
        <x:v>VERIFIED</x:v>
      </x:c>
      <x:c r="L11" s="25"/>
      <x:c r="M11" s="25"/>
      <x:c r="N11" s="25"/>
    </x:row>
    <x:row r="12">
      <x:c r="A12" s="25" t="str">
        <x:v>600-450</x:v>
      </x:c>
      <x:c r="B12" s="25" t="n">
        <x:v>450</x:v>
      </x:c>
      <x:c r="C12" s="25" t="n">
        <x:v>600</x:v>
      </x:c>
      <x:c r="D12" s="25" t="n">
        <x:v>70</x:v>
      </x:c>
      <x:c r="E12" s="25" t="n">
        <x:v>75</x:v>
      </x:c>
      <x:c r="F12" s="25" t="str">
        <x:v>C</x:v>
      </x:c>
      <x:c r="G12" s="25" t="n">
        <x:v>122.6</x:v>
      </x:c>
      <x:c r="H12" s="25" t="n">
        <x:v>10</x:v>
      </x:c>
      <x:c r="I12" s="25" t="n">
        <x:v>248.2</x:v>
      </x:c>
      <x:c r="J12" s="25" t="str">
        <x:v>Bảng 2 · trang 12</x:v>
      </x:c>
      <x:c r="K12" s="25" t="str">
        <x:v>VERIFIED</x:v>
      </x:c>
      <x:c r="L12" s="25"/>
      <x:c r="M12" s="25"/>
      <x:c r="N12" s="25"/>
    </x:row>
    <x:row r="13">
      <x:c r="A13" s="25" t="str">
        <x:v>650-500</x:v>
      </x:c>
      <x:c r="B13" s="25" t="n">
        <x:v>500</x:v>
      </x:c>
      <x:c r="C13" s="25" t="n">
        <x:v>650</x:v>
      </x:c>
      <x:c r="D13" s="25" t="n">
        <x:v>80</x:v>
      </x:c>
      <x:c r="E13" s="25" t="n">
        <x:v>75</x:v>
      </x:c>
      <x:c r="F13" s="25" t="str">
        <x:v>A</x:v>
      </x:c>
      <x:c r="G13" s="25" t="n">
        <x:v>103</x:v>
      </x:c>
      <x:c r="H13" s="25" t="n">
        <x:v>4</x:v>
      </x:c>
      <x:c r="I13" s="25" t="n">
        <x:v>228.6</x:v>
      </x:c>
      <x:c r="J13" s="25" t="str">
        <x:v>Bảng 2 · trang 12</x:v>
      </x:c>
      <x:c r="K13" s="25" t="str">
        <x:v>VERIFIED</x:v>
      </x:c>
      <x:c r="L13" s="25"/>
      <x:c r="M13" s="25"/>
      <x:c r="N13" s="25"/>
    </x:row>
    <x:row r="14">
      <x:c r="A14" s="25" t="str">
        <x:v>650-500</x:v>
      </x:c>
      <x:c r="B14" s="25" t="n">
        <x:v>500</x:v>
      </x:c>
      <x:c r="C14" s="25" t="n">
        <x:v>650</x:v>
      </x:c>
      <x:c r="D14" s="25" t="n">
        <x:v>80</x:v>
      </x:c>
      <x:c r="E14" s="25" t="n">
        <x:v>75</x:v>
      </x:c>
      <x:c r="F14" s="25" t="str">
        <x:v>B</x:v>
      </x:c>
      <x:c r="G14" s="25" t="n">
        <x:v>147.2</x:v>
      </x:c>
      <x:c r="H14" s="25" t="n">
        <x:v>8</x:v>
      </x:c>
      <x:c r="I14" s="25" t="n">
        <x:v>288.4</x:v>
      </x:c>
      <x:c r="J14" s="25" t="str">
        <x:v>Bảng 2 · trang 12</x:v>
      </x:c>
      <x:c r="K14" s="25" t="str">
        <x:v>VERIFIED</x:v>
      </x:c>
      <x:c r="L14" s="25"/>
      <x:c r="M14" s="25"/>
      <x:c r="N14" s="25"/>
    </x:row>
    <x:row r="15">
      <x:c r="A15" s="25" t="str">
        <x:v>650-500</x:v>
      </x:c>
      <x:c r="B15" s="25" t="n">
        <x:v>500</x:v>
      </x:c>
      <x:c r="C15" s="25" t="n">
        <x:v>650</x:v>
      </x:c>
      <x:c r="D15" s="25" t="n">
        <x:v>80</x:v>
      </x:c>
      <x:c r="E15" s="25" t="n">
        <x:v>75</x:v>
      </x:c>
      <x:c r="F15" s="25" t="str">
        <x:v>C</x:v>
      </x:c>
      <x:c r="G15" s="25" t="n">
        <x:v>166.8</x:v>
      </x:c>
      <x:c r="H15" s="25" t="n">
        <x:v>10</x:v>
      </x:c>
      <x:c r="I15" s="25" t="n">
        <x:v>313.9</x:v>
      </x:c>
      <x:c r="J15" s="25" t="str">
        <x:v>Bảng 2 · trang 12</x:v>
      </x:c>
      <x:c r="K15" s="25" t="str">
        <x:v>VERIFIED</x:v>
      </x:c>
      <x:c r="L15" s="25"/>
      <x:c r="M15" s="25"/>
      <x:c r="N15" s="25"/>
    </x:row>
    <x:row r="16">
      <x:c r="A16" s="25" t="str">
        <x:v>800-600</x:v>
      </x:c>
      <x:c r="B16" s="25" t="n">
        <x:v>600</x:v>
      </x:c>
      <x:c r="C16" s="25" t="n">
        <x:v>800</x:v>
      </x:c>
      <x:c r="D16" s="25" t="n">
        <x:v>90</x:v>
      </x:c>
      <x:c r="E16" s="25" t="n">
        <x:v>100</x:v>
      </x:c>
      <x:c r="F16" s="25" t="str">
        <x:v>A</x:v>
      </x:c>
      <x:c r="G16" s="25" t="n">
        <x:v>166.8</x:v>
      </x:c>
      <x:c r="H16" s="25" t="n">
        <x:v>4</x:v>
      </x:c>
      <x:c r="I16" s="25" t="n">
        <x:v>311</x:v>
      </x:c>
      <x:c r="J16" s="25" t="str">
        <x:v>Bảng 2 · trang 12</x:v>
      </x:c>
      <x:c r="K16" s="25" t="str">
        <x:v>VERIFIED</x:v>
      </x:c>
      <x:c r="L16" s="25"/>
      <x:c r="M16" s="25"/>
      <x:c r="N16" s="25"/>
    </x:row>
    <x:row r="17">
      <x:c r="A17" s="25" t="str">
        <x:v>800-600</x:v>
      </x:c>
      <x:c r="B17" s="25" t="n">
        <x:v>600</x:v>
      </x:c>
      <x:c r="C17" s="25" t="n">
        <x:v>800</x:v>
      </x:c>
      <x:c r="D17" s="25" t="n">
        <x:v>90</x:v>
      </x:c>
      <x:c r="E17" s="25" t="n">
        <x:v>100</x:v>
      </x:c>
      <x:c r="F17" s="25" t="str">
        <x:v>B</x:v>
      </x:c>
      <x:c r="G17" s="25" t="n">
        <x:v>245.2</x:v>
      </x:c>
      <x:c r="H17" s="25" t="n">
        <x:v>8</x:v>
      </x:c>
      <x:c r="I17" s="25" t="n">
        <x:v>392.4</x:v>
      </x:c>
      <x:c r="J17" s="25" t="str">
        <x:v>Bảng 2 · trang 12</x:v>
      </x:c>
      <x:c r="K17" s="25" t="str">
        <x:v>VERIFIED</x:v>
      </x:c>
      <x:c r="L17" s="25"/>
      <x:c r="M17" s="25"/>
      <x:c r="N17" s="25"/>
    </x:row>
    <x:row r="18">
      <x:c r="A18" s="25" t="str">
        <x:v>800-600</x:v>
      </x:c>
      <x:c r="B18" s="25" t="n">
        <x:v>600</x:v>
      </x:c>
      <x:c r="C18" s="25" t="n">
        <x:v>800</x:v>
      </x:c>
      <x:c r="D18" s="25" t="n">
        <x:v>90</x:v>
      </x:c>
      <x:c r="E18" s="25" t="n">
        <x:v>100</x:v>
      </x:c>
      <x:c r="F18" s="25" t="str">
        <x:v>C</x:v>
      </x:c>
      <x:c r="G18" s="25" t="n">
        <x:v>284.5</x:v>
      </x:c>
      <x:c r="H18" s="25" t="n">
        <x:v>10</x:v>
      </x:c>
      <x:c r="I18" s="25" t="n">
        <x:v>427.7</x:v>
      </x:c>
      <x:c r="J18" s="25" t="str">
        <x:v>Bảng 2 · trang 12</x:v>
      </x:c>
      <x:c r="K18" s="25" t="str">
        <x:v>VERIFIED</x:v>
      </x:c>
      <x:c r="L18" s="25"/>
      <x:c r="M18" s="25"/>
      <x:c r="N18" s="25"/>
    </x:row>
    <x:row r="19">
      <x:c r="A19" s="25" t="str">
        <x:v>900-700</x:v>
      </x:c>
      <x:c r="B19" s="25" t="n">
        <x:v>700</x:v>
      </x:c>
      <x:c r="C19" s="25" t="n">
        <x:v>900</x:v>
      </x:c>
      <x:c r="D19" s="25" t="n">
        <x:v>100</x:v>
      </x:c>
      <x:c r="E19" s="25" t="n">
        <x:v>100</x:v>
      </x:c>
      <x:c r="F19" s="25" t="str">
        <x:v>A</x:v>
      </x:c>
      <x:c r="G19" s="25" t="n">
        <x:v>264.9</x:v>
      </x:c>
      <x:c r="H19" s="25" t="n">
        <x:v>4</x:v>
      </x:c>
      <x:c r="I19" s="25" t="n">
        <x:v>406.1</x:v>
      </x:c>
      <x:c r="J19" s="25" t="str">
        <x:v>Bảng 2 · trang 12</x:v>
      </x:c>
      <x:c r="K19" s="25" t="str">
        <x:v>VERIFIED</x:v>
      </x:c>
      <x:c r="L19" s="25"/>
      <x:c r="M19" s="25"/>
      <x:c r="N19" s="25"/>
    </x:row>
    <x:row r="20">
      <x:c r="A20" s="25" t="str">
        <x:v>900-700</x:v>
      </x:c>
      <x:c r="B20" s="25" t="n">
        <x:v>700</x:v>
      </x:c>
      <x:c r="C20" s="25" t="n">
        <x:v>900</x:v>
      </x:c>
      <x:c r="D20" s="25" t="n">
        <x:v>100</x:v>
      </x:c>
      <x:c r="E20" s="25" t="n">
        <x:v>100</x:v>
      </x:c>
      <x:c r="F20" s="25" t="str">
        <x:v>B</x:v>
      </x:c>
      <x:c r="G20" s="25" t="n">
        <x:v>372.8</x:v>
      </x:c>
      <x:c r="H20" s="25" t="n">
        <x:v>8</x:v>
      </x:c>
      <x:c r="I20" s="25" t="n">
        <x:v>512.1</x:v>
      </x:c>
      <x:c r="J20" s="25" t="str">
        <x:v>Bảng 2 · trang 12</x:v>
      </x:c>
      <x:c r="K20" s="25" t="str">
        <x:v>VERIFIED</x:v>
      </x:c>
      <x:c r="L20" s="25"/>
      <x:c r="M20" s="25"/>
      <x:c r="N20" s="25"/>
    </x:row>
    <x:row r="21">
      <x:c r="A21" s="25" t="str">
        <x:v>900-700</x:v>
      </x:c>
      <x:c r="B21" s="25" t="n">
        <x:v>700</x:v>
      </x:c>
      <x:c r="C21" s="25" t="n">
        <x:v>900</x:v>
      </x:c>
      <x:c r="D21" s="25" t="n">
        <x:v>100</x:v>
      </x:c>
      <x:c r="E21" s="25" t="n">
        <x:v>100</x:v>
      </x:c>
      <x:c r="F21" s="25" t="str">
        <x:v>C</x:v>
      </x:c>
      <x:c r="G21" s="25" t="n">
        <x:v>441.4</x:v>
      </x:c>
      <x:c r="H21" s="25" t="n">
        <x:v>10</x:v>
      </x:c>
      <x:c r="I21" s="25" t="n">
        <x:v>557.2</x:v>
      </x:c>
      <x:c r="J21" s="25" t="str">
        <x:v>Bảng 2 · trang 12</x:v>
      </x:c>
      <x:c r="K21" s="25" t="str">
        <x:v>VERIFIED</x:v>
      </x:c>
      <x:c r="L21" s="25"/>
      <x:c r="M21" s="25"/>
      <x:c r="N21" s="25"/>
    </x:row>
    <x:row r="22">
      <x:c r="A22" s="25" t="str">
        <x:v>1000-800</x:v>
      </x:c>
      <x:c r="B22" s="25" t="n">
        <x:v>800</x:v>
      </x:c>
      <x:c r="C22" s="25" t="n">
        <x:v>1000</x:v>
      </x:c>
      <x:c r="D22" s="25" t="n">
        <x:v>110</x:v>
      </x:c>
      <x:c r="E22" s="25" t="n">
        <x:v>100</x:v>
      </x:c>
      <x:c r="F22" s="25" t="str">
        <x:v>A</x:v>
      </x:c>
      <x:c r="G22" s="25" t="n">
        <x:v>392.4</x:v>
      </x:c>
      <x:c r="H22" s="25" t="n">
        <x:v>4</x:v>
      </x:c>
      <x:c r="I22" s="25" t="n">
        <x:v>512.1</x:v>
      </x:c>
      <x:c r="J22" s="25" t="str">
        <x:v>Bảng 2 · trang 12</x:v>
      </x:c>
      <x:c r="K22" s="25" t="str">
        <x:v>VERIFIED</x:v>
      </x:c>
      <x:c r="L22" s="25"/>
      <x:c r="M22" s="25"/>
      <x:c r="N22" s="25"/>
    </x:row>
    <x:row r="23">
      <x:c r="A23" s="25" t="str">
        <x:v>1000-800</x:v>
      </x:c>
      <x:c r="B23" s="25" t="n">
        <x:v>800</x:v>
      </x:c>
      <x:c r="C23" s="25" t="n">
        <x:v>1000</x:v>
      </x:c>
      <x:c r="D23" s="25" t="n">
        <x:v>110</x:v>
      </x:c>
      <x:c r="E23" s="25" t="n">
        <x:v>100</x:v>
      </x:c>
      <x:c r="F23" s="25" t="str">
        <x:v>B</x:v>
      </x:c>
      <x:c r="G23" s="25" t="n">
        <x:v>539.6</x:v>
      </x:c>
      <x:c r="H23" s="25" t="n">
        <x:v>8</x:v>
      </x:c>
      <x:c r="I23" s="25" t="n">
        <x:v>646.5</x:v>
      </x:c>
      <x:c r="J23" s="25" t="str">
        <x:v>Bảng 2 · trang 12</x:v>
      </x:c>
      <x:c r="K23" s="25" t="str">
        <x:v>VERIFIED</x:v>
      </x:c>
      <x:c r="L23" s="25"/>
      <x:c r="M23" s="25"/>
      <x:c r="N23" s="25"/>
    </x:row>
    <x:row r="24">
      <x:c r="A24" s="25" t="str">
        <x:v>1000-800</x:v>
      </x:c>
      <x:c r="B24" s="25" t="n">
        <x:v>800</x:v>
      </x:c>
      <x:c r="C24" s="25" t="n">
        <x:v>1000</x:v>
      </x:c>
      <x:c r="D24" s="25" t="n">
        <x:v>110</x:v>
      </x:c>
      <x:c r="E24" s="25" t="n">
        <x:v>100</x:v>
      </x:c>
      <x:c r="F24" s="25" t="str">
        <x:v>C</x:v>
      </x:c>
      <x:c r="G24" s="25" t="n">
        <x:v>637.6</x:v>
      </x:c>
      <x:c r="H24" s="25" t="n">
        <x:v>10</x:v>
      </x:c>
      <x:c r="I24" s="25" t="n">
        <x:v>704.4</x:v>
      </x:c>
      <x:c r="J24" s="25" t="str">
        <x:v>Bảng 2 · trang 12</x:v>
      </x:c>
      <x:c r="K24" s="25" t="str">
        <x:v>VERIFIED</x:v>
      </x:c>
      <x:c r="L24" s="25"/>
      <x:c r="M24" s="25"/>
      <x:c r="N24" s="25"/>
    </x:row>
    <x:row r="25">
      <x:c r="A25" s="25" t="str">
        <x:v>1100-900</x:v>
      </x:c>
      <x:c r="B25" s="25" t="n">
        <x:v>900</x:v>
      </x:c>
      <x:c r="C25" s="25" t="n">
        <x:v>1100</x:v>
      </x:c>
      <x:c r="D25" s="25" t="n">
        <x:v>120</x:v>
      </x:c>
      <x:c r="E25" s="25" t="n">
        <x:v>100</x:v>
      </x:c>
      <x:c r="F25" s="25" t="str">
        <x:v>A</x:v>
      </x:c>
      <x:c r="G25" s="25" t="n">
        <x:v>735.8</x:v>
      </x:c>
      <x:c r="H25" s="25" t="n">
        <x:v>4</x:v>
      </x:c>
      <x:c r="I25" s="25" t="n">
        <x:v>762.2</x:v>
      </x:c>
      <x:c r="J25" s="25" t="str">
        <x:v>Bảng 2 · trang 12</x:v>
      </x:c>
      <x:c r="K25" s="25" t="str">
        <x:v>VERIFIED</x:v>
      </x:c>
      <x:c r="L25" s="25"/>
      <x:c r="M25" s="25"/>
      <x:c r="N25" s="25"/>
    </x:row>
    <x:row r="26">
      <x:c r="A26" s="25" t="str">
        <x:v>1100-900</x:v>
      </x:c>
      <x:c r="B26" s="25" t="n">
        <x:v>900</x:v>
      </x:c>
      <x:c r="C26" s="25" t="n">
        <x:v>1100</x:v>
      </x:c>
      <x:c r="D26" s="25" t="n">
        <x:v>120</x:v>
      </x:c>
      <x:c r="E26" s="25" t="n">
        <x:v>100</x:v>
      </x:c>
      <x:c r="F26" s="25" t="str">
        <x:v>B</x:v>
      </x:c>
      <x:c r="G26" s="25" t="n">
        <x:v>1030</x:v>
      </x:c>
      <x:c r="H26" s="25" t="n">
        <x:v>8</x:v>
      </x:c>
      <x:c r="I26" s="25" t="n">
        <x:v>961.4</x:v>
      </x:c>
      <x:c r="J26" s="25" t="str">
        <x:v>Bảng 2 · trang 12</x:v>
      </x:c>
      <x:c r="K26" s="25" t="str">
        <x:v>VERIFIED</x:v>
      </x:c>
      <x:c r="L26" s="25"/>
      <x:c r="M26" s="25"/>
      <x:c r="N26" s="25"/>
    </x:row>
    <x:row r="27">
      <x:c r="A27" s="25" t="str">
        <x:v>1100-900</x:v>
      </x:c>
      <x:c r="B27" s="25" t="n">
        <x:v>900</x:v>
      </x:c>
      <x:c r="C27" s="25" t="n">
        <x:v>1100</x:v>
      </x:c>
      <x:c r="D27" s="25" t="n">
        <x:v>120</x:v>
      </x:c>
      <x:c r="E27" s="25" t="n">
        <x:v>100</x:v>
      </x:c>
      <x:c r="F27" s="25" t="str">
        <x:v>C</x:v>
      </x:c>
      <x:c r="G27" s="25" t="n">
        <x:v>1177</x:v>
      </x:c>
      <x:c r="H27" s="25" t="n">
        <x:v>10</x:v>
      </x:c>
      <x:c r="I27" s="25" t="n">
        <x:v>1047</x:v>
      </x:c>
      <x:c r="J27" s="25" t="str">
        <x:v>Bảng 2 · trang 12</x:v>
      </x:c>
      <x:c r="K27" s="25" t="str">
        <x:v>VERIFIED</x:v>
      </x:c>
      <x:c r="L27" s="25"/>
      <x:c r="M27" s="25"/>
      <x:c r="N27" s="25"/>
    </x:row>
    <x:row r="28">
      <x:c r="A28" s="25" t="str">
        <x:v>1200-1000</x:v>
      </x:c>
      <x:c r="B28" s="25" t="n">
        <x:v>1000</x:v>
      </x:c>
      <x:c r="C28" s="25" t="n">
        <x:v>1200</x:v>
      </x:c>
      <x:c r="D28" s="25" t="n">
        <x:v>130</x:v>
      </x:c>
      <x:c r="E28" s="25" t="n">
        <x:v>100</x:v>
      </x:c>
      <x:c r="F28" s="25" t="str">
        <x:v>A</x:v>
      </x:c>
      <x:c r="G28" s="25" t="n">
        <x:v>1177</x:v>
      </x:c>
      <x:c r="H28" s="25" t="n">
        <x:v>4</x:v>
      </x:c>
      <x:c r="I28" s="25" t="n">
        <x:v>1059</x:v>
      </x:c>
      <x:c r="J28" s="25" t="str">
        <x:v>Bảng 2 · trang 12</x:v>
      </x:c>
      <x:c r="K28" s="25" t="str">
        <x:v>VERIFIED</x:v>
      </x:c>
      <x:c r="L28" s="25"/>
      <x:c r="M28" s="25"/>
      <x:c r="N28" s="25"/>
    </x:row>
    <x:row r="29">
      <x:c r="A29" s="25" t="str">
        <x:v>1200-1000</x:v>
      </x:c>
      <x:c r="B29" s="25" t="n">
        <x:v>1000</x:v>
      </x:c>
      <x:c r="C29" s="25" t="n">
        <x:v>1200</x:v>
      </x:c>
      <x:c r="D29" s="25" t="n">
        <x:v>130</x:v>
      </x:c>
      <x:c r="E29" s="25" t="n">
        <x:v>100</x:v>
      </x:c>
      <x:c r="F29" s="25" t="str">
        <x:v>B</x:v>
      </x:c>
      <x:c r="G29" s="25" t="n">
        <x:v>1668</x:v>
      </x:c>
      <x:c r="H29" s="25" t="n">
        <x:v>8</x:v>
      </x:c>
      <x:c r="I29" s="25" t="n">
        <x:v>1337</x:v>
      </x:c>
      <x:c r="J29" s="25" t="str">
        <x:v>Bảng 2 · trang 12</x:v>
      </x:c>
      <x:c r="K29" s="25" t="str">
        <x:v>VERIFIED</x:v>
      </x:c>
      <x:c r="L29" s="25"/>
      <x:c r="M29" s="25"/>
      <x:c r="N29" s="25"/>
    </x:row>
    <x:row r="30">
      <x:c r="A30" s="25" t="str">
        <x:v>1200-1000</x:v>
      </x:c>
      <x:c r="B30" s="25" t="n">
        <x:v>1000</x:v>
      </x:c>
      <x:c r="C30" s="25" t="n">
        <x:v>1200</x:v>
      </x:c>
      <x:c r="D30" s="25" t="n">
        <x:v>130</x:v>
      </x:c>
      <x:c r="E30" s="25" t="n">
        <x:v>100</x:v>
      </x:c>
      <x:c r="F30" s="25" t="str">
        <x:v>C</x:v>
      </x:c>
      <x:c r="G30" s="25" t="n">
        <x:v>1962</x:v>
      </x:c>
      <x:c r="H30" s="25" t="n">
        <x:v>10</x:v>
      </x:c>
      <x:c r="I30" s="25" t="n">
        <x:v>1457</x:v>
      </x:c>
      <x:c r="J30" s="25" t="str">
        <x:v>Bảng 2 · trang 12</x:v>
      </x:c>
      <x:c r="K30" s="25" t="str">
        <x:v>VERIFIED</x:v>
      </x:c>
      <x:c r="L30" s="25"/>
      <x:c r="M30" s="25"/>
      <x:c r="N30" s="25"/>
    </x:row>
    <x:row r="31">
      <x:c r="A31" s="25"/>
      <x:c r="B31" s="25"/>
      <x:c r="C31" s="25"/>
      <x:c r="D31" s="25"/>
      <x:c r="E31" s="25"/>
      <x:c r="F31" s="25"/>
      <x:c r="G31" s="25"/>
      <x:c r="H31" s="25"/>
      <x:c r="I31" s="25"/>
      <x:c r="J31" s="25"/>
      <x:c r="K31" s="25"/>
      <x:c r="L31" s="25"/>
      <x:c r="M31" s="25"/>
      <x:c r="N31" s="25"/>
    </x:row>
    <x:row r="32">
      <x:c r="A32" s="25"/>
      <x:c r="B32" s="25"/>
      <x:c r="C32" s="25"/>
      <x:c r="D32" s="25"/>
      <x:c r="E32" s="25"/>
      <x:c r="F32" s="25"/>
      <x:c r="G32" s="25"/>
      <x:c r="H32" s="25"/>
      <x:c r="I32" s="25"/>
      <x:c r="J32" s="25"/>
      <x:c r="K32" s="25"/>
      <x:c r="L32" s="25"/>
      <x:c r="M32" s="25"/>
      <x:c r="N32" s="25"/>
    </x:row>
    <x:row r="33">
      <x:c r="A33" s="25"/>
      <x:c r="B33" s="25"/>
      <x:c r="C33" s="25"/>
      <x:c r="D33" s="25"/>
      <x:c r="E33" s="25"/>
      <x:c r="F33" s="25"/>
      <x:c r="G33" s="25"/>
      <x:c r="H33" s="25"/>
      <x:c r="I33" s="25"/>
      <x:c r="J33" s="25"/>
      <x:c r="K33" s="25"/>
      <x:c r="L33" s="25"/>
      <x:c r="M33" s="25"/>
      <x:c r="N33" s="25"/>
    </x:row>
    <x:row r="34">
      <x:c r="A34" s="25"/>
      <x:c r="B34" s="25"/>
      <x:c r="C34" s="25"/>
      <x:c r="D34" s="25"/>
      <x:c r="E34" s="25"/>
      <x:c r="F34" s="25"/>
      <x:c r="G34" s="25"/>
      <x:c r="H34" s="25"/>
      <x:c r="I34" s="25"/>
      <x:c r="J34" s="25"/>
      <x:c r="K34" s="25"/>
      <x:c r="L34" s="25"/>
      <x:c r="M34" s="25"/>
      <x:c r="N34" s="25"/>
    </x:row>
    <x:row r="35">
      <x:c r="A35" s="25"/>
      <x:c r="B35" s="25"/>
      <x:c r="C35" s="25"/>
      <x:c r="D35" s="25"/>
      <x:c r="E35" s="25"/>
      <x:c r="F35" s="25"/>
      <x:c r="G35" s="25"/>
      <x:c r="H35" s="25"/>
      <x:c r="I35" s="25"/>
      <x:c r="J35" s="25"/>
      <x:c r="K35" s="25"/>
      <x:c r="L35" s="25"/>
      <x:c r="M35" s="25"/>
      <x:c r="N35" s="25"/>
    </x:row>
    <x:row r="36">
      <x:c r="A36" s="25"/>
      <x:c r="B36" s="25"/>
      <x:c r="C36" s="25"/>
      <x:c r="D36" s="25"/>
      <x:c r="E36" s="25"/>
      <x:c r="F36" s="25"/>
      <x:c r="G36" s="25"/>
      <x:c r="H36" s="25"/>
      <x:c r="I36" s="25"/>
      <x:c r="J36" s="25"/>
      <x:c r="K36" s="25"/>
      <x:c r="L36" s="25"/>
      <x:c r="M36" s="25"/>
      <x:c r="N36" s="25"/>
    </x:row>
    <x:row r="37">
      <x:c r="A37" s="25"/>
      <x:c r="B37" s="25"/>
      <x:c r="C37" s="25"/>
      <x:c r="D37" s="25"/>
      <x:c r="E37" s="25"/>
      <x:c r="F37" s="25"/>
      <x:c r="G37" s="25"/>
      <x:c r="H37" s="25"/>
      <x:c r="I37" s="25"/>
      <x:c r="J37" s="25"/>
      <x:c r="K37" s="25"/>
      <x:c r="L37" s="25"/>
      <x:c r="M37" s="25"/>
      <x:c r="N37" s="25"/>
    </x:row>
    <x:row r="38">
      <x:c r="A38" s="25"/>
      <x:c r="B38" s="25"/>
      <x:c r="C38" s="25"/>
      <x:c r="D38" s="25"/>
      <x:c r="E38" s="25"/>
      <x:c r="F38" s="25"/>
      <x:c r="G38" s="25"/>
      <x:c r="H38" s="25"/>
      <x:c r="I38" s="25"/>
      <x:c r="J38" s="25"/>
      <x:c r="K38" s="25"/>
      <x:c r="L38" s="25"/>
      <x:c r="M38" s="25"/>
      <x:c r="N38" s="25"/>
    </x:row>
    <x:row r="39">
      <x:c r="A39" s="25"/>
      <x:c r="B39" s="25"/>
      <x:c r="C39" s="25"/>
      <x:c r="D39" s="25"/>
      <x:c r="E39" s="25"/>
      <x:c r="F39" s="25"/>
      <x:c r="G39" s="25"/>
      <x:c r="H39" s="25"/>
      <x:c r="I39" s="25"/>
      <x:c r="J39" s="25"/>
      <x:c r="K39" s="25"/>
      <x:c r="L39" s="25"/>
      <x:c r="M39" s="25"/>
      <x:c r="N39" s="25"/>
    </x:row>
    <x:row r="40">
      <x:c r="A40" s="25"/>
      <x:c r="B40" s="25"/>
      <x:c r="C40" s="25"/>
      <x:c r="D40" s="25"/>
      <x:c r="E40" s="25"/>
      <x:c r="F40" s="25"/>
      <x:c r="G40" s="25"/>
      <x:c r="H40" s="25"/>
      <x:c r="I40" s="25"/>
      <x:c r="J40" s="25"/>
      <x:c r="K40" s="25"/>
      <x:c r="L40" s="25"/>
      <x:c r="M40" s="25"/>
      <x:c r="N40" s="25"/>
    </x:row>
    <x:row r="41">
      <x:c r="A41" s="25"/>
      <x:c r="B41" s="25"/>
      <x:c r="C41" s="25"/>
      <x:c r="D41" s="25"/>
      <x:c r="E41" s="25"/>
      <x:c r="F41" s="25"/>
      <x:c r="G41" s="25"/>
      <x:c r="H41" s="25"/>
      <x:c r="I41" s="25"/>
      <x:c r="J41" s="25"/>
      <x:c r="K41" s="25"/>
      <x:c r="L41" s="25"/>
      <x:c r="M41" s="25"/>
      <x:c r="N41" s="25"/>
    </x:row>
    <x:row r="42">
      <x:c r="A42" s="25"/>
      <x:c r="B42" s="25"/>
      <x:c r="C42" s="25"/>
      <x:c r="D42" s="25"/>
      <x:c r="E42" s="25"/>
      <x:c r="F42" s="25"/>
      <x:c r="G42" s="25"/>
      <x:c r="H42" s="25"/>
      <x:c r="I42" s="25"/>
      <x:c r="J42" s="25"/>
      <x:c r="K42" s="25"/>
      <x:c r="L42" s="25"/>
      <x:c r="M42" s="25"/>
      <x:c r="N42" s="25"/>
    </x:row>
    <x:row r="43">
      <x:c r="A43" s="25"/>
      <x:c r="B43" s="25"/>
      <x:c r="C43" s="25"/>
      <x:c r="D43" s="25"/>
      <x:c r="E43" s="25"/>
      <x:c r="F43" s="25"/>
      <x:c r="G43" s="25"/>
      <x:c r="H43" s="25"/>
      <x:c r="I43" s="25"/>
      <x:c r="J43" s="25"/>
      <x:c r="K43" s="25"/>
      <x:c r="L43" s="25"/>
      <x:c r="M43" s="25"/>
      <x:c r="N43" s="25"/>
    </x:row>
    <x:row r="44">
      <x:c r="A44" s="25"/>
      <x:c r="B44" s="25"/>
      <x:c r="C44" s="25"/>
      <x:c r="D44" s="25"/>
      <x:c r="E44" s="25"/>
      <x:c r="F44" s="25"/>
      <x:c r="G44" s="25"/>
      <x:c r="H44" s="25"/>
      <x:c r="I44" s="25"/>
      <x:c r="J44" s="25"/>
      <x:c r="K44" s="25"/>
      <x:c r="L44" s="25"/>
      <x:c r="M44" s="25"/>
      <x:c r="N44" s="25"/>
    </x:row>
    <x:row r="45">
      <x:c r="A45" s="25"/>
      <x:c r="B45" s="25"/>
      <x:c r="C45" s="25"/>
      <x:c r="D45" s="25"/>
      <x:c r="E45" s="25"/>
      <x:c r="F45" s="25"/>
      <x:c r="G45" s="25"/>
      <x:c r="H45" s="25"/>
      <x:c r="I45" s="25"/>
      <x:c r="J45" s="25"/>
      <x:c r="K45" s="25"/>
      <x:c r="L45" s="25"/>
      <x:c r="M45" s="25"/>
      <x:c r="N45" s="25"/>
    </x:row>
    <x:row r="46">
      <x:c r="A46" s="25"/>
      <x:c r="B46" s="25"/>
      <x:c r="C46" s="25"/>
      <x:c r="D46" s="25"/>
      <x:c r="E46" s="25"/>
      <x:c r="F46" s="25"/>
      <x:c r="G46" s="25"/>
      <x:c r="H46" s="25"/>
      <x:c r="I46" s="25"/>
      <x:c r="J46" s="25"/>
      <x:c r="K46" s="25"/>
      <x:c r="L46" s="25"/>
      <x:c r="M46" s="25"/>
      <x:c r="N46" s="25"/>
    </x:row>
    <x:row r="47">
      <x:c r="A47" s="25"/>
      <x:c r="B47" s="25"/>
      <x:c r="C47" s="25"/>
      <x:c r="D47" s="25"/>
      <x:c r="E47" s="25"/>
      <x:c r="F47" s="25"/>
      <x:c r="G47" s="25"/>
      <x:c r="H47" s="25"/>
      <x:c r="I47" s="25"/>
      <x:c r="J47" s="25"/>
      <x:c r="K47" s="25"/>
      <x:c r="L47" s="25"/>
      <x:c r="M47" s="25"/>
      <x:c r="N47" s="25"/>
    </x:row>
    <x:row r="48">
      <x:c r="A48" s="25"/>
      <x:c r="B48" s="25"/>
      <x:c r="C48" s="25"/>
      <x:c r="D48" s="25"/>
      <x:c r="E48" s="25"/>
      <x:c r="F48" s="25"/>
      <x:c r="G48" s="25"/>
      <x:c r="H48" s="25"/>
      <x:c r="I48" s="25"/>
      <x:c r="J48" s="25"/>
      <x:c r="K48" s="25"/>
      <x:c r="L48" s="25"/>
      <x:c r="M48" s="25"/>
      <x:c r="N48" s="25"/>
    </x:row>
    <x:row r="49">
      <x:c r="A49" s="25"/>
      <x:c r="B49" s="25"/>
      <x:c r="C49" s="25"/>
      <x:c r="D49" s="25"/>
      <x:c r="E49" s="25"/>
      <x:c r="F49" s="25"/>
      <x:c r="G49" s="25"/>
      <x:c r="H49" s="25"/>
      <x:c r="I49" s="25"/>
      <x:c r="J49" s="25"/>
      <x:c r="K49" s="25"/>
      <x:c r="L49" s="25"/>
      <x:c r="M49" s="25"/>
      <x:c r="N49" s="25"/>
    </x:row>
    <x:row r="50">
      <x:c r="A50" s="25"/>
      <x:c r="B50" s="25"/>
      <x:c r="C50" s="25"/>
      <x:c r="D50" s="25"/>
      <x:c r="E50" s="25"/>
      <x:c r="F50" s="25"/>
      <x:c r="G50" s="25"/>
      <x:c r="H50" s="25"/>
      <x:c r="I50" s="25"/>
      <x:c r="J50" s="25"/>
      <x:c r="K50" s="25"/>
      <x:c r="L50" s="25"/>
      <x:c r="M50" s="25"/>
      <x:c r="N50" s="25"/>
    </x:row>
    <x:row r="51">
      <x:c r="A51" s="25"/>
      <x:c r="B51" s="25"/>
      <x:c r="C51" s="25"/>
      <x:c r="D51" s="25"/>
      <x:c r="E51" s="25"/>
      <x:c r="F51" s="25"/>
      <x:c r="G51" s="25"/>
      <x:c r="H51" s="25"/>
      <x:c r="I51" s="25"/>
      <x:c r="J51" s="25"/>
      <x:c r="K51" s="25"/>
      <x:c r="L51" s="25"/>
      <x:c r="M51" s="25"/>
      <x:c r="N51" s="25"/>
    </x:row>
    <x:row r="52">
      <x:c r="A52" s="25"/>
      <x:c r="B52" s="25"/>
      <x:c r="C52" s="25"/>
      <x:c r="D52" s="25"/>
      <x:c r="E52" s="25"/>
      <x:c r="F52" s="25"/>
      <x:c r="G52" s="25"/>
      <x:c r="H52" s="25"/>
      <x:c r="I52" s="25"/>
      <x:c r="J52" s="25"/>
      <x:c r="K52" s="25"/>
      <x:c r="L52" s="25"/>
      <x:c r="M52" s="25"/>
      <x:c r="N52" s="25"/>
    </x:row>
    <x:row r="53">
      <x:c r="A53" s="25"/>
      <x:c r="B53" s="25"/>
      <x:c r="C53" s="25"/>
      <x:c r="D53" s="25"/>
      <x:c r="E53" s="25"/>
      <x:c r="F53" s="25"/>
      <x:c r="G53" s="25"/>
      <x:c r="H53" s="25"/>
      <x:c r="I53" s="25"/>
      <x:c r="J53" s="25"/>
      <x:c r="K53" s="25"/>
      <x:c r="L53" s="25"/>
      <x:c r="M53" s="25"/>
      <x:c r="N53" s="25"/>
    </x:row>
    <x:row r="54">
      <x:c r="A54" s="25"/>
      <x:c r="B54" s="25"/>
      <x:c r="C54" s="25"/>
      <x:c r="D54" s="25"/>
      <x:c r="E54" s="25"/>
      <x:c r="F54" s="25"/>
      <x:c r="G54" s="25"/>
      <x:c r="H54" s="25"/>
      <x:c r="I54" s="25"/>
      <x:c r="J54" s="25"/>
      <x:c r="K54" s="25"/>
      <x:c r="L54" s="25"/>
      <x:c r="M54" s="25"/>
      <x:c r="N54" s="25"/>
    </x:row>
    <x:row r="55">
      <x:c r="A55" s="25"/>
      <x:c r="B55" s="25"/>
      <x:c r="C55" s="25"/>
      <x:c r="D55" s="25"/>
      <x:c r="E55" s="25"/>
      <x:c r="F55" s="25"/>
      <x:c r="G55" s="25"/>
      <x:c r="H55" s="25"/>
      <x:c r="I55" s="25"/>
      <x:c r="J55" s="25"/>
      <x:c r="K55" s="25"/>
      <x:c r="L55" s="25"/>
      <x:c r="M55" s="25"/>
      <x:c r="N55" s="25"/>
    </x:row>
    <x:row r="56">
      <x:c r="A56" s="25"/>
      <x:c r="B56" s="25"/>
      <x:c r="C56" s="25"/>
      <x:c r="D56" s="25"/>
      <x:c r="E56" s="25"/>
      <x:c r="F56" s="25"/>
      <x:c r="G56" s="25"/>
      <x:c r="H56" s="25"/>
      <x:c r="I56" s="25"/>
      <x:c r="J56" s="25"/>
      <x:c r="K56" s="25"/>
      <x:c r="L56" s="25"/>
      <x:c r="M56" s="25"/>
      <x:c r="N56" s="25"/>
    </x:row>
    <x:row r="57">
      <x:c r="A57" s="25"/>
      <x:c r="B57" s="25"/>
      <x:c r="C57" s="25"/>
      <x:c r="D57" s="25"/>
      <x:c r="E57" s="25"/>
      <x:c r="F57" s="25"/>
      <x:c r="G57" s="25"/>
      <x:c r="H57" s="25"/>
      <x:c r="I57" s="25"/>
      <x:c r="J57" s="25"/>
      <x:c r="K57" s="25"/>
      <x:c r="L57" s="25"/>
      <x:c r="M57" s="25"/>
      <x:c r="N57" s="25"/>
    </x:row>
    <x:row r="58">
      <x:c r="A58" s="25"/>
      <x:c r="B58" s="25"/>
      <x:c r="C58" s="25"/>
      <x:c r="D58" s="25"/>
      <x:c r="E58" s="25"/>
      <x:c r="F58" s="25"/>
      <x:c r="G58" s="25"/>
      <x:c r="H58" s="25"/>
      <x:c r="I58" s="25"/>
      <x:c r="J58" s="25"/>
      <x:c r="K58" s="25"/>
      <x:c r="L58" s="25"/>
      <x:c r="M58" s="25"/>
      <x:c r="N58" s="25"/>
    </x:row>
    <x:row r="59">
      <x:c r="A59" s="25"/>
      <x:c r="B59" s="25"/>
      <x:c r="C59" s="25"/>
      <x:c r="D59" s="25"/>
      <x:c r="E59" s="25"/>
      <x:c r="F59" s="25"/>
      <x:c r="G59" s="25"/>
      <x:c r="H59" s="25"/>
      <x:c r="I59" s="25"/>
      <x:c r="J59" s="25"/>
      <x:c r="K59" s="25"/>
      <x:c r="L59" s="25"/>
      <x:c r="M59" s="25"/>
      <x:c r="N59" s="25"/>
    </x:row>
    <x:row r="60">
      <x:c r="A60" s="25"/>
      <x:c r="B60" s="25"/>
      <x:c r="C60" s="25"/>
      <x:c r="D60" s="25"/>
      <x:c r="E60" s="25"/>
      <x:c r="F60" s="25"/>
      <x:c r="G60" s="25"/>
      <x:c r="H60" s="25"/>
      <x:c r="I60" s="25"/>
      <x:c r="J60" s="25"/>
      <x:c r="K60" s="25"/>
      <x:c r="L60" s="25"/>
      <x:c r="M60" s="25"/>
      <x:c r="N60" s="25"/>
    </x:row>
    <x:row r="61">
      <x:c r="A61" s="25"/>
      <x:c r="B61" s="25"/>
      <x:c r="C61" s="25"/>
      <x:c r="D61" s="25"/>
      <x:c r="E61" s="25"/>
      <x:c r="F61" s="25"/>
      <x:c r="G61" s="25"/>
      <x:c r="H61" s="25"/>
      <x:c r="I61" s="25"/>
      <x:c r="J61" s="25"/>
      <x:c r="K61" s="25"/>
      <x:c r="L61" s="25"/>
      <x:c r="M61" s="25"/>
      <x:c r="N61" s="25"/>
    </x:row>
    <x:row r="62">
      <x:c r="A62" s="25"/>
      <x:c r="B62" s="25"/>
      <x:c r="C62" s="25"/>
      <x:c r="D62" s="25"/>
      <x:c r="E62" s="25"/>
      <x:c r="F62" s="25"/>
      <x:c r="G62" s="25"/>
      <x:c r="H62" s="25"/>
      <x:c r="I62" s="25"/>
      <x:c r="J62" s="25"/>
      <x:c r="K62" s="25"/>
      <x:c r="L62" s="25"/>
      <x:c r="M62" s="25"/>
      <x:c r="N62" s="25"/>
    </x:row>
    <x:row r="63">
      <x:c r="A63" s="25"/>
      <x:c r="B63" s="25"/>
      <x:c r="C63" s="25"/>
      <x:c r="D63" s="25"/>
      <x:c r="E63" s="25"/>
      <x:c r="F63" s="25"/>
      <x:c r="G63" s="25"/>
      <x:c r="H63" s="25"/>
      <x:c r="I63" s="25"/>
      <x:c r="J63" s="25"/>
      <x:c r="K63" s="25"/>
      <x:c r="L63" s="25"/>
      <x:c r="M63" s="25"/>
      <x:c r="N63" s="25"/>
    </x:row>
    <x:row r="64">
      <x:c r="A64" s="25"/>
      <x:c r="B64" s="25"/>
      <x:c r="C64" s="25"/>
      <x:c r="D64" s="25"/>
      <x:c r="E64" s="25"/>
      <x:c r="F64" s="25"/>
      <x:c r="G64" s="25"/>
      <x:c r="H64" s="25"/>
      <x:c r="I64" s="25"/>
      <x:c r="J64" s="25"/>
      <x:c r="K64" s="25"/>
      <x:c r="L64" s="25"/>
      <x:c r="M64" s="25"/>
      <x:c r="N64" s="25"/>
    </x:row>
    <x:row r="65">
      <x:c r="A65" s="25"/>
      <x:c r="B65" s="25"/>
      <x:c r="C65" s="25"/>
      <x:c r="D65" s="25"/>
      <x:c r="E65" s="25"/>
      <x:c r="F65" s="25"/>
      <x:c r="G65" s="25"/>
      <x:c r="H65" s="25"/>
      <x:c r="I65" s="25"/>
      <x:c r="J65" s="25"/>
      <x:c r="K65" s="25"/>
      <x:c r="L65" s="25"/>
      <x:c r="M65" s="25"/>
      <x:c r="N65" s="25"/>
    </x:row>
    <x:row r="66">
      <x:c r="A66" s="25"/>
      <x:c r="B66" s="25"/>
      <x:c r="C66" s="25"/>
      <x:c r="D66" s="25"/>
      <x:c r="E66" s="25"/>
      <x:c r="F66" s="25"/>
      <x:c r="G66" s="25"/>
      <x:c r="H66" s="25"/>
      <x:c r="I66" s="25"/>
      <x:c r="J66" s="25"/>
      <x:c r="K66" s="25"/>
      <x:c r="L66" s="25"/>
      <x:c r="M66" s="25"/>
      <x:c r="N66" s="25"/>
    </x:row>
    <x:row r="67">
      <x:c r="A67" s="25"/>
      <x:c r="B67" s="25"/>
      <x:c r="C67" s="25"/>
      <x:c r="D67" s="25"/>
      <x:c r="E67" s="25"/>
      <x:c r="F67" s="25"/>
      <x:c r="G67" s="25"/>
      <x:c r="H67" s="25"/>
      <x:c r="I67" s="25"/>
      <x:c r="J67" s="25"/>
      <x:c r="K67" s="25"/>
      <x:c r="L67" s="25"/>
      <x:c r="M67" s="25"/>
      <x:c r="N67" s="25"/>
    </x:row>
    <x:row r="68">
      <x:c r="A68" s="25"/>
      <x:c r="B68" s="25"/>
      <x:c r="C68" s="25"/>
      <x:c r="D68" s="25"/>
      <x:c r="E68" s="25"/>
      <x:c r="F68" s="25"/>
      <x:c r="G68" s="25"/>
      <x:c r="H68" s="25"/>
      <x:c r="I68" s="25"/>
      <x:c r="J68" s="25"/>
      <x:c r="K68" s="25"/>
      <x:c r="L68" s="25"/>
      <x:c r="M68" s="25"/>
      <x:c r="N68" s="25"/>
    </x:row>
    <x:row r="69">
      <x:c r="A69" s="25"/>
      <x:c r="B69" s="25"/>
      <x:c r="C69" s="25"/>
      <x:c r="D69" s="25"/>
      <x:c r="E69" s="25"/>
      <x:c r="F69" s="25"/>
      <x:c r="G69" s="25"/>
      <x:c r="H69" s="25"/>
      <x:c r="I69" s="25"/>
      <x:c r="J69" s="25"/>
      <x:c r="K69" s="25"/>
      <x:c r="L69" s="25"/>
      <x:c r="M69" s="25"/>
      <x:c r="N69" s="25"/>
    </x:row>
    <x:row r="70">
      <x:c r="A70" s="25"/>
      <x:c r="B70" s="25"/>
      <x:c r="C70" s="25"/>
      <x:c r="D70" s="25"/>
      <x:c r="E70" s="25"/>
      <x:c r="F70" s="25"/>
      <x:c r="G70" s="25"/>
      <x:c r="H70" s="25"/>
      <x:c r="I70" s="25"/>
      <x:c r="J70" s="25"/>
      <x:c r="K70" s="25"/>
      <x:c r="L70" s="25"/>
      <x:c r="M70" s="25"/>
      <x:c r="N70" s="25"/>
    </x:row>
    <x:row r="71">
      <x:c r="A71" s="25"/>
      <x:c r="B71" s="25"/>
      <x:c r="C71" s="25"/>
      <x:c r="D71" s="25"/>
      <x:c r="E71" s="25"/>
      <x:c r="F71" s="25"/>
      <x:c r="G71" s="25"/>
      <x:c r="H71" s="25"/>
      <x:c r="I71" s="25"/>
      <x:c r="J71" s="25"/>
      <x:c r="K71" s="25"/>
      <x:c r="L71" s="25"/>
      <x:c r="M71" s="25"/>
      <x:c r="N71" s="25"/>
    </x:row>
    <x:row r="72">
      <x:c r="A72" s="25"/>
      <x:c r="B72" s="25"/>
      <x:c r="C72" s="25"/>
      <x:c r="D72" s="25"/>
      <x:c r="E72" s="25"/>
      <x:c r="F72" s="25"/>
      <x:c r="G72" s="25"/>
      <x:c r="H72" s="25"/>
      <x:c r="I72" s="25"/>
      <x:c r="J72" s="25"/>
      <x:c r="K72" s="25"/>
      <x:c r="L72" s="25"/>
      <x:c r="M72" s="25"/>
      <x:c r="N72" s="25"/>
    </x:row>
    <x:row r="73">
      <x:c r="A73" s="25"/>
      <x:c r="B73" s="25"/>
      <x:c r="C73" s="25"/>
      <x:c r="D73" s="25"/>
      <x:c r="E73" s="25"/>
      <x:c r="F73" s="25"/>
      <x:c r="G73" s="25"/>
      <x:c r="H73" s="25"/>
      <x:c r="I73" s="25"/>
      <x:c r="J73" s="25"/>
      <x:c r="K73" s="25"/>
      <x:c r="L73" s="25"/>
      <x:c r="M73" s="25"/>
      <x:c r="N73" s="25"/>
    </x:row>
    <x:row r="74">
      <x:c r="A74" s="25"/>
      <x:c r="B74" s="25"/>
      <x:c r="C74" s="25"/>
      <x:c r="D74" s="25"/>
      <x:c r="E74" s="25"/>
      <x:c r="F74" s="25"/>
      <x:c r="G74" s="25"/>
      <x:c r="H74" s="25"/>
      <x:c r="I74" s="25"/>
      <x:c r="J74" s="25"/>
      <x:c r="K74" s="25"/>
      <x:c r="L74" s="25"/>
      <x:c r="M74" s="25"/>
      <x:c r="N74" s="25"/>
    </x:row>
    <x:row r="75">
      <x:c r="A75" s="25"/>
      <x:c r="B75" s="25"/>
      <x:c r="C75" s="25"/>
      <x:c r="D75" s="25"/>
      <x:c r="E75" s="25"/>
      <x:c r="F75" s="25"/>
      <x:c r="G75" s="25"/>
      <x:c r="H75" s="25"/>
      <x:c r="I75" s="25"/>
      <x:c r="J75" s="25"/>
      <x:c r="K75" s="25"/>
      <x:c r="L75" s="25"/>
      <x:c r="M75" s="25"/>
      <x:c r="N75" s="25"/>
    </x:row>
    <x:row r="76">
      <x:c r="A76" s="25"/>
      <x:c r="B76" s="25"/>
      <x:c r="C76" s="25"/>
      <x:c r="D76" s="25"/>
      <x:c r="E76" s="25"/>
      <x:c r="F76" s="25"/>
      <x:c r="G76" s="25"/>
      <x:c r="H76" s="25"/>
      <x:c r="I76" s="25"/>
      <x:c r="J76" s="25"/>
      <x:c r="K76" s="25"/>
      <x:c r="L76" s="25"/>
      <x:c r="M76" s="25"/>
      <x:c r="N76" s="25"/>
    </x:row>
    <x:row r="77">
      <x:c r="A77" s="25"/>
      <x:c r="B77" s="25"/>
      <x:c r="C77" s="25"/>
      <x:c r="D77" s="25"/>
      <x:c r="E77" s="25"/>
      <x:c r="F77" s="25"/>
      <x:c r="G77" s="25"/>
      <x:c r="H77" s="25"/>
      <x:c r="I77" s="25"/>
      <x:c r="J77" s="25"/>
      <x:c r="K77" s="25"/>
      <x:c r="L77" s="25"/>
      <x:c r="M77" s="25"/>
      <x:c r="N77" s="25"/>
    </x:row>
    <x:row r="78">
      <x:c r="A78" s="25"/>
      <x:c r="B78" s="25"/>
      <x:c r="C78" s="25"/>
      <x:c r="D78" s="25"/>
      <x:c r="E78" s="25"/>
      <x:c r="F78" s="25"/>
      <x:c r="G78" s="25"/>
      <x:c r="H78" s="25"/>
      <x:c r="I78" s="25"/>
      <x:c r="J78" s="25"/>
      <x:c r="K78" s="25"/>
      <x:c r="L78" s="25"/>
      <x:c r="M78" s="25"/>
      <x:c r="N78" s="25"/>
    </x:row>
    <x:row r="79">
      <x:c r="A79" s="25"/>
      <x:c r="B79" s="25"/>
      <x:c r="C79" s="25"/>
      <x:c r="D79" s="25"/>
      <x:c r="E79" s="25"/>
      <x:c r="F79" s="25"/>
      <x:c r="G79" s="25"/>
      <x:c r="H79" s="25"/>
      <x:c r="I79" s="25"/>
      <x:c r="J79" s="25"/>
      <x:c r="K79" s="25"/>
      <x:c r="L79" s="25"/>
      <x:c r="M79" s="25"/>
      <x:c r="N79" s="25"/>
    </x:row>
    <x:row r="80">
      <x:c r="A80" s="25"/>
      <x:c r="B80" s="25"/>
      <x:c r="C80" s="25"/>
      <x:c r="D80" s="25"/>
      <x:c r="E80" s="25"/>
      <x:c r="F80" s="25"/>
      <x:c r="G80" s="25"/>
      <x:c r="H80" s="25"/>
      <x:c r="I80" s="25"/>
      <x:c r="J80" s="25"/>
      <x:c r="K80" s="25"/>
      <x:c r="L80" s="25"/>
      <x:c r="M80" s="25"/>
      <x:c r="N80" s="25"/>
    </x:row>
  </x:sheetData>
  <x:mergeCells>
    <x:mergeCell ref="A1:K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2" hidden="0" customWidth="1"/>
    <x:col min="3" max="3" width="13" hidden="0" customWidth="1"/>
    <x:col min="4" max="4" width="56" hidden="0" customWidth="1"/>
    <x:col min="5" max="5" width="46" hidden="0" customWidth="1"/>
    <x:col min="6" max="6" width="22" hidden="0" customWidth="1"/>
    <x:col min="7" max="7" width="24" hidden="0" customWidth="1"/>
    <x:col min="8" max="8" width="16" hidden="0" customWidth="1"/>
  </x:cols>
  <x:sheetData>
    <x:row r="1">
      <x:c r="A1" s="24" t="str">
        <x:v>04 · TÍNH TOÁN TỰ ĐỘNG</x:v>
      </x:c>
      <x:c r="B1" s="24"/>
      <x:c r="C1" s="24"/>
      <x:c r="D1" s="24"/>
      <x:c r="E1" s="24"/>
      <x:c r="F1" s="24"/>
      <x:c r="G1" s="24"/>
      <x:c r="H1" s="24"/>
      <x:c r="I1" s="25"/>
      <x:c r="J1" s="25"/>
      <x:c r="K1" s="25"/>
      <x:c r="L1" s="25"/>
      <x:c r="M1" s="25"/>
      <x:c r="N1" s="25"/>
    </x:row>
    <x:row r="2">
      <x:c r="A2" s="25"/>
      <x:c r="B2" s="25"/>
      <x:c r="C2" s="25"/>
      <x:c r="D2" s="25"/>
      <x:c r="E2" s="25"/>
      <x:c r="F2" s="25"/>
      <x:c r="G2" s="25"/>
      <x:c r="H2" s="25"/>
      <x:c r="I2" s="25"/>
      <x:c r="J2" s="25"/>
      <x:c r="K2" s="25"/>
      <x:c r="L2" s="25"/>
      <x:c r="M2" s="25"/>
      <x:c r="N2" s="25"/>
    </x:row>
    <x:row r="3">
      <x:c r="A3" s="26" t="str">
        <x:v>Bước</x:v>
      </x:c>
      <x:c r="B3" s="26" t="str">
        <x:v>Kết quả</x:v>
      </x:c>
      <x:c r="C3" s="26" t="str">
        <x:v>Đơn vị</x:v>
      </x:c>
      <x:c r="D3" s="26" t="str">
        <x:v>Diễn giải</x:v>
      </x:c>
      <x:c r="E3" s="26" t="str">
        <x:v>Công thức</x:v>
      </x:c>
      <x:c r="F3" s="26" t="str">
        <x:v>Kiểm tra</x:v>
      </x:c>
      <x:c r="G3" s="26" t="str">
        <x:v>Nguồn</x:v>
      </x:c>
      <x:c r="H3" s="26" t="str">
        <x:v>Trạng thái</x:v>
      </x:c>
      <x:c r="I3" s="25"/>
      <x:c r="J3" s="25"/>
      <x:c r="K3" s="25"/>
      <x:c r="L3" s="25"/>
      <x:c r="M3" s="25"/>
      <x:c r="N3" s="25"/>
    </x:row>
    <x:row r="4">
      <x:c r="A4" s="25" t="str">
        <x:v>t</x:v>
      </x:c>
      <x:c r="B4" s="38" t="n">
        <x:f>IF('01_INPUT'!B4="NPH",SUMIFS('03_BANG2_NPH'!D4:D30,'03_BANG2_NPH'!B4:B30,'01_INPUT'!B6,'03_BANG2_NPH'!F4:F30,'01_INPUT'!B5),SUMIFS('02_BANG1_PC_PHC'!B4:B47,'02_BANG1_PC_PHC'!A4:A47,'01_INPUT'!B6,'02_BANG1_PC_PHC'!C4:C47,'01_INPUT'!B5))</x:f>
        <x:v>90</x:v>
      </x:c>
      <x:c r="C4" s="25" t="str">
        <x:v>mm</x:v>
      </x:c>
      <x:c r="D4" s="25" t="str">
        <x:v>Tra Bảng 1/2</x:v>
      </x:c>
      <x:c r="E4" s="25"/>
      <x:c r="F4" s="25"/>
      <x:c r="G4" s="25" t="str">
        <x:v>Bảng 1/2</x:v>
      </x:c>
      <x:c r="H4" s="25"/>
      <x:c r="I4" s="25"/>
      <x:c r="J4" s="25"/>
      <x:c r="K4" s="25"/>
      <x:c r="L4" s="25"/>
      <x:c r="M4" s="25"/>
      <x:c r="N4" s="25"/>
    </x:row>
    <x:row r="5">
      <x:c r="A5" s="25" t="str">
        <x:v>σce</x:v>
      </x:c>
      <x:c r="B5" s="38" t="n">
        <x:f>IF('01_INPUT'!B4="NPH",SUMIFS('03_BANG2_NPH'!H4:H30,'03_BANG2_NPH'!B4:B30,'01_INPUT'!B6,'03_BANG2_NPH'!F4:F30,'01_INPUT'!B5),SUMIFS('02_BANG1_PC_PHC'!E4:E47,'02_BANG1_PC_PHC'!A4:A47,'01_INPUT'!B6,'02_BANG1_PC_PHC'!C4:C47,'01_INPUT'!B5))</x:f>
        <x:v>8</x:v>
      </x:c>
      <x:c r="C5" s="25" t="str">
        <x:v>MPa</x:v>
      </x:c>
      <x:c r="D5" s="25" t="str">
        <x:v>Tra Bảng 1/2</x:v>
      </x:c>
      <x:c r="E5" s="25"/>
      <x:c r="F5" s="25"/>
      <x:c r="G5" s="25" t="str">
        <x:v>Bảng 1/2</x:v>
      </x:c>
      <x:c r="H5" s="25"/>
      <x:c r="I5" s="25"/>
      <x:c r="J5" s="25"/>
      <x:c r="K5" s="25"/>
      <x:c r="L5" s="25"/>
      <x:c r="M5" s="25"/>
      <x:c r="N5" s="25"/>
    </x:row>
    <x:row r="6">
      <x:c r="A6" s="25" t="str">
        <x:v>Mcr</x:v>
      </x:c>
      <x:c r="B6" s="38" t="n">
        <x:f>IF('01_INPUT'!B4="NPH",SUMIFS('03_BANG2_NPH'!G4:G30,'03_BANG2_NPH'!B4:B30,'01_INPUT'!B6,'03_BANG2_NPH'!F4:F30,'01_INPUT'!B5),SUMIFS('02_BANG1_PC_PHC'!D4:D47,'02_BANG1_PC_PHC'!A4:A47,'01_INPUT'!B6,'02_BANG1_PC_PHC'!C4:C47,'01_INPUT'!B5))</x:f>
        <x:v>245.2</x:v>
      </x:c>
      <x:c r="C6" s="25" t="str">
        <x:v>kN.m</x:v>
      </x:c>
      <x:c r="D6" s="25" t="str">
        <x:v>Tra Bảng 1/2</x:v>
      </x:c>
      <x:c r="E6" s="25"/>
      <x:c r="F6" s="25"/>
      <x:c r="G6" s="25" t="str">
        <x:v>Bảng 1/2</x:v>
      </x:c>
      <x:c r="H6" s="25"/>
      <x:c r="I6" s="25"/>
      <x:c r="J6" s="25"/>
      <x:c r="K6" s="25"/>
      <x:c r="L6" s="25"/>
      <x:c r="M6" s="25"/>
      <x:c r="N6" s="25"/>
    </x:row>
    <x:row r="7">
      <x:c r="A7" s="25" t="str">
        <x:v>Bền cắt</x:v>
      </x:c>
      <x:c r="B7" s="38" t="n">
        <x:f>IF('01_INPUT'!B4="PC","N/A",IF('01_INPUT'!B4="NPH",SUMIFS('03_BANG2_NPH'!I4:I30,'03_BANG2_NPH'!B4:B30,'01_INPUT'!B6,'03_BANG2_NPH'!F4:F30,'01_INPUT'!B5),SUMIFS('02_BANG1_PC_PHC'!F4:F47,'02_BANG1_PC_PHC'!A4:A47,'01_INPUT'!B6,'02_BANG1_PC_PHC'!C4:C47,'01_INPUT'!B5)))</x:f>
        <x:v>392.4</x:v>
      </x:c>
      <x:c r="C7" s="25" t="str">
        <x:v>kN</x:v>
      </x:c>
      <x:c r="D7" s="25" t="str">
        <x:v>PC không dùng giá trị bền cắt; PHC/NPH tra bảng</x:v>
      </x:c>
      <x:c r="E7" s="25"/>
      <x:c r="F7" s="25"/>
      <x:c r="G7" s="25" t="str">
        <x:v>Bảng 1/2</x:v>
      </x:c>
      <x:c r="H7" s="25"/>
      <x:c r="I7" s="25"/>
      <x:c r="J7" s="25"/>
      <x:c r="K7" s="25"/>
      <x:c r="L7" s="25"/>
      <x:c r="M7" s="25"/>
      <x:c r="N7" s="25"/>
    </x:row>
    <x:row r="8">
      <x:c r="A8" s="25" t="str">
        <x:v>A0</x:v>
      </x:c>
      <x:c r="B8" s="38" t="n">
        <x:f>PI()/4*('01_INPUT'!B6^2-('01_INPUT'!B6-2*B4)^2)</x:f>
        <x:v>144199.1027997715</x:v>
      </x:c>
      <x:c r="C8" s="25" t="str">
        <x:v>mm²</x:v>
      </x:c>
      <x:c r="D8" s="25" t="str">
        <x:v>Diện tích vành khuyên</x:v>
      </x:c>
      <x:c r="E8" s="25"/>
      <x:c r="F8" s="25"/>
      <x:c r="G8" s="25" t="str">
        <x:v>Hình học</x:v>
      </x:c>
      <x:c r="H8" s="25"/>
      <x:c r="I8" s="25"/>
      <x:c r="J8" s="25"/>
      <x:c r="K8" s="25"/>
      <x:c r="L8" s="25"/>
      <x:c r="M8" s="25"/>
      <x:c r="N8" s="25"/>
    </x:row>
    <x:row r="9">
      <x:c r="A9" s="25" t="str">
        <x:v>Ra dài hạn</x:v>
      </x:c>
      <x:c r="B9" s="39" t="n">
        <x:f>IF('01_INPUT'!B4="PC",0.25*('01_INPUT'!B8-B5)*B8/1000,('01_INPUT'!B8/3.5-B5/4)*B8/1000)</x:f>
        <x:v>3007.581286966663</x:v>
      </x:c>
      <x:c r="C9" s="25" t="str">
        <x:v>kN</x:v>
      </x:c>
      <x:c r="D9" s="25" t="str">
        <x:v>B.2 cho PC hoặc B.4 cho PHC/NPH</x:v>
      </x:c>
      <x:c r="E9" s="25"/>
      <x:c r="F9" s="25"/>
      <x:c r="G9" s="25" t="str">
        <x:v>B.2/B.4</x:v>
      </x:c>
      <x:c r="H9" s="25"/>
      <x:c r="I9" s="25"/>
      <x:c r="J9" s="25"/>
      <x:c r="K9" s="25"/>
      <x:c r="L9" s="25"/>
      <x:c r="M9" s="25"/>
      <x:c r="N9" s="25"/>
    </x:row>
    <x:row r="10">
      <x:c r="A10" s="25" t="str">
        <x:v>Ra ngắn hạn</x:v>
      </x:c>
      <x:c r="B10" s="39" t="n">
        <x:f>2*B9</x:f>
        <x:v>6015.162573933326</x:v>
      </x:c>
      <x:c r="C10" s="25" t="str">
        <x:v>kN</x:v>
      </x:c>
      <x:c r="D10" s="25" t="str">
        <x:v>B.3/B.5 = 2 lần dài hạn</x:v>
      </x:c>
      <x:c r="E10" s="25"/>
      <x:c r="F10" s="25"/>
      <x:c r="G10" s="25" t="str">
        <x:v>B.3/B.5</x:v>
      </x:c>
      <x:c r="H10" s="25"/>
      <x:c r="I10" s="25"/>
      <x:c r="J10" s="25"/>
      <x:c r="K10" s="25"/>
      <x:c r="L10" s="25"/>
      <x:c r="M10" s="25"/>
      <x:c r="N10" s="25"/>
    </x:row>
    <x:row r="11">
      <x:c r="A11" s="25" t="str">
        <x:v>Pmax</x:v>
      </x:c>
      <x:c r="B11" s="39" t="n">
        <x:f>0.8*B10</x:f>
        <x:v>4812.130059146661</x:v>
      </x:c>
      <x:c r="C11" s="25" t="str">
        <x:v>kN</x:v>
      </x:c>
      <x:c r="D11" s="25" t="str">
        <x:v>80% ngắn hạn</x:v>
      </x:c>
      <x:c r="E11" s="25"/>
      <x:c r="F11" s="25"/>
      <x:c r="G11" s="25" t="str">
        <x:v>Phụ lục B</x:v>
      </x:c>
      <x:c r="H11" s="25"/>
      <x:c r="I11" s="25"/>
      <x:c r="J11" s="25"/>
      <x:c r="K11" s="25"/>
      <x:c r="L11" s="25"/>
      <x:c r="M11" s="25"/>
      <x:c r="N11" s="25"/>
    </x:row>
    <x:row r="12">
      <x:c r="A12" s="25" t="str">
        <x:v>σcu min</x:v>
      </x:c>
      <x:c r="B12" s="38" t="n">
        <x:f>IF('01_INPUT'!B4="PC",60,80)</x:f>
        <x:v>80</x:v>
      </x:c>
      <x:c r="C12" s="25" t="str">
        <x:v>MPa</x:v>
      </x:c>
      <x:c r="D12" s="25" t="str">
        <x:v>Ngưỡng Điều 6.2</x:v>
      </x:c>
      <x:c r="E12" s="25"/>
      <x:c r="F12" s="25"/>
      <x:c r="G12" s="25" t="str">
        <x:v>6.2</x:v>
      </x:c>
      <x:c r="H12" s="25"/>
      <x:c r="I12" s="25"/>
      <x:c r="J12" s="25"/>
      <x:c r="K12" s="25"/>
      <x:c r="L12" s="25"/>
      <x:c r="M12" s="25"/>
      <x:c r="N12" s="25"/>
    </x:row>
    <x:row r="13">
      <x:c r="A13" s="25" t="str">
        <x:v>Kiểm σcu</x:v>
      </x:c>
      <x:c r="B13" s="38" t="str">
        <x:f>IF('01_INPUT'!B8&gt;=B12,"ĐẠT","KHÔNG ĐẠT")</x:f>
        <x:v>ĐẠT</x:v>
      </x:c>
      <x:c r="C13" s="25" t="str"/>
      <x:c r="D13" s="25" t="str">
        <x:v>Safety gate</x:v>
      </x:c>
      <x:c r="E13" s="25"/>
      <x:c r="F13" s="25"/>
      <x:c r="G13" s="25" t="str">
        <x:v>6.2</x:v>
      </x:c>
      <x:c r="H13" s="25"/>
      <x:c r="I13" s="25"/>
      <x:c r="J13" s="25"/>
      <x:c r="K13" s="25"/>
      <x:c r="L13" s="25"/>
      <x:c r="M13" s="25"/>
      <x:c r="N13" s="25"/>
    </x:row>
    <x:row r="14">
      <x:c r="A14" s="25" t="str">
        <x:v>Kiểm cấp NPH</x:v>
      </x:c>
      <x:c r="B14" s="38" t="str">
        <x:f>IF(AND('01_INPUT'!B4="NPH",'01_INPUT'!B5="AB"),"KHÔNG HỢP LỆ","OK")</x:f>
        <x:v>OK</x:v>
      </x:c>
      <x:c r="C14" s="25" t="str"/>
      <x:c r="D14" s="25" t="str">
        <x:v>NPH chỉ A/B/C</x:v>
      </x:c>
      <x:c r="E14" s="25"/>
      <x:c r="F14" s="25"/>
      <x:c r="G14" s="25" t="str">
        <x:v>4.2.2</x:v>
      </x:c>
      <x:c r="H14" s="25"/>
      <x:c r="I14" s="25"/>
      <x:c r="J14" s="25"/>
      <x:c r="K14" s="25"/>
      <x:c r="L14" s="25"/>
      <x:c r="M14" s="25"/>
      <x:c r="N14" s="25"/>
    </x:row>
    <x:row r="15">
      <x:c r="A15" s="25"/>
      <x:c r="B15" s="25"/>
      <x:c r="C15" s="25"/>
      <x:c r="D15" s="25"/>
      <x:c r="E15" s="25"/>
      <x:c r="F15" s="25"/>
      <x:c r="G15" s="25"/>
      <x:c r="H15" s="25"/>
      <x:c r="I15" s="25"/>
      <x:c r="J15" s="25"/>
      <x:c r="K15" s="25"/>
      <x:c r="L15" s="25"/>
      <x:c r="M15" s="25"/>
      <x:c r="N15" s="25"/>
    </x:row>
    <x:row r="16">
      <x:c r="A16" s="25"/>
      <x:c r="B16" s="25"/>
      <x:c r="C16" s="25"/>
      <x:c r="D16" s="25"/>
      <x:c r="E16" s="25"/>
      <x:c r="F16" s="25"/>
      <x:c r="G16" s="25"/>
      <x:c r="H16" s="25"/>
      <x:c r="I16" s="25"/>
      <x:c r="J16" s="25"/>
      <x:c r="K16" s="25"/>
      <x:c r="L16" s="25"/>
      <x:c r="M16" s="25"/>
      <x:c r="N16" s="25"/>
    </x:row>
    <x:row r="17">
      <x:c r="A17" s="25"/>
      <x:c r="B17" s="25"/>
      <x:c r="C17" s="25"/>
      <x:c r="D17" s="25"/>
      <x:c r="E17" s="25"/>
      <x:c r="F17" s="25"/>
      <x:c r="G17" s="25"/>
      <x:c r="H17" s="25"/>
      <x:c r="I17" s="25"/>
      <x:c r="J17" s="25"/>
      <x:c r="K17" s="25"/>
      <x:c r="L17" s="25"/>
      <x:c r="M17" s="25"/>
      <x:c r="N17" s="25"/>
    </x:row>
    <x:row r="18">
      <x:c r="A18" s="25"/>
      <x:c r="B18" s="25"/>
      <x:c r="C18" s="25"/>
      <x:c r="D18" s="25"/>
      <x:c r="E18" s="25"/>
      <x:c r="F18" s="25"/>
      <x:c r="G18" s="25"/>
      <x:c r="H18" s="25"/>
      <x:c r="I18" s="25"/>
      <x:c r="J18" s="25"/>
      <x:c r="K18" s="25"/>
      <x:c r="L18" s="25"/>
      <x:c r="M18" s="25"/>
      <x:c r="N18" s="25"/>
    </x:row>
    <x:row r="19">
      <x:c r="A19" s="25"/>
      <x:c r="B19" s="25"/>
      <x:c r="C19" s="25"/>
      <x:c r="D19" s="25"/>
      <x:c r="E19" s="25"/>
      <x:c r="F19" s="25"/>
      <x:c r="G19" s="25"/>
      <x:c r="H19" s="25"/>
      <x:c r="I19" s="25"/>
      <x:c r="J19" s="25"/>
      <x:c r="K19" s="25"/>
      <x:c r="L19" s="25"/>
      <x:c r="M19" s="25"/>
      <x:c r="N19" s="25"/>
    </x:row>
    <x:row r="20">
      <x:c r="A20" s="25"/>
      <x:c r="B20" s="25"/>
      <x:c r="C20" s="25"/>
      <x:c r="D20" s="25"/>
      <x:c r="E20" s="25"/>
      <x:c r="F20" s="25"/>
      <x:c r="G20" s="25"/>
      <x:c r="H20" s="25"/>
      <x:c r="I20" s="25"/>
      <x:c r="J20" s="25"/>
      <x:c r="K20" s="25"/>
      <x:c r="L20" s="25"/>
      <x:c r="M20" s="25"/>
      <x:c r="N20" s="25"/>
    </x:row>
    <x:row r="21">
      <x:c r="A21" s="25"/>
      <x:c r="B21" s="25"/>
      <x:c r="C21" s="25"/>
      <x:c r="D21" s="25"/>
      <x:c r="E21" s="25"/>
      <x:c r="F21" s="25"/>
      <x:c r="G21" s="25"/>
      <x:c r="H21" s="25"/>
      <x:c r="I21" s="25"/>
      <x:c r="J21" s="25"/>
      <x:c r="K21" s="25"/>
      <x:c r="L21" s="25"/>
      <x:c r="M21" s="25"/>
      <x:c r="N21" s="25"/>
    </x:row>
    <x:row r="22">
      <x:c r="A22" s="25"/>
      <x:c r="B22" s="25"/>
      <x:c r="C22" s="25"/>
      <x:c r="D22" s="25"/>
      <x:c r="E22" s="25"/>
      <x:c r="F22" s="25"/>
      <x:c r="G22" s="25"/>
      <x:c r="H22" s="25"/>
      <x:c r="I22" s="25"/>
      <x:c r="J22" s="25"/>
      <x:c r="K22" s="25"/>
      <x:c r="L22" s="25"/>
      <x:c r="M22" s="25"/>
      <x:c r="N22" s="25"/>
    </x:row>
    <x:row r="23">
      <x:c r="A23" s="25"/>
      <x:c r="B23" s="25"/>
      <x:c r="C23" s="25"/>
      <x:c r="D23" s="25"/>
      <x:c r="E23" s="25"/>
      <x:c r="F23" s="25"/>
      <x:c r="G23" s="25"/>
      <x:c r="H23" s="25"/>
      <x:c r="I23" s="25"/>
      <x:c r="J23" s="25"/>
      <x:c r="K23" s="25"/>
      <x:c r="L23" s="25"/>
      <x:c r="M23" s="25"/>
      <x:c r="N23" s="25"/>
    </x:row>
    <x:row r="24">
      <x:c r="A24" s="25"/>
      <x:c r="B24" s="25"/>
      <x:c r="C24" s="25"/>
      <x:c r="D24" s="25"/>
      <x:c r="E24" s="25"/>
      <x:c r="F24" s="25"/>
      <x:c r="G24" s="25"/>
      <x:c r="H24" s="25"/>
      <x:c r="I24" s="25"/>
      <x:c r="J24" s="25"/>
      <x:c r="K24" s="25"/>
      <x:c r="L24" s="25"/>
      <x:c r="M24" s="25"/>
      <x:c r="N24" s="25"/>
    </x:row>
    <x:row r="25">
      <x:c r="A25" s="25"/>
      <x:c r="B25" s="25"/>
      <x:c r="C25" s="25"/>
      <x:c r="D25" s="25"/>
      <x:c r="E25" s="25"/>
      <x:c r="F25" s="25"/>
      <x:c r="G25" s="25"/>
      <x:c r="H25" s="25"/>
      <x:c r="I25" s="25"/>
      <x:c r="J25" s="25"/>
      <x:c r="K25" s="25"/>
      <x:c r="L25" s="25"/>
      <x:c r="M25" s="25"/>
      <x:c r="N25" s="25"/>
    </x:row>
    <x:row r="26">
      <x:c r="A26" s="25"/>
      <x:c r="B26" s="25"/>
      <x:c r="C26" s="25"/>
      <x:c r="D26" s="25"/>
      <x:c r="E26" s="25"/>
      <x:c r="F26" s="25"/>
      <x:c r="G26" s="25"/>
      <x:c r="H26" s="25"/>
      <x:c r="I26" s="25"/>
      <x:c r="J26" s="25"/>
      <x:c r="K26" s="25"/>
      <x:c r="L26" s="25"/>
      <x:c r="M26" s="25"/>
      <x:c r="N26" s="25"/>
    </x:row>
    <x:row r="27">
      <x:c r="A27" s="25"/>
      <x:c r="B27" s="25"/>
      <x:c r="C27" s="25"/>
      <x:c r="D27" s="25"/>
      <x:c r="E27" s="25"/>
      <x:c r="F27" s="25"/>
      <x:c r="G27" s="25"/>
      <x:c r="H27" s="25"/>
      <x:c r="I27" s="25"/>
      <x:c r="J27" s="25"/>
      <x:c r="K27" s="25"/>
      <x:c r="L27" s="25"/>
      <x:c r="M27" s="25"/>
      <x:c r="N27" s="25"/>
    </x:row>
    <x:row r="28">
      <x:c r="A28" s="25"/>
      <x:c r="B28" s="25"/>
      <x:c r="C28" s="25"/>
      <x:c r="D28" s="25"/>
      <x:c r="E28" s="25"/>
      <x:c r="F28" s="25"/>
      <x:c r="G28" s="25"/>
      <x:c r="H28" s="25"/>
      <x:c r="I28" s="25"/>
      <x:c r="J28" s="25"/>
      <x:c r="K28" s="25"/>
      <x:c r="L28" s="25"/>
      <x:c r="M28" s="25"/>
      <x:c r="N28" s="25"/>
    </x:row>
    <x:row r="29">
      <x:c r="A29" s="25"/>
      <x:c r="B29" s="25"/>
      <x:c r="C29" s="25"/>
      <x:c r="D29" s="25"/>
      <x:c r="E29" s="25"/>
      <x:c r="F29" s="25"/>
      <x:c r="G29" s="25"/>
      <x:c r="H29" s="25"/>
      <x:c r="I29" s="25"/>
      <x:c r="J29" s="25"/>
      <x:c r="K29" s="25"/>
      <x:c r="L29" s="25"/>
      <x:c r="M29" s="25"/>
      <x:c r="N29" s="25"/>
    </x:row>
    <x:row r="30">
      <x:c r="A30" s="25"/>
      <x:c r="B30" s="25"/>
      <x:c r="C30" s="25"/>
      <x:c r="D30" s="25"/>
      <x:c r="E30" s="25"/>
      <x:c r="F30" s="25"/>
      <x:c r="G30" s="25"/>
      <x:c r="H30" s="25"/>
      <x:c r="I30" s="25"/>
      <x:c r="J30" s="25"/>
      <x:c r="K30" s="25"/>
      <x:c r="L30" s="25"/>
      <x:c r="M30" s="25"/>
      <x:c r="N30" s="25"/>
    </x:row>
    <x:row r="31">
      <x:c r="A31" s="25"/>
      <x:c r="B31" s="25"/>
      <x:c r="C31" s="25"/>
      <x:c r="D31" s="25"/>
      <x:c r="E31" s="25"/>
      <x:c r="F31" s="25"/>
      <x:c r="G31" s="25"/>
      <x:c r="H31" s="25"/>
      <x:c r="I31" s="25"/>
      <x:c r="J31" s="25"/>
      <x:c r="K31" s="25"/>
      <x:c r="L31" s="25"/>
      <x:c r="M31" s="25"/>
      <x:c r="N31" s="25"/>
    </x:row>
    <x:row r="32">
      <x:c r="A32" s="25"/>
      <x:c r="B32" s="25"/>
      <x:c r="C32" s="25"/>
      <x:c r="D32" s="25"/>
      <x:c r="E32" s="25"/>
      <x:c r="F32" s="25"/>
      <x:c r="G32" s="25"/>
      <x:c r="H32" s="25"/>
      <x:c r="I32" s="25"/>
      <x:c r="J32" s="25"/>
      <x:c r="K32" s="25"/>
      <x:c r="L32" s="25"/>
      <x:c r="M32" s="25"/>
      <x:c r="N32" s="25"/>
    </x:row>
    <x:row r="33">
      <x:c r="A33" s="25"/>
      <x:c r="B33" s="25"/>
      <x:c r="C33" s="25"/>
      <x:c r="D33" s="25"/>
      <x:c r="E33" s="25"/>
      <x:c r="F33" s="25"/>
      <x:c r="G33" s="25"/>
      <x:c r="H33" s="25"/>
      <x:c r="I33" s="25"/>
      <x:c r="J33" s="25"/>
      <x:c r="K33" s="25"/>
      <x:c r="L33" s="25"/>
      <x:c r="M33" s="25"/>
      <x:c r="N33" s="25"/>
    </x:row>
    <x:row r="34">
      <x:c r="A34" s="25"/>
      <x:c r="B34" s="25"/>
      <x:c r="C34" s="25"/>
      <x:c r="D34" s="25"/>
      <x:c r="E34" s="25"/>
      <x:c r="F34" s="25"/>
      <x:c r="G34" s="25"/>
      <x:c r="H34" s="25"/>
      <x:c r="I34" s="25"/>
      <x:c r="J34" s="25"/>
      <x:c r="K34" s="25"/>
      <x:c r="L34" s="25"/>
      <x:c r="M34" s="25"/>
      <x:c r="N34" s="25"/>
    </x:row>
    <x:row r="35">
      <x:c r="A35" s="25"/>
      <x:c r="B35" s="25"/>
      <x:c r="C35" s="25"/>
      <x:c r="D35" s="25"/>
      <x:c r="E35" s="25"/>
      <x:c r="F35" s="25"/>
      <x:c r="G35" s="25"/>
      <x:c r="H35" s="25"/>
      <x:c r="I35" s="25"/>
      <x:c r="J35" s="25"/>
      <x:c r="K35" s="25"/>
      <x:c r="L35" s="25"/>
      <x:c r="M35" s="25"/>
      <x:c r="N35" s="25"/>
    </x:row>
    <x:row r="36">
      <x:c r="A36" s="25"/>
      <x:c r="B36" s="25"/>
      <x:c r="C36" s="25"/>
      <x:c r="D36" s="25"/>
      <x:c r="E36" s="25"/>
      <x:c r="F36" s="25"/>
      <x:c r="G36" s="25"/>
      <x:c r="H36" s="25"/>
      <x:c r="I36" s="25"/>
      <x:c r="J36" s="25"/>
      <x:c r="K36" s="25"/>
      <x:c r="L36" s="25"/>
      <x:c r="M36" s="25"/>
      <x:c r="N36" s="25"/>
    </x:row>
    <x:row r="37">
      <x:c r="A37" s="25"/>
      <x:c r="B37" s="25"/>
      <x:c r="C37" s="25"/>
      <x:c r="D37" s="25"/>
      <x:c r="E37" s="25"/>
      <x:c r="F37" s="25"/>
      <x:c r="G37" s="25"/>
      <x:c r="H37" s="25"/>
      <x:c r="I37" s="25"/>
      <x:c r="J37" s="25"/>
      <x:c r="K37" s="25"/>
      <x:c r="L37" s="25"/>
      <x:c r="M37" s="25"/>
      <x:c r="N37" s="25"/>
    </x:row>
    <x:row r="38">
      <x:c r="A38" s="25"/>
      <x:c r="B38" s="25"/>
      <x:c r="C38" s="25"/>
      <x:c r="D38" s="25"/>
      <x:c r="E38" s="25"/>
      <x:c r="F38" s="25"/>
      <x:c r="G38" s="25"/>
      <x:c r="H38" s="25"/>
      <x:c r="I38" s="25"/>
      <x:c r="J38" s="25"/>
      <x:c r="K38" s="25"/>
      <x:c r="L38" s="25"/>
      <x:c r="M38" s="25"/>
      <x:c r="N38" s="25"/>
    </x:row>
    <x:row r="39">
      <x:c r="A39" s="25"/>
      <x:c r="B39" s="25"/>
      <x:c r="C39" s="25"/>
      <x:c r="D39" s="25"/>
      <x:c r="E39" s="25"/>
      <x:c r="F39" s="25"/>
      <x:c r="G39" s="25"/>
      <x:c r="H39" s="25"/>
      <x:c r="I39" s="25"/>
      <x:c r="J39" s="25"/>
      <x:c r="K39" s="25"/>
      <x:c r="L39" s="25"/>
      <x:c r="M39" s="25"/>
      <x:c r="N39" s="25"/>
    </x:row>
    <x:row r="40">
      <x:c r="A40" s="25"/>
      <x:c r="B40" s="25"/>
      <x:c r="C40" s="25"/>
      <x:c r="D40" s="25"/>
      <x:c r="E40" s="25"/>
      <x:c r="F40" s="25"/>
      <x:c r="G40" s="25"/>
      <x:c r="H40" s="25"/>
      <x:c r="I40" s="25"/>
      <x:c r="J40" s="25"/>
      <x:c r="K40" s="25"/>
      <x:c r="L40" s="25"/>
      <x:c r="M40" s="25"/>
      <x:c r="N40" s="25"/>
    </x:row>
    <x:row r="41">
      <x:c r="A41" s="25"/>
      <x:c r="B41" s="25"/>
      <x:c r="C41" s="25"/>
      <x:c r="D41" s="25"/>
      <x:c r="E41" s="25"/>
      <x:c r="F41" s="25"/>
      <x:c r="G41" s="25"/>
      <x:c r="H41" s="25"/>
      <x:c r="I41" s="25"/>
      <x:c r="J41" s="25"/>
      <x:c r="K41" s="25"/>
      <x:c r="L41" s="25"/>
      <x:c r="M41" s="25"/>
      <x:c r="N41" s="25"/>
    </x:row>
    <x:row r="42">
      <x:c r="A42" s="25"/>
      <x:c r="B42" s="25"/>
      <x:c r="C42" s="25"/>
      <x:c r="D42" s="25"/>
      <x:c r="E42" s="25"/>
      <x:c r="F42" s="25"/>
      <x:c r="G42" s="25"/>
      <x:c r="H42" s="25"/>
      <x:c r="I42" s="25"/>
      <x:c r="J42" s="25"/>
      <x:c r="K42" s="25"/>
      <x:c r="L42" s="25"/>
      <x:c r="M42" s="25"/>
      <x:c r="N42" s="25"/>
    </x:row>
    <x:row r="43">
      <x:c r="A43" s="25"/>
      <x:c r="B43" s="25"/>
      <x:c r="C43" s="25"/>
      <x:c r="D43" s="25"/>
      <x:c r="E43" s="25"/>
      <x:c r="F43" s="25"/>
      <x:c r="G43" s="25"/>
      <x:c r="H43" s="25"/>
      <x:c r="I43" s="25"/>
      <x:c r="J43" s="25"/>
      <x:c r="K43" s="25"/>
      <x:c r="L43" s="25"/>
      <x:c r="M43" s="25"/>
      <x:c r="N43" s="25"/>
    </x:row>
    <x:row r="44">
      <x:c r="A44" s="25"/>
      <x:c r="B44" s="25"/>
      <x:c r="C44" s="25"/>
      <x:c r="D44" s="25"/>
      <x:c r="E44" s="25"/>
      <x:c r="F44" s="25"/>
      <x:c r="G44" s="25"/>
      <x:c r="H44" s="25"/>
      <x:c r="I44" s="25"/>
      <x:c r="J44" s="25"/>
      <x:c r="K44" s="25"/>
      <x:c r="L44" s="25"/>
      <x:c r="M44" s="25"/>
      <x:c r="N44" s="25"/>
    </x:row>
    <x:row r="45">
      <x:c r="A45" s="25"/>
      <x:c r="B45" s="25"/>
      <x:c r="C45" s="25"/>
      <x:c r="D45" s="25"/>
      <x:c r="E45" s="25"/>
      <x:c r="F45" s="25"/>
      <x:c r="G45" s="25"/>
      <x:c r="H45" s="25"/>
      <x:c r="I45" s="25"/>
      <x:c r="J45" s="25"/>
      <x:c r="K45" s="25"/>
      <x:c r="L45" s="25"/>
      <x:c r="M45" s="25"/>
      <x:c r="N45" s="25"/>
    </x:row>
    <x:row r="46">
      <x:c r="A46" s="25"/>
      <x:c r="B46" s="25"/>
      <x:c r="C46" s="25"/>
      <x:c r="D46" s="25"/>
      <x:c r="E46" s="25"/>
      <x:c r="F46" s="25"/>
      <x:c r="G46" s="25"/>
      <x:c r="H46" s="25"/>
      <x:c r="I46" s="25"/>
      <x:c r="J46" s="25"/>
      <x:c r="K46" s="25"/>
      <x:c r="L46" s="25"/>
      <x:c r="M46" s="25"/>
      <x:c r="N46" s="25"/>
    </x:row>
    <x:row r="47">
      <x:c r="A47" s="25"/>
      <x:c r="B47" s="25"/>
      <x:c r="C47" s="25"/>
      <x:c r="D47" s="25"/>
      <x:c r="E47" s="25"/>
      <x:c r="F47" s="25"/>
      <x:c r="G47" s="25"/>
      <x:c r="H47" s="25"/>
      <x:c r="I47" s="25"/>
      <x:c r="J47" s="25"/>
      <x:c r="K47" s="25"/>
      <x:c r="L47" s="25"/>
      <x:c r="M47" s="25"/>
      <x:c r="N47" s="25"/>
    </x:row>
    <x:row r="48">
      <x:c r="A48" s="25"/>
      <x:c r="B48" s="25"/>
      <x:c r="C48" s="25"/>
      <x:c r="D48" s="25"/>
      <x:c r="E48" s="25"/>
      <x:c r="F48" s="25"/>
      <x:c r="G48" s="25"/>
      <x:c r="H48" s="25"/>
      <x:c r="I48" s="25"/>
      <x:c r="J48" s="25"/>
      <x:c r="K48" s="25"/>
      <x:c r="L48" s="25"/>
      <x:c r="M48" s="25"/>
      <x:c r="N48" s="25"/>
    </x:row>
    <x:row r="49">
      <x:c r="A49" s="25"/>
      <x:c r="B49" s="25"/>
      <x:c r="C49" s="25"/>
      <x:c r="D49" s="25"/>
      <x:c r="E49" s="25"/>
      <x:c r="F49" s="25"/>
      <x:c r="G49" s="25"/>
      <x:c r="H49" s="25"/>
      <x:c r="I49" s="25"/>
      <x:c r="J49" s="25"/>
      <x:c r="K49" s="25"/>
      <x:c r="L49" s="25"/>
      <x:c r="M49" s="25"/>
      <x:c r="N49" s="25"/>
    </x:row>
    <x:row r="50">
      <x:c r="A50" s="25"/>
      <x:c r="B50" s="25"/>
      <x:c r="C50" s="25"/>
      <x:c r="D50" s="25"/>
      <x:c r="E50" s="25"/>
      <x:c r="F50" s="25"/>
      <x:c r="G50" s="25"/>
      <x:c r="H50" s="25"/>
      <x:c r="I50" s="25"/>
      <x:c r="J50" s="25"/>
      <x:c r="K50" s="25"/>
      <x:c r="L50" s="25"/>
      <x:c r="M50" s="25"/>
      <x:c r="N50" s="25"/>
    </x:row>
    <x:row r="51">
      <x:c r="A51" s="25"/>
      <x:c r="B51" s="25"/>
      <x:c r="C51" s="25"/>
      <x:c r="D51" s="25"/>
      <x:c r="E51" s="25"/>
      <x:c r="F51" s="25"/>
      <x:c r="G51" s="25"/>
      <x:c r="H51" s="25"/>
      <x:c r="I51" s="25"/>
      <x:c r="J51" s="25"/>
      <x:c r="K51" s="25"/>
      <x:c r="L51" s="25"/>
      <x:c r="M51" s="25"/>
      <x:c r="N51" s="25"/>
    </x:row>
    <x:row r="52">
      <x:c r="A52" s="25"/>
      <x:c r="B52" s="25"/>
      <x:c r="C52" s="25"/>
      <x:c r="D52" s="25"/>
      <x:c r="E52" s="25"/>
      <x:c r="F52" s="25"/>
      <x:c r="G52" s="25"/>
      <x:c r="H52" s="25"/>
      <x:c r="I52" s="25"/>
      <x:c r="J52" s="25"/>
      <x:c r="K52" s="25"/>
      <x:c r="L52" s="25"/>
      <x:c r="M52" s="25"/>
      <x:c r="N52" s="25"/>
    </x:row>
    <x:row r="53">
      <x:c r="A53" s="25"/>
      <x:c r="B53" s="25"/>
      <x:c r="C53" s="25"/>
      <x:c r="D53" s="25"/>
      <x:c r="E53" s="25"/>
      <x:c r="F53" s="25"/>
      <x:c r="G53" s="25"/>
      <x:c r="H53" s="25"/>
      <x:c r="I53" s="25"/>
      <x:c r="J53" s="25"/>
      <x:c r="K53" s="25"/>
      <x:c r="L53" s="25"/>
      <x:c r="M53" s="25"/>
      <x:c r="N53" s="25"/>
    </x:row>
    <x:row r="54">
      <x:c r="A54" s="25"/>
      <x:c r="B54" s="25"/>
      <x:c r="C54" s="25"/>
      <x:c r="D54" s="25"/>
      <x:c r="E54" s="25"/>
      <x:c r="F54" s="25"/>
      <x:c r="G54" s="25"/>
      <x:c r="H54" s="25"/>
      <x:c r="I54" s="25"/>
      <x:c r="J54" s="25"/>
      <x:c r="K54" s="25"/>
      <x:c r="L54" s="25"/>
      <x:c r="M54" s="25"/>
      <x:c r="N54" s="25"/>
    </x:row>
    <x:row r="55">
      <x:c r="A55" s="25"/>
      <x:c r="B55" s="25"/>
      <x:c r="C55" s="25"/>
      <x:c r="D55" s="25"/>
      <x:c r="E55" s="25"/>
      <x:c r="F55" s="25"/>
      <x:c r="G55" s="25"/>
      <x:c r="H55" s="25"/>
      <x:c r="I55" s="25"/>
      <x:c r="J55" s="25"/>
      <x:c r="K55" s="25"/>
      <x:c r="L55" s="25"/>
      <x:c r="M55" s="25"/>
      <x:c r="N55" s="25"/>
    </x:row>
    <x:row r="56">
      <x:c r="A56" s="25"/>
      <x:c r="B56" s="25"/>
      <x:c r="C56" s="25"/>
      <x:c r="D56" s="25"/>
      <x:c r="E56" s="25"/>
      <x:c r="F56" s="25"/>
      <x:c r="G56" s="25"/>
      <x:c r="H56" s="25"/>
      <x:c r="I56" s="25"/>
      <x:c r="J56" s="25"/>
      <x:c r="K56" s="25"/>
      <x:c r="L56" s="25"/>
      <x:c r="M56" s="25"/>
      <x:c r="N56" s="25"/>
    </x:row>
    <x:row r="57">
      <x:c r="A57" s="25"/>
      <x:c r="B57" s="25"/>
      <x:c r="C57" s="25"/>
      <x:c r="D57" s="25"/>
      <x:c r="E57" s="25"/>
      <x:c r="F57" s="25"/>
      <x:c r="G57" s="25"/>
      <x:c r="H57" s="25"/>
      <x:c r="I57" s="25"/>
      <x:c r="J57" s="25"/>
      <x:c r="K57" s="25"/>
      <x:c r="L57" s="25"/>
      <x:c r="M57" s="25"/>
      <x:c r="N57" s="25"/>
    </x:row>
    <x:row r="58">
      <x:c r="A58" s="25"/>
      <x:c r="B58" s="25"/>
      <x:c r="C58" s="25"/>
      <x:c r="D58" s="25"/>
      <x:c r="E58" s="25"/>
      <x:c r="F58" s="25"/>
      <x:c r="G58" s="25"/>
      <x:c r="H58" s="25"/>
      <x:c r="I58" s="25"/>
      <x:c r="J58" s="25"/>
      <x:c r="K58" s="25"/>
      <x:c r="L58" s="25"/>
      <x:c r="M58" s="25"/>
      <x:c r="N58" s="25"/>
    </x:row>
    <x:row r="59">
      <x:c r="A59" s="25"/>
      <x:c r="B59" s="25"/>
      <x:c r="C59" s="25"/>
      <x:c r="D59" s="25"/>
      <x:c r="E59" s="25"/>
      <x:c r="F59" s="25"/>
      <x:c r="G59" s="25"/>
      <x:c r="H59" s="25"/>
      <x:c r="I59" s="25"/>
      <x:c r="J59" s="25"/>
      <x:c r="K59" s="25"/>
      <x:c r="L59" s="25"/>
      <x:c r="M59" s="25"/>
      <x:c r="N59" s="25"/>
    </x:row>
    <x:row r="60">
      <x:c r="A60" s="25"/>
      <x:c r="B60" s="25"/>
      <x:c r="C60" s="25"/>
      <x:c r="D60" s="25"/>
      <x:c r="E60" s="25"/>
      <x:c r="F60" s="25"/>
      <x:c r="G60" s="25"/>
      <x:c r="H60" s="25"/>
      <x:c r="I60" s="25"/>
      <x:c r="J60" s="25"/>
      <x:c r="K60" s="25"/>
      <x:c r="L60" s="25"/>
      <x:c r="M60" s="25"/>
      <x:c r="N60" s="25"/>
    </x:row>
    <x:row r="61">
      <x:c r="A61" s="25"/>
      <x:c r="B61" s="25"/>
      <x:c r="C61" s="25"/>
      <x:c r="D61" s="25"/>
      <x:c r="E61" s="25"/>
      <x:c r="F61" s="25"/>
      <x:c r="G61" s="25"/>
      <x:c r="H61" s="25"/>
      <x:c r="I61" s="25"/>
      <x:c r="J61" s="25"/>
      <x:c r="K61" s="25"/>
      <x:c r="L61" s="25"/>
      <x:c r="M61" s="25"/>
      <x:c r="N61" s="25"/>
    </x:row>
    <x:row r="62">
      <x:c r="A62" s="25"/>
      <x:c r="B62" s="25"/>
      <x:c r="C62" s="25"/>
      <x:c r="D62" s="25"/>
      <x:c r="E62" s="25"/>
      <x:c r="F62" s="25"/>
      <x:c r="G62" s="25"/>
      <x:c r="H62" s="25"/>
      <x:c r="I62" s="25"/>
      <x:c r="J62" s="25"/>
      <x:c r="K62" s="25"/>
      <x:c r="L62" s="25"/>
      <x:c r="M62" s="25"/>
      <x:c r="N62" s="25"/>
    </x:row>
    <x:row r="63">
      <x:c r="A63" s="25"/>
      <x:c r="B63" s="25"/>
      <x:c r="C63" s="25"/>
      <x:c r="D63" s="25"/>
      <x:c r="E63" s="25"/>
      <x:c r="F63" s="25"/>
      <x:c r="G63" s="25"/>
      <x:c r="H63" s="25"/>
      <x:c r="I63" s="25"/>
      <x:c r="J63" s="25"/>
      <x:c r="K63" s="25"/>
      <x:c r="L63" s="25"/>
      <x:c r="M63" s="25"/>
      <x:c r="N63" s="25"/>
    </x:row>
    <x:row r="64">
      <x:c r="A64" s="25"/>
      <x:c r="B64" s="25"/>
      <x:c r="C64" s="25"/>
      <x:c r="D64" s="25"/>
      <x:c r="E64" s="25"/>
      <x:c r="F64" s="25"/>
      <x:c r="G64" s="25"/>
      <x:c r="H64" s="25"/>
      <x:c r="I64" s="25"/>
      <x:c r="J64" s="25"/>
      <x:c r="K64" s="25"/>
      <x:c r="L64" s="25"/>
      <x:c r="M64" s="25"/>
      <x:c r="N64" s="25"/>
    </x:row>
    <x:row r="65">
      <x:c r="A65" s="25"/>
      <x:c r="B65" s="25"/>
      <x:c r="C65" s="25"/>
      <x:c r="D65" s="25"/>
      <x:c r="E65" s="25"/>
      <x:c r="F65" s="25"/>
      <x:c r="G65" s="25"/>
      <x:c r="H65" s="25"/>
      <x:c r="I65" s="25"/>
      <x:c r="J65" s="25"/>
      <x:c r="K65" s="25"/>
      <x:c r="L65" s="25"/>
      <x:c r="M65" s="25"/>
      <x:c r="N65" s="25"/>
    </x:row>
    <x:row r="66">
      <x:c r="A66" s="25"/>
      <x:c r="B66" s="25"/>
      <x:c r="C66" s="25"/>
      <x:c r="D66" s="25"/>
      <x:c r="E66" s="25"/>
      <x:c r="F66" s="25"/>
      <x:c r="G66" s="25"/>
      <x:c r="H66" s="25"/>
      <x:c r="I66" s="25"/>
      <x:c r="J66" s="25"/>
      <x:c r="K66" s="25"/>
      <x:c r="L66" s="25"/>
      <x:c r="M66" s="25"/>
      <x:c r="N66" s="25"/>
    </x:row>
    <x:row r="67">
      <x:c r="A67" s="25"/>
      <x:c r="B67" s="25"/>
      <x:c r="C67" s="25"/>
      <x:c r="D67" s="25"/>
      <x:c r="E67" s="25"/>
      <x:c r="F67" s="25"/>
      <x:c r="G67" s="25"/>
      <x:c r="H67" s="25"/>
      <x:c r="I67" s="25"/>
      <x:c r="J67" s="25"/>
      <x:c r="K67" s="25"/>
      <x:c r="L67" s="25"/>
      <x:c r="M67" s="25"/>
      <x:c r="N67" s="25"/>
    </x:row>
    <x:row r="68">
      <x:c r="A68" s="25"/>
      <x:c r="B68" s="25"/>
      <x:c r="C68" s="25"/>
      <x:c r="D68" s="25"/>
      <x:c r="E68" s="25"/>
      <x:c r="F68" s="25"/>
      <x:c r="G68" s="25"/>
      <x:c r="H68" s="25"/>
      <x:c r="I68" s="25"/>
      <x:c r="J68" s="25"/>
      <x:c r="K68" s="25"/>
      <x:c r="L68" s="25"/>
      <x:c r="M68" s="25"/>
      <x:c r="N68" s="25"/>
    </x:row>
    <x:row r="69">
      <x:c r="A69" s="25"/>
      <x:c r="B69" s="25"/>
      <x:c r="C69" s="25"/>
      <x:c r="D69" s="25"/>
      <x:c r="E69" s="25"/>
      <x:c r="F69" s="25"/>
      <x:c r="G69" s="25"/>
      <x:c r="H69" s="25"/>
      <x:c r="I69" s="25"/>
      <x:c r="J69" s="25"/>
      <x:c r="K69" s="25"/>
      <x:c r="L69" s="25"/>
      <x:c r="M69" s="25"/>
      <x:c r="N69" s="25"/>
    </x:row>
    <x:row r="70">
      <x:c r="A70" s="25"/>
      <x:c r="B70" s="25"/>
      <x:c r="C70" s="25"/>
      <x:c r="D70" s="25"/>
      <x:c r="E70" s="25"/>
      <x:c r="F70" s="25"/>
      <x:c r="G70" s="25"/>
      <x:c r="H70" s="25"/>
      <x:c r="I70" s="25"/>
      <x:c r="J70" s="25"/>
      <x:c r="K70" s="25"/>
      <x:c r="L70" s="25"/>
      <x:c r="M70" s="25"/>
      <x:c r="N70" s="25"/>
    </x:row>
    <x:row r="71">
      <x:c r="A71" s="25"/>
      <x:c r="B71" s="25"/>
      <x:c r="C71" s="25"/>
      <x:c r="D71" s="25"/>
      <x:c r="E71" s="25"/>
      <x:c r="F71" s="25"/>
      <x:c r="G71" s="25"/>
      <x:c r="H71" s="25"/>
      <x:c r="I71" s="25"/>
      <x:c r="J71" s="25"/>
      <x:c r="K71" s="25"/>
      <x:c r="L71" s="25"/>
      <x:c r="M71" s="25"/>
      <x:c r="N71" s="25"/>
    </x:row>
    <x:row r="72">
      <x:c r="A72" s="25"/>
      <x:c r="B72" s="25"/>
      <x:c r="C72" s="25"/>
      <x:c r="D72" s="25"/>
      <x:c r="E72" s="25"/>
      <x:c r="F72" s="25"/>
      <x:c r="G72" s="25"/>
      <x:c r="H72" s="25"/>
      <x:c r="I72" s="25"/>
      <x:c r="J72" s="25"/>
      <x:c r="K72" s="25"/>
      <x:c r="L72" s="25"/>
      <x:c r="M72" s="25"/>
      <x:c r="N72" s="25"/>
    </x:row>
    <x:row r="73">
      <x:c r="A73" s="25"/>
      <x:c r="B73" s="25"/>
      <x:c r="C73" s="25"/>
      <x:c r="D73" s="25"/>
      <x:c r="E73" s="25"/>
      <x:c r="F73" s="25"/>
      <x:c r="G73" s="25"/>
      <x:c r="H73" s="25"/>
      <x:c r="I73" s="25"/>
      <x:c r="J73" s="25"/>
      <x:c r="K73" s="25"/>
      <x:c r="L73" s="25"/>
      <x:c r="M73" s="25"/>
      <x:c r="N73" s="25"/>
    </x:row>
    <x:row r="74">
      <x:c r="A74" s="25"/>
      <x:c r="B74" s="25"/>
      <x:c r="C74" s="25"/>
      <x:c r="D74" s="25"/>
      <x:c r="E74" s="25"/>
      <x:c r="F74" s="25"/>
      <x:c r="G74" s="25"/>
      <x:c r="H74" s="25"/>
      <x:c r="I74" s="25"/>
      <x:c r="J74" s="25"/>
      <x:c r="K74" s="25"/>
      <x:c r="L74" s="25"/>
      <x:c r="M74" s="25"/>
      <x:c r="N74" s="25"/>
    </x:row>
    <x:row r="75">
      <x:c r="A75" s="25"/>
      <x:c r="B75" s="25"/>
      <x:c r="C75" s="25"/>
      <x:c r="D75" s="25"/>
      <x:c r="E75" s="25"/>
      <x:c r="F75" s="25"/>
      <x:c r="G75" s="25"/>
      <x:c r="H75" s="25"/>
      <x:c r="I75" s="25"/>
      <x:c r="J75" s="25"/>
      <x:c r="K75" s="25"/>
      <x:c r="L75" s="25"/>
      <x:c r="M75" s="25"/>
      <x:c r="N75" s="25"/>
    </x:row>
    <x:row r="76">
      <x:c r="A76" s="25"/>
      <x:c r="B76" s="25"/>
      <x:c r="C76" s="25"/>
      <x:c r="D76" s="25"/>
      <x:c r="E76" s="25"/>
      <x:c r="F76" s="25"/>
      <x:c r="G76" s="25"/>
      <x:c r="H76" s="25"/>
      <x:c r="I76" s="25"/>
      <x:c r="J76" s="25"/>
      <x:c r="K76" s="25"/>
      <x:c r="L76" s="25"/>
      <x:c r="M76" s="25"/>
      <x:c r="N76" s="25"/>
    </x:row>
    <x:row r="77">
      <x:c r="A77" s="25"/>
      <x:c r="B77" s="25"/>
      <x:c r="C77" s="25"/>
      <x:c r="D77" s="25"/>
      <x:c r="E77" s="25"/>
      <x:c r="F77" s="25"/>
      <x:c r="G77" s="25"/>
      <x:c r="H77" s="25"/>
      <x:c r="I77" s="25"/>
      <x:c r="J77" s="25"/>
      <x:c r="K77" s="25"/>
      <x:c r="L77" s="25"/>
      <x:c r="M77" s="25"/>
      <x:c r="N77" s="25"/>
    </x:row>
    <x:row r="78">
      <x:c r="A78" s="25"/>
      <x:c r="B78" s="25"/>
      <x:c r="C78" s="25"/>
      <x:c r="D78" s="25"/>
      <x:c r="E78" s="25"/>
      <x:c r="F78" s="25"/>
      <x:c r="G78" s="25"/>
      <x:c r="H78" s="25"/>
      <x:c r="I78" s="25"/>
      <x:c r="J78" s="25"/>
      <x:c r="K78" s="25"/>
      <x:c r="L78" s="25"/>
      <x:c r="M78" s="25"/>
      <x:c r="N78" s="25"/>
    </x:row>
    <x:row r="79">
      <x:c r="A79" s="25"/>
      <x:c r="B79" s="25"/>
      <x:c r="C79" s="25"/>
      <x:c r="D79" s="25"/>
      <x:c r="E79" s="25"/>
      <x:c r="F79" s="25"/>
      <x:c r="G79" s="25"/>
      <x:c r="H79" s="25"/>
      <x:c r="I79" s="25"/>
      <x:c r="J79" s="25"/>
      <x:c r="K79" s="25"/>
      <x:c r="L79" s="25"/>
      <x:c r="M79" s="25"/>
      <x:c r="N79" s="25"/>
    </x:row>
    <x:row r="80">
      <x:c r="A80" s="25"/>
      <x:c r="B80" s="25"/>
      <x:c r="C80" s="25"/>
      <x:c r="D80" s="25"/>
      <x:c r="E80" s="25"/>
      <x:c r="F80" s="25"/>
      <x:c r="G80" s="25"/>
      <x:c r="H80" s="25"/>
      <x:c r="I80" s="25"/>
      <x:c r="J80" s="25"/>
      <x:c r="K80" s="25"/>
      <x:c r="L80" s="25"/>
      <x:c r="M80" s="25"/>
      <x:c r="N80" s="25"/>
    </x:row>
  </x:sheetData>
  <x:mergeCells>
    <x:mergeCell ref="A1:H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13" hidden="0" customWidth="1"/>
    <x:col min="4" max="4" width="20" hidden="0" customWidth="1"/>
    <x:col min="5" max="5" width="24" hidden="0" customWidth="1"/>
    <x:col min="6" max="6" width="58" hidden="0" customWidth="1"/>
  </x:cols>
  <x:sheetData>
    <x:row r="1">
      <x:c r="A1" s="24" t="str">
        <x:v>05 · KẾT QUẢ</x:v>
      </x:c>
      <x:c r="B1" s="24"/>
      <x:c r="C1" s="24"/>
      <x:c r="D1" s="24"/>
      <x:c r="E1" s="24"/>
      <x:c r="F1" s="24"/>
      <x:c r="G1" s="25"/>
      <x:c r="H1" s="25"/>
      <x:c r="I1" s="25"/>
      <x:c r="J1" s="25"/>
      <x:c r="K1" s="25"/>
      <x:c r="L1" s="25"/>
      <x:c r="M1" s="25"/>
      <x:c r="N1" s="25"/>
    </x:row>
    <x:row r="2">
      <x:c r="A2" s="25"/>
      <x:c r="B2" s="25"/>
      <x:c r="C2" s="25"/>
      <x:c r="D2" s="25"/>
      <x:c r="E2" s="25"/>
      <x:c r="F2" s="25"/>
      <x:c r="G2" s="25"/>
      <x:c r="H2" s="25"/>
      <x:c r="I2" s="25"/>
      <x:c r="J2" s="25"/>
      <x:c r="K2" s="25"/>
      <x:c r="L2" s="25"/>
      <x:c r="M2" s="25"/>
      <x:c r="N2" s="25"/>
    </x:row>
    <x:row r="3">
      <x:c r="A3" s="26" t="str">
        <x:v>Chỉ tiêu</x:v>
      </x:c>
      <x:c r="B3" s="26" t="str">
        <x:v>Giá trị</x:v>
      </x:c>
      <x:c r="C3" s="26" t="str">
        <x:v>Đơn vị</x:v>
      </x:c>
      <x:c r="D3" s="26" t="str">
        <x:v>Kết luận</x:v>
      </x:c>
      <x:c r="E3" s="26" t="str">
        <x:v>Nguồn</x:v>
      </x:c>
      <x:c r="F3" s="26" t="str">
        <x:v>Cách đọc</x:v>
      </x:c>
      <x:c r="G3" s="25"/>
      <x:c r="H3" s="25"/>
      <x:c r="I3" s="25"/>
      <x:c r="J3" s="25"/>
      <x:c r="K3" s="25"/>
      <x:c r="L3" s="25"/>
      <x:c r="M3" s="25"/>
      <x:c r="N3" s="25"/>
    </x:row>
    <x:row r="4">
      <x:c r="A4" s="25" t="str">
        <x:v>Mcr</x:v>
      </x:c>
      <x:c r="B4" s="25" t="n">
        <x:f>'04_TINH_TOAN'!B6</x:f>
        <x:v>245.2</x:v>
      </x:c>
      <x:c r="C4" s="25" t="str">
        <x:v>kN.m</x:v>
      </x:c>
      <x:c r="D4" s="25" t="str"/>
      <x:c r="E4" s="25" t="str">
        <x:v>Bảng 1/2</x:v>
      </x:c>
      <x:c r="F4" s="25" t="str">
        <x:v>Mô men uốn nứt tối thiểu</x:v>
      </x:c>
      <x:c r="G4" s="25"/>
      <x:c r="H4" s="25"/>
      <x:c r="I4" s="25"/>
      <x:c r="J4" s="25"/>
      <x:c r="K4" s="25"/>
      <x:c r="L4" s="25"/>
      <x:c r="M4" s="25"/>
      <x:c r="N4" s="25"/>
    </x:row>
    <x:row r="5">
      <x:c r="A5" s="25" t="str">
        <x:v>Ra dài hạn</x:v>
      </x:c>
      <x:c r="B5" s="25" t="n">
        <x:f>'04_TINH_TOAN'!B9</x:f>
        <x:v>3007.581286966663</x:v>
      </x:c>
      <x:c r="C5" s="25" t="str">
        <x:v>kN</x:v>
      </x:c>
      <x:c r="D5" s="25" t="str"/>
      <x:c r="E5" s="25" t="str">
        <x:v>B.2/B.4</x:v>
      </x:c>
      <x:c r="F5" s="25" t="str">
        <x:v>Sức chịu tải làm việc dài hạn theo vật liệu</x:v>
      </x:c>
      <x:c r="G5" s="25"/>
      <x:c r="H5" s="25"/>
      <x:c r="I5" s="25"/>
      <x:c r="J5" s="25"/>
      <x:c r="K5" s="25"/>
      <x:c r="L5" s="25"/>
      <x:c r="M5" s="25"/>
      <x:c r="N5" s="25"/>
    </x:row>
    <x:row r="6">
      <x:c r="A6" s="25" t="str">
        <x:v>Ra ngắn hạn</x:v>
      </x:c>
      <x:c r="B6" s="25" t="n">
        <x:f>'04_TINH_TOAN'!B10</x:f>
        <x:v>6015.162573933326</x:v>
      </x:c>
      <x:c r="C6" s="25" t="str">
        <x:v>kN</x:v>
      </x:c>
      <x:c r="D6" s="25" t="str"/>
      <x:c r="E6" s="25" t="str">
        <x:v>B.3/B.5</x:v>
      </x:c>
      <x:c r="F6" s="25" t="str">
        <x:v>Gấp 2 lần dài hạn</x:v>
      </x:c>
      <x:c r="G6" s="25"/>
      <x:c r="H6" s="25"/>
      <x:c r="I6" s="25"/>
      <x:c r="J6" s="25"/>
      <x:c r="K6" s="25"/>
      <x:c r="L6" s="25"/>
      <x:c r="M6" s="25"/>
      <x:c r="N6" s="25"/>
    </x:row>
    <x:row r="7">
      <x:c r="A7" s="25" t="str">
        <x:v>Pmax</x:v>
      </x:c>
      <x:c r="B7" s="25" t="n">
        <x:f>'04_TINH_TOAN'!B11</x:f>
        <x:v>4812.130059146661</x:v>
      </x:c>
      <x:c r="C7" s="25" t="str">
        <x:v>kN</x:v>
      </x:c>
      <x:c r="D7" s="25" t="str"/>
      <x:c r="E7" s="25" t="str">
        <x:v>Phụ lục B</x:v>
      </x:c>
      <x:c r="F7" s="25" t="str">
        <x:v>Không vượt 80% Ra ngắn hạn</x:v>
      </x:c>
      <x:c r="G7" s="25"/>
      <x:c r="H7" s="25"/>
      <x:c r="I7" s="25"/>
      <x:c r="J7" s="25"/>
      <x:c r="K7" s="25"/>
      <x:c r="L7" s="25"/>
      <x:c r="M7" s="25"/>
      <x:c r="N7" s="25"/>
    </x:row>
    <x:row r="8">
      <x:c r="A8" s="25" t="str">
        <x:v>Safety</x:v>
      </x:c>
      <x:c r="B8" s="25" t="str">
        <x:f>IF(AND('04_TINH_TOAN'!B13="ĐẠT",'04_TINH_TOAN'!B14="OK"),"ĐỦ ĐIỀU KIỆN","BỊ KHÓA")</x:f>
        <x:v>ĐỦ ĐIỀU KIỆN</x:v>
      </x:c>
      <x:c r="C8" s="25" t="str"/>
      <x:c r="D8" s="25" t="str">
        <x:f>B8</x:f>
        <x:v>ĐỦ ĐIỀU KIỆN</x:v>
      </x:c>
      <x:c r="E8" s="25" t="str"/>
      <x:c r="F8" s="25" t="str">
        <x:v>σcu phải đạt và NPH không AB</x:v>
      </x:c>
      <x:c r="G8" s="25"/>
      <x:c r="H8" s="25"/>
      <x:c r="I8" s="25"/>
      <x:c r="J8" s="25"/>
      <x:c r="K8" s="25"/>
      <x:c r="L8" s="25"/>
      <x:c r="M8" s="25"/>
      <x:c r="N8" s="25"/>
    </x:row>
    <x:row r="9">
      <x:c r="A9" s="25"/>
      <x:c r="B9" s="25"/>
      <x:c r="C9" s="25"/>
      <x:c r="D9" s="25"/>
      <x:c r="E9" s="25"/>
      <x:c r="F9" s="25"/>
      <x:c r="G9" s="25"/>
      <x:c r="H9" s="25"/>
      <x:c r="I9" s="25"/>
      <x:c r="J9" s="25"/>
      <x:c r="K9" s="25"/>
      <x:c r="L9" s="25"/>
      <x:c r="M9" s="25"/>
      <x:c r="N9" s="25"/>
    </x:row>
    <x:row r="10">
      <x:c r="A10" s="25"/>
      <x:c r="B10" s="25"/>
      <x:c r="C10" s="25"/>
      <x:c r="D10" s="25"/>
      <x:c r="E10" s="25"/>
      <x:c r="F10" s="25"/>
      <x:c r="G10" s="25"/>
      <x:c r="H10" s="25"/>
      <x:c r="I10" s="25"/>
      <x:c r="J10" s="25"/>
      <x:c r="K10" s="25"/>
      <x:c r="L10" s="25"/>
      <x:c r="M10" s="25"/>
      <x:c r="N10" s="25"/>
    </x:row>
    <x:row r="11">
      <x:c r="A11" s="25"/>
      <x:c r="B11" s="25"/>
      <x:c r="C11" s="25"/>
      <x:c r="D11" s="25"/>
      <x:c r="E11" s="25"/>
      <x:c r="F11" s="25"/>
      <x:c r="G11" s="25"/>
      <x:c r="H11" s="25"/>
      <x:c r="I11" s="25"/>
      <x:c r="J11" s="25"/>
      <x:c r="K11" s="25"/>
      <x:c r="L11" s="25"/>
      <x:c r="M11" s="25"/>
      <x:c r="N11" s="25"/>
    </x:row>
    <x:row r="12">
      <x:c r="A12" s="25"/>
      <x:c r="B12" s="25"/>
      <x:c r="C12" s="25"/>
      <x:c r="D12" s="25"/>
      <x:c r="E12" s="25"/>
      <x:c r="F12" s="25"/>
      <x:c r="G12" s="25"/>
      <x:c r="H12" s="25"/>
      <x:c r="I12" s="25"/>
      <x:c r="J12" s="25"/>
      <x:c r="K12" s="25"/>
      <x:c r="L12" s="25"/>
      <x:c r="M12" s="25"/>
      <x:c r="N12" s="25"/>
    </x:row>
    <x:row r="13">
      <x:c r="A13" s="25"/>
      <x:c r="B13" s="25"/>
      <x:c r="C13" s="25"/>
      <x:c r="D13" s="25"/>
      <x:c r="E13" s="25"/>
      <x:c r="F13" s="25"/>
      <x:c r="G13" s="25"/>
      <x:c r="H13" s="25"/>
      <x:c r="I13" s="25"/>
      <x:c r="J13" s="25"/>
      <x:c r="K13" s="25"/>
      <x:c r="L13" s="25"/>
      <x:c r="M13" s="25"/>
      <x:c r="N13" s="25"/>
    </x:row>
    <x:row r="14">
      <x:c r="A14" s="25"/>
      <x:c r="B14" s="25"/>
      <x:c r="C14" s="25"/>
      <x:c r="D14" s="25"/>
      <x:c r="E14" s="25"/>
      <x:c r="F14" s="25"/>
      <x:c r="G14" s="25"/>
      <x:c r="H14" s="25"/>
      <x:c r="I14" s="25"/>
      <x:c r="J14" s="25"/>
      <x:c r="K14" s="25"/>
      <x:c r="L14" s="25"/>
      <x:c r="M14" s="25"/>
      <x:c r="N14" s="25"/>
    </x:row>
    <x:row r="15">
      <x:c r="A15" s="25"/>
      <x:c r="B15" s="25"/>
      <x:c r="C15" s="25"/>
      <x:c r="D15" s="25"/>
      <x:c r="E15" s="25"/>
      <x:c r="F15" s="25"/>
      <x:c r="G15" s="25"/>
      <x:c r="H15" s="25"/>
      <x:c r="I15" s="25"/>
      <x:c r="J15" s="25"/>
      <x:c r="K15" s="25"/>
      <x:c r="L15" s="25"/>
      <x:c r="M15" s="25"/>
      <x:c r="N15" s="25"/>
    </x:row>
    <x:row r="16">
      <x:c r="A16" s="25"/>
      <x:c r="B16" s="25"/>
      <x:c r="C16" s="25"/>
      <x:c r="D16" s="25"/>
      <x:c r="E16" s="25"/>
      <x:c r="F16" s="25"/>
      <x:c r="G16" s="25"/>
      <x:c r="H16" s="25"/>
      <x:c r="I16" s="25"/>
      <x:c r="J16" s="25"/>
      <x:c r="K16" s="25"/>
      <x:c r="L16" s="25"/>
      <x:c r="M16" s="25"/>
      <x:c r="N16" s="25"/>
    </x:row>
    <x:row r="17">
      <x:c r="A17" s="25"/>
      <x:c r="B17" s="25"/>
      <x:c r="C17" s="25"/>
      <x:c r="D17" s="25"/>
      <x:c r="E17" s="25"/>
      <x:c r="F17" s="25"/>
      <x:c r="G17" s="25"/>
      <x:c r="H17" s="25"/>
      <x:c r="I17" s="25"/>
      <x:c r="J17" s="25"/>
      <x:c r="K17" s="25"/>
      <x:c r="L17" s="25"/>
      <x:c r="M17" s="25"/>
      <x:c r="N17" s="25"/>
    </x:row>
    <x:row r="18">
      <x:c r="A18" s="25"/>
      <x:c r="B18" s="25"/>
      <x:c r="C18" s="25"/>
      <x:c r="D18" s="25"/>
      <x:c r="E18" s="25"/>
      <x:c r="F18" s="25"/>
      <x:c r="G18" s="25"/>
      <x:c r="H18" s="25"/>
      <x:c r="I18" s="25"/>
      <x:c r="J18" s="25"/>
      <x:c r="K18" s="25"/>
      <x:c r="L18" s="25"/>
      <x:c r="M18" s="25"/>
      <x:c r="N18" s="25"/>
    </x:row>
    <x:row r="19">
      <x:c r="A19" s="25"/>
      <x:c r="B19" s="25"/>
      <x:c r="C19" s="25"/>
      <x:c r="D19" s="25"/>
      <x:c r="E19" s="25"/>
      <x:c r="F19" s="25"/>
      <x:c r="G19" s="25"/>
      <x:c r="H19" s="25"/>
      <x:c r="I19" s="25"/>
      <x:c r="J19" s="25"/>
      <x:c r="K19" s="25"/>
      <x:c r="L19" s="25"/>
      <x:c r="M19" s="25"/>
      <x:c r="N19" s="25"/>
    </x:row>
    <x:row r="20">
      <x:c r="A20" s="25"/>
      <x:c r="B20" s="25"/>
      <x:c r="C20" s="25"/>
      <x:c r="D20" s="25"/>
      <x:c r="E20" s="25"/>
      <x:c r="F20" s="25"/>
      <x:c r="G20" s="25"/>
      <x:c r="H20" s="25"/>
      <x:c r="I20" s="25"/>
      <x:c r="J20" s="25"/>
      <x:c r="K20" s="25"/>
      <x:c r="L20" s="25"/>
      <x:c r="M20" s="25"/>
      <x:c r="N20" s="25"/>
    </x:row>
    <x:row r="21">
      <x:c r="A21" s="25"/>
      <x:c r="B21" s="25"/>
      <x:c r="C21" s="25"/>
      <x:c r="D21" s="25"/>
      <x:c r="E21" s="25"/>
      <x:c r="F21" s="25"/>
      <x:c r="G21" s="25"/>
      <x:c r="H21" s="25"/>
      <x:c r="I21" s="25"/>
      <x:c r="J21" s="25"/>
      <x:c r="K21" s="25"/>
      <x:c r="L21" s="25"/>
      <x:c r="M21" s="25"/>
      <x:c r="N21" s="25"/>
    </x:row>
    <x:row r="22">
      <x:c r="A22" s="25"/>
      <x:c r="B22" s="25"/>
      <x:c r="C22" s="25"/>
      <x:c r="D22" s="25"/>
      <x:c r="E22" s="25"/>
      <x:c r="F22" s="25"/>
      <x:c r="G22" s="25"/>
      <x:c r="H22" s="25"/>
      <x:c r="I22" s="25"/>
      <x:c r="J22" s="25"/>
      <x:c r="K22" s="25"/>
      <x:c r="L22" s="25"/>
      <x:c r="M22" s="25"/>
      <x:c r="N22" s="25"/>
    </x:row>
    <x:row r="23">
      <x:c r="A23" s="25"/>
      <x:c r="B23" s="25"/>
      <x:c r="C23" s="25"/>
      <x:c r="D23" s="25"/>
      <x:c r="E23" s="25"/>
      <x:c r="F23" s="25"/>
      <x:c r="G23" s="25"/>
      <x:c r="H23" s="25"/>
      <x:c r="I23" s="25"/>
      <x:c r="J23" s="25"/>
      <x:c r="K23" s="25"/>
      <x:c r="L23" s="25"/>
      <x:c r="M23" s="25"/>
      <x:c r="N23" s="25"/>
    </x:row>
    <x:row r="24">
      <x:c r="A24" s="25"/>
      <x:c r="B24" s="25"/>
      <x:c r="C24" s="25"/>
      <x:c r="D24" s="25"/>
      <x:c r="E24" s="25"/>
      <x:c r="F24" s="25"/>
      <x:c r="G24" s="25"/>
      <x:c r="H24" s="25"/>
      <x:c r="I24" s="25"/>
      <x:c r="J24" s="25"/>
      <x:c r="K24" s="25"/>
      <x:c r="L24" s="25"/>
      <x:c r="M24" s="25"/>
      <x:c r="N24" s="25"/>
    </x:row>
    <x:row r="25">
      <x:c r="A25" s="25"/>
      <x:c r="B25" s="25"/>
      <x:c r="C25" s="25"/>
      <x:c r="D25" s="25"/>
      <x:c r="E25" s="25"/>
      <x:c r="F25" s="25"/>
      <x:c r="G25" s="25"/>
      <x:c r="H25" s="25"/>
      <x:c r="I25" s="25"/>
      <x:c r="J25" s="25"/>
      <x:c r="K25" s="25"/>
      <x:c r="L25" s="25"/>
      <x:c r="M25" s="25"/>
      <x:c r="N25" s="25"/>
    </x:row>
    <x:row r="26">
      <x:c r="A26" s="25"/>
      <x:c r="B26" s="25"/>
      <x:c r="C26" s="25"/>
      <x:c r="D26" s="25"/>
      <x:c r="E26" s="25"/>
      <x:c r="F26" s="25"/>
      <x:c r="G26" s="25"/>
      <x:c r="H26" s="25"/>
      <x:c r="I26" s="25"/>
      <x:c r="J26" s="25"/>
      <x:c r="K26" s="25"/>
      <x:c r="L26" s="25"/>
      <x:c r="M26" s="25"/>
      <x:c r="N26" s="25"/>
    </x:row>
    <x:row r="27">
      <x:c r="A27" s="25"/>
      <x:c r="B27" s="25"/>
      <x:c r="C27" s="25"/>
      <x:c r="D27" s="25"/>
      <x:c r="E27" s="25"/>
      <x:c r="F27" s="25"/>
      <x:c r="G27" s="25"/>
      <x:c r="H27" s="25"/>
      <x:c r="I27" s="25"/>
      <x:c r="J27" s="25"/>
      <x:c r="K27" s="25"/>
      <x:c r="L27" s="25"/>
      <x:c r="M27" s="25"/>
      <x:c r="N27" s="25"/>
    </x:row>
    <x:row r="28">
      <x:c r="A28" s="25"/>
      <x:c r="B28" s="25"/>
      <x:c r="C28" s="25"/>
      <x:c r="D28" s="25"/>
      <x:c r="E28" s="25"/>
      <x:c r="F28" s="25"/>
      <x:c r="G28" s="25"/>
      <x:c r="H28" s="25"/>
      <x:c r="I28" s="25"/>
      <x:c r="J28" s="25"/>
      <x:c r="K28" s="25"/>
      <x:c r="L28" s="25"/>
      <x:c r="M28" s="25"/>
      <x:c r="N28" s="25"/>
    </x:row>
    <x:row r="29">
      <x:c r="A29" s="25"/>
      <x:c r="B29" s="25"/>
      <x:c r="C29" s="25"/>
      <x:c r="D29" s="25"/>
      <x:c r="E29" s="25"/>
      <x:c r="F29" s="25"/>
      <x:c r="G29" s="25"/>
      <x:c r="H29" s="25"/>
      <x:c r="I29" s="25"/>
      <x:c r="J29" s="25"/>
      <x:c r="K29" s="25"/>
      <x:c r="L29" s="25"/>
      <x:c r="M29" s="25"/>
      <x:c r="N29" s="25"/>
    </x:row>
    <x:row r="30">
      <x:c r="A30" s="25"/>
      <x:c r="B30" s="25"/>
      <x:c r="C30" s="25"/>
      <x:c r="D30" s="25"/>
      <x:c r="E30" s="25"/>
      <x:c r="F30" s="25"/>
      <x:c r="G30" s="25"/>
      <x:c r="H30" s="25"/>
      <x:c r="I30" s="25"/>
      <x:c r="J30" s="25"/>
      <x:c r="K30" s="25"/>
      <x:c r="L30" s="25"/>
      <x:c r="M30" s="25"/>
      <x:c r="N30" s="25"/>
    </x:row>
    <x:row r="31">
      <x:c r="A31" s="25"/>
      <x:c r="B31" s="25"/>
      <x:c r="C31" s="25"/>
      <x:c r="D31" s="25"/>
      <x:c r="E31" s="25"/>
      <x:c r="F31" s="25"/>
      <x:c r="G31" s="25"/>
      <x:c r="H31" s="25"/>
      <x:c r="I31" s="25"/>
      <x:c r="J31" s="25"/>
      <x:c r="K31" s="25"/>
      <x:c r="L31" s="25"/>
      <x:c r="M31" s="25"/>
      <x:c r="N31" s="25"/>
    </x:row>
    <x:row r="32">
      <x:c r="A32" s="25"/>
      <x:c r="B32" s="25"/>
      <x:c r="C32" s="25"/>
      <x:c r="D32" s="25"/>
      <x:c r="E32" s="25"/>
      <x:c r="F32" s="25"/>
      <x:c r="G32" s="25"/>
      <x:c r="H32" s="25"/>
      <x:c r="I32" s="25"/>
      <x:c r="J32" s="25"/>
      <x:c r="K32" s="25"/>
      <x:c r="L32" s="25"/>
      <x:c r="M32" s="25"/>
      <x:c r="N32" s="25"/>
    </x:row>
    <x:row r="33">
      <x:c r="A33" s="25"/>
      <x:c r="B33" s="25"/>
      <x:c r="C33" s="25"/>
      <x:c r="D33" s="25"/>
      <x:c r="E33" s="25"/>
      <x:c r="F33" s="25"/>
      <x:c r="G33" s="25"/>
      <x:c r="H33" s="25"/>
      <x:c r="I33" s="25"/>
      <x:c r="J33" s="25"/>
      <x:c r="K33" s="25"/>
      <x:c r="L33" s="25"/>
      <x:c r="M33" s="25"/>
      <x:c r="N33" s="25"/>
    </x:row>
    <x:row r="34">
      <x:c r="A34" s="25"/>
      <x:c r="B34" s="25"/>
      <x:c r="C34" s="25"/>
      <x:c r="D34" s="25"/>
      <x:c r="E34" s="25"/>
      <x:c r="F34" s="25"/>
      <x:c r="G34" s="25"/>
      <x:c r="H34" s="25"/>
      <x:c r="I34" s="25"/>
      <x:c r="J34" s="25"/>
      <x:c r="K34" s="25"/>
      <x:c r="L34" s="25"/>
      <x:c r="M34" s="25"/>
      <x:c r="N34" s="25"/>
    </x:row>
    <x:row r="35">
      <x:c r="A35" s="25"/>
      <x:c r="B35" s="25"/>
      <x:c r="C35" s="25"/>
      <x:c r="D35" s="25"/>
      <x:c r="E35" s="25"/>
      <x:c r="F35" s="25"/>
      <x:c r="G35" s="25"/>
      <x:c r="H35" s="25"/>
      <x:c r="I35" s="25"/>
      <x:c r="J35" s="25"/>
      <x:c r="K35" s="25"/>
      <x:c r="L35" s="25"/>
      <x:c r="M35" s="25"/>
      <x:c r="N35" s="25"/>
    </x:row>
    <x:row r="36">
      <x:c r="A36" s="25"/>
      <x:c r="B36" s="25"/>
      <x:c r="C36" s="25"/>
      <x:c r="D36" s="25"/>
      <x:c r="E36" s="25"/>
      <x:c r="F36" s="25"/>
      <x:c r="G36" s="25"/>
      <x:c r="H36" s="25"/>
      <x:c r="I36" s="25"/>
      <x:c r="J36" s="25"/>
      <x:c r="K36" s="25"/>
      <x:c r="L36" s="25"/>
      <x:c r="M36" s="25"/>
      <x:c r="N36" s="25"/>
    </x:row>
    <x:row r="37">
      <x:c r="A37" s="25"/>
      <x:c r="B37" s="25"/>
      <x:c r="C37" s="25"/>
      <x:c r="D37" s="25"/>
      <x:c r="E37" s="25"/>
      <x:c r="F37" s="25"/>
      <x:c r="G37" s="25"/>
      <x:c r="H37" s="25"/>
      <x:c r="I37" s="25"/>
      <x:c r="J37" s="25"/>
      <x:c r="K37" s="25"/>
      <x:c r="L37" s="25"/>
      <x:c r="M37" s="25"/>
      <x:c r="N37" s="25"/>
    </x:row>
    <x:row r="38">
      <x:c r="A38" s="25"/>
      <x:c r="B38" s="25"/>
      <x:c r="C38" s="25"/>
      <x:c r="D38" s="25"/>
      <x:c r="E38" s="25"/>
      <x:c r="F38" s="25"/>
      <x:c r="G38" s="25"/>
      <x:c r="H38" s="25"/>
      <x:c r="I38" s="25"/>
      <x:c r="J38" s="25"/>
      <x:c r="K38" s="25"/>
      <x:c r="L38" s="25"/>
      <x:c r="M38" s="25"/>
      <x:c r="N38" s="25"/>
    </x:row>
    <x:row r="39">
      <x:c r="A39" s="25"/>
      <x:c r="B39" s="25"/>
      <x:c r="C39" s="25"/>
      <x:c r="D39" s="25"/>
      <x:c r="E39" s="25"/>
      <x:c r="F39" s="25"/>
      <x:c r="G39" s="25"/>
      <x:c r="H39" s="25"/>
      <x:c r="I39" s="25"/>
      <x:c r="J39" s="25"/>
      <x:c r="K39" s="25"/>
      <x:c r="L39" s="25"/>
      <x:c r="M39" s="25"/>
      <x:c r="N39" s="25"/>
    </x:row>
    <x:row r="40">
      <x:c r="A40" s="25"/>
      <x:c r="B40" s="25"/>
      <x:c r="C40" s="25"/>
      <x:c r="D40" s="25"/>
      <x:c r="E40" s="25"/>
      <x:c r="F40" s="25"/>
      <x:c r="G40" s="25"/>
      <x:c r="H40" s="25"/>
      <x:c r="I40" s="25"/>
      <x:c r="J40" s="25"/>
      <x:c r="K40" s="25"/>
      <x:c r="L40" s="25"/>
      <x:c r="M40" s="25"/>
      <x:c r="N40" s="25"/>
    </x:row>
    <x:row r="41">
      <x:c r="A41" s="25"/>
      <x:c r="B41" s="25"/>
      <x:c r="C41" s="25"/>
      <x:c r="D41" s="25"/>
      <x:c r="E41" s="25"/>
      <x:c r="F41" s="25"/>
      <x:c r="G41" s="25"/>
      <x:c r="H41" s="25"/>
      <x:c r="I41" s="25"/>
      <x:c r="J41" s="25"/>
      <x:c r="K41" s="25"/>
      <x:c r="L41" s="25"/>
      <x:c r="M41" s="25"/>
      <x:c r="N41" s="25"/>
    </x:row>
    <x:row r="42">
      <x:c r="A42" s="25"/>
      <x:c r="B42" s="25"/>
      <x:c r="C42" s="25"/>
      <x:c r="D42" s="25"/>
      <x:c r="E42" s="25"/>
      <x:c r="F42" s="25"/>
      <x:c r="G42" s="25"/>
      <x:c r="H42" s="25"/>
      <x:c r="I42" s="25"/>
      <x:c r="J42" s="25"/>
      <x:c r="K42" s="25"/>
      <x:c r="L42" s="25"/>
      <x:c r="M42" s="25"/>
      <x:c r="N42" s="25"/>
    </x:row>
    <x:row r="43">
      <x:c r="A43" s="25"/>
      <x:c r="B43" s="25"/>
      <x:c r="C43" s="25"/>
      <x:c r="D43" s="25"/>
      <x:c r="E43" s="25"/>
      <x:c r="F43" s="25"/>
      <x:c r="G43" s="25"/>
      <x:c r="H43" s="25"/>
      <x:c r="I43" s="25"/>
      <x:c r="J43" s="25"/>
      <x:c r="K43" s="25"/>
      <x:c r="L43" s="25"/>
      <x:c r="M43" s="25"/>
      <x:c r="N43" s="25"/>
    </x:row>
    <x:row r="44">
      <x:c r="A44" s="25"/>
      <x:c r="B44" s="25"/>
      <x:c r="C44" s="25"/>
      <x:c r="D44" s="25"/>
      <x:c r="E44" s="25"/>
      <x:c r="F44" s="25"/>
      <x:c r="G44" s="25"/>
      <x:c r="H44" s="25"/>
      <x:c r="I44" s="25"/>
      <x:c r="J44" s="25"/>
      <x:c r="K44" s="25"/>
      <x:c r="L44" s="25"/>
      <x:c r="M44" s="25"/>
      <x:c r="N44" s="25"/>
    </x:row>
    <x:row r="45">
      <x:c r="A45" s="25"/>
      <x:c r="B45" s="25"/>
      <x:c r="C45" s="25"/>
      <x:c r="D45" s="25"/>
      <x:c r="E45" s="25"/>
      <x:c r="F45" s="25"/>
      <x:c r="G45" s="25"/>
      <x:c r="H45" s="25"/>
      <x:c r="I45" s="25"/>
      <x:c r="J45" s="25"/>
      <x:c r="K45" s="25"/>
      <x:c r="L45" s="25"/>
      <x:c r="M45" s="25"/>
      <x:c r="N45" s="25"/>
    </x:row>
    <x:row r="46">
      <x:c r="A46" s="25"/>
      <x:c r="B46" s="25"/>
      <x:c r="C46" s="25"/>
      <x:c r="D46" s="25"/>
      <x:c r="E46" s="25"/>
      <x:c r="F46" s="25"/>
      <x:c r="G46" s="25"/>
      <x:c r="H46" s="25"/>
      <x:c r="I46" s="25"/>
      <x:c r="J46" s="25"/>
      <x:c r="K46" s="25"/>
      <x:c r="L46" s="25"/>
      <x:c r="M46" s="25"/>
      <x:c r="N46" s="25"/>
    </x:row>
    <x:row r="47">
      <x:c r="A47" s="25"/>
      <x:c r="B47" s="25"/>
      <x:c r="C47" s="25"/>
      <x:c r="D47" s="25"/>
      <x:c r="E47" s="25"/>
      <x:c r="F47" s="25"/>
      <x:c r="G47" s="25"/>
      <x:c r="H47" s="25"/>
      <x:c r="I47" s="25"/>
      <x:c r="J47" s="25"/>
      <x:c r="K47" s="25"/>
      <x:c r="L47" s="25"/>
      <x:c r="M47" s="25"/>
      <x:c r="N47" s="25"/>
    </x:row>
    <x:row r="48">
      <x:c r="A48" s="25"/>
      <x:c r="B48" s="25"/>
      <x:c r="C48" s="25"/>
      <x:c r="D48" s="25"/>
      <x:c r="E48" s="25"/>
      <x:c r="F48" s="25"/>
      <x:c r="G48" s="25"/>
      <x:c r="H48" s="25"/>
      <x:c r="I48" s="25"/>
      <x:c r="J48" s="25"/>
      <x:c r="K48" s="25"/>
      <x:c r="L48" s="25"/>
      <x:c r="M48" s="25"/>
      <x:c r="N48" s="25"/>
    </x:row>
    <x:row r="49">
      <x:c r="A49" s="25"/>
      <x:c r="B49" s="25"/>
      <x:c r="C49" s="25"/>
      <x:c r="D49" s="25"/>
      <x:c r="E49" s="25"/>
      <x:c r="F49" s="25"/>
      <x:c r="G49" s="25"/>
      <x:c r="H49" s="25"/>
      <x:c r="I49" s="25"/>
      <x:c r="J49" s="25"/>
      <x:c r="K49" s="25"/>
      <x:c r="L49" s="25"/>
      <x:c r="M49" s="25"/>
      <x:c r="N49" s="25"/>
    </x:row>
    <x:row r="50">
      <x:c r="A50" s="25"/>
      <x:c r="B50" s="25"/>
      <x:c r="C50" s="25"/>
      <x:c r="D50" s="25"/>
      <x:c r="E50" s="25"/>
      <x:c r="F50" s="25"/>
      <x:c r="G50" s="25"/>
      <x:c r="H50" s="25"/>
      <x:c r="I50" s="25"/>
      <x:c r="J50" s="25"/>
      <x:c r="K50" s="25"/>
      <x:c r="L50" s="25"/>
      <x:c r="M50" s="25"/>
      <x:c r="N50" s="25"/>
    </x:row>
    <x:row r="51">
      <x:c r="A51" s="25"/>
      <x:c r="B51" s="25"/>
      <x:c r="C51" s="25"/>
      <x:c r="D51" s="25"/>
      <x:c r="E51" s="25"/>
      <x:c r="F51" s="25"/>
      <x:c r="G51" s="25"/>
      <x:c r="H51" s="25"/>
      <x:c r="I51" s="25"/>
      <x:c r="J51" s="25"/>
      <x:c r="K51" s="25"/>
      <x:c r="L51" s="25"/>
      <x:c r="M51" s="25"/>
      <x:c r="N51" s="25"/>
    </x:row>
    <x:row r="52">
      <x:c r="A52" s="25"/>
      <x:c r="B52" s="25"/>
      <x:c r="C52" s="25"/>
      <x:c r="D52" s="25"/>
      <x:c r="E52" s="25"/>
      <x:c r="F52" s="25"/>
      <x:c r="G52" s="25"/>
      <x:c r="H52" s="25"/>
      <x:c r="I52" s="25"/>
      <x:c r="J52" s="25"/>
      <x:c r="K52" s="25"/>
      <x:c r="L52" s="25"/>
      <x:c r="M52" s="25"/>
      <x:c r="N52" s="25"/>
    </x:row>
    <x:row r="53">
      <x:c r="A53" s="25"/>
      <x:c r="B53" s="25"/>
      <x:c r="C53" s="25"/>
      <x:c r="D53" s="25"/>
      <x:c r="E53" s="25"/>
      <x:c r="F53" s="25"/>
      <x:c r="G53" s="25"/>
      <x:c r="H53" s="25"/>
      <x:c r="I53" s="25"/>
      <x:c r="J53" s="25"/>
      <x:c r="K53" s="25"/>
      <x:c r="L53" s="25"/>
      <x:c r="M53" s="25"/>
      <x:c r="N53" s="25"/>
    </x:row>
    <x:row r="54">
      <x:c r="A54" s="25"/>
      <x:c r="B54" s="25"/>
      <x:c r="C54" s="25"/>
      <x:c r="D54" s="25"/>
      <x:c r="E54" s="25"/>
      <x:c r="F54" s="25"/>
      <x:c r="G54" s="25"/>
      <x:c r="H54" s="25"/>
      <x:c r="I54" s="25"/>
      <x:c r="J54" s="25"/>
      <x:c r="K54" s="25"/>
      <x:c r="L54" s="25"/>
      <x:c r="M54" s="25"/>
      <x:c r="N54" s="25"/>
    </x:row>
    <x:row r="55">
      <x:c r="A55" s="25"/>
      <x:c r="B55" s="25"/>
      <x:c r="C55" s="25"/>
      <x:c r="D55" s="25"/>
      <x:c r="E55" s="25"/>
      <x:c r="F55" s="25"/>
      <x:c r="G55" s="25"/>
      <x:c r="H55" s="25"/>
      <x:c r="I55" s="25"/>
      <x:c r="J55" s="25"/>
      <x:c r="K55" s="25"/>
      <x:c r="L55" s="25"/>
      <x:c r="M55" s="25"/>
      <x:c r="N55" s="25"/>
    </x:row>
    <x:row r="56">
      <x:c r="A56" s="25"/>
      <x:c r="B56" s="25"/>
      <x:c r="C56" s="25"/>
      <x:c r="D56" s="25"/>
      <x:c r="E56" s="25"/>
      <x:c r="F56" s="25"/>
      <x:c r="G56" s="25"/>
      <x:c r="H56" s="25"/>
      <x:c r="I56" s="25"/>
      <x:c r="J56" s="25"/>
      <x:c r="K56" s="25"/>
      <x:c r="L56" s="25"/>
      <x:c r="M56" s="25"/>
      <x:c r="N56" s="25"/>
    </x:row>
    <x:row r="57">
      <x:c r="A57" s="25"/>
      <x:c r="B57" s="25"/>
      <x:c r="C57" s="25"/>
      <x:c r="D57" s="25"/>
      <x:c r="E57" s="25"/>
      <x:c r="F57" s="25"/>
      <x:c r="G57" s="25"/>
      <x:c r="H57" s="25"/>
      <x:c r="I57" s="25"/>
      <x:c r="J57" s="25"/>
      <x:c r="K57" s="25"/>
      <x:c r="L57" s="25"/>
      <x:c r="M57" s="25"/>
      <x:c r="N57" s="25"/>
    </x:row>
    <x:row r="58">
      <x:c r="A58" s="25"/>
      <x:c r="B58" s="25"/>
      <x:c r="C58" s="25"/>
      <x:c r="D58" s="25"/>
      <x:c r="E58" s="25"/>
      <x:c r="F58" s="25"/>
      <x:c r="G58" s="25"/>
      <x:c r="H58" s="25"/>
      <x:c r="I58" s="25"/>
      <x:c r="J58" s="25"/>
      <x:c r="K58" s="25"/>
      <x:c r="L58" s="25"/>
      <x:c r="M58" s="25"/>
      <x:c r="N58" s="25"/>
    </x:row>
    <x:row r="59">
      <x:c r="A59" s="25"/>
      <x:c r="B59" s="25"/>
      <x:c r="C59" s="25"/>
      <x:c r="D59" s="25"/>
      <x:c r="E59" s="25"/>
      <x:c r="F59" s="25"/>
      <x:c r="G59" s="25"/>
      <x:c r="H59" s="25"/>
      <x:c r="I59" s="25"/>
      <x:c r="J59" s="25"/>
      <x:c r="K59" s="25"/>
      <x:c r="L59" s="25"/>
      <x:c r="M59" s="25"/>
      <x:c r="N59" s="25"/>
    </x:row>
    <x:row r="60">
      <x:c r="A60" s="25"/>
      <x:c r="B60" s="25"/>
      <x:c r="C60" s="25"/>
      <x:c r="D60" s="25"/>
      <x:c r="E60" s="25"/>
      <x:c r="F60" s="25"/>
      <x:c r="G60" s="25"/>
      <x:c r="H60" s="25"/>
      <x:c r="I60" s="25"/>
      <x:c r="J60" s="25"/>
      <x:c r="K60" s="25"/>
      <x:c r="L60" s="25"/>
      <x:c r="M60" s="25"/>
      <x:c r="N60" s="25"/>
    </x:row>
    <x:row r="61">
      <x:c r="A61" s="25"/>
      <x:c r="B61" s="25"/>
      <x:c r="C61" s="25"/>
      <x:c r="D61" s="25"/>
      <x:c r="E61" s="25"/>
      <x:c r="F61" s="25"/>
      <x:c r="G61" s="25"/>
      <x:c r="H61" s="25"/>
      <x:c r="I61" s="25"/>
      <x:c r="J61" s="25"/>
      <x:c r="K61" s="25"/>
      <x:c r="L61" s="25"/>
      <x:c r="M61" s="25"/>
      <x:c r="N61" s="25"/>
    </x:row>
    <x:row r="62">
      <x:c r="A62" s="25"/>
      <x:c r="B62" s="25"/>
      <x:c r="C62" s="25"/>
      <x:c r="D62" s="25"/>
      <x:c r="E62" s="25"/>
      <x:c r="F62" s="25"/>
      <x:c r="G62" s="25"/>
      <x:c r="H62" s="25"/>
      <x:c r="I62" s="25"/>
      <x:c r="J62" s="25"/>
      <x:c r="K62" s="25"/>
      <x:c r="L62" s="25"/>
      <x:c r="M62" s="25"/>
      <x:c r="N62" s="25"/>
    </x:row>
    <x:row r="63">
      <x:c r="A63" s="25"/>
      <x:c r="B63" s="25"/>
      <x:c r="C63" s="25"/>
      <x:c r="D63" s="25"/>
      <x:c r="E63" s="25"/>
      <x:c r="F63" s="25"/>
      <x:c r="G63" s="25"/>
      <x:c r="H63" s="25"/>
      <x:c r="I63" s="25"/>
      <x:c r="J63" s="25"/>
      <x:c r="K63" s="25"/>
      <x:c r="L63" s="25"/>
      <x:c r="M63" s="25"/>
      <x:c r="N63" s="25"/>
    </x:row>
    <x:row r="64">
      <x:c r="A64" s="25"/>
      <x:c r="B64" s="25"/>
      <x:c r="C64" s="25"/>
      <x:c r="D64" s="25"/>
      <x:c r="E64" s="25"/>
      <x:c r="F64" s="25"/>
      <x:c r="G64" s="25"/>
      <x:c r="H64" s="25"/>
      <x:c r="I64" s="25"/>
      <x:c r="J64" s="25"/>
      <x:c r="K64" s="25"/>
      <x:c r="L64" s="25"/>
      <x:c r="M64" s="25"/>
      <x:c r="N64" s="25"/>
    </x:row>
    <x:row r="65">
      <x:c r="A65" s="25"/>
      <x:c r="B65" s="25"/>
      <x:c r="C65" s="25"/>
      <x:c r="D65" s="25"/>
      <x:c r="E65" s="25"/>
      <x:c r="F65" s="25"/>
      <x:c r="G65" s="25"/>
      <x:c r="H65" s="25"/>
      <x:c r="I65" s="25"/>
      <x:c r="J65" s="25"/>
      <x:c r="K65" s="25"/>
      <x:c r="L65" s="25"/>
      <x:c r="M65" s="25"/>
      <x:c r="N65" s="25"/>
    </x:row>
    <x:row r="66">
      <x:c r="A66" s="25"/>
      <x:c r="B66" s="25"/>
      <x:c r="C66" s="25"/>
      <x:c r="D66" s="25"/>
      <x:c r="E66" s="25"/>
      <x:c r="F66" s="25"/>
      <x:c r="G66" s="25"/>
      <x:c r="H66" s="25"/>
      <x:c r="I66" s="25"/>
      <x:c r="J66" s="25"/>
      <x:c r="K66" s="25"/>
      <x:c r="L66" s="25"/>
      <x:c r="M66" s="25"/>
      <x:c r="N66" s="25"/>
    </x:row>
    <x:row r="67">
      <x:c r="A67" s="25"/>
      <x:c r="B67" s="25"/>
      <x:c r="C67" s="25"/>
      <x:c r="D67" s="25"/>
      <x:c r="E67" s="25"/>
      <x:c r="F67" s="25"/>
      <x:c r="G67" s="25"/>
      <x:c r="H67" s="25"/>
      <x:c r="I67" s="25"/>
      <x:c r="J67" s="25"/>
      <x:c r="K67" s="25"/>
      <x:c r="L67" s="25"/>
      <x:c r="M67" s="25"/>
      <x:c r="N67" s="25"/>
    </x:row>
    <x:row r="68">
      <x:c r="A68" s="25"/>
      <x:c r="B68" s="25"/>
      <x:c r="C68" s="25"/>
      <x:c r="D68" s="25"/>
      <x:c r="E68" s="25"/>
      <x:c r="F68" s="25"/>
      <x:c r="G68" s="25"/>
      <x:c r="H68" s="25"/>
      <x:c r="I68" s="25"/>
      <x:c r="J68" s="25"/>
      <x:c r="K68" s="25"/>
      <x:c r="L68" s="25"/>
      <x:c r="M68" s="25"/>
      <x:c r="N68" s="25"/>
    </x:row>
    <x:row r="69">
      <x:c r="A69" s="25"/>
      <x:c r="B69" s="25"/>
      <x:c r="C69" s="25"/>
      <x:c r="D69" s="25"/>
      <x:c r="E69" s="25"/>
      <x:c r="F69" s="25"/>
      <x:c r="G69" s="25"/>
      <x:c r="H69" s="25"/>
      <x:c r="I69" s="25"/>
      <x:c r="J69" s="25"/>
      <x:c r="K69" s="25"/>
      <x:c r="L69" s="25"/>
      <x:c r="M69" s="25"/>
      <x:c r="N69" s="25"/>
    </x:row>
    <x:row r="70">
      <x:c r="A70" s="25"/>
      <x:c r="B70" s="25"/>
      <x:c r="C70" s="25"/>
      <x:c r="D70" s="25"/>
      <x:c r="E70" s="25"/>
      <x:c r="F70" s="25"/>
      <x:c r="G70" s="25"/>
      <x:c r="H70" s="25"/>
      <x:c r="I70" s="25"/>
      <x:c r="J70" s="25"/>
      <x:c r="K70" s="25"/>
      <x:c r="L70" s="25"/>
      <x:c r="M70" s="25"/>
      <x:c r="N70" s="25"/>
    </x:row>
    <x:row r="71">
      <x:c r="A71" s="25"/>
      <x:c r="B71" s="25"/>
      <x:c r="C71" s="25"/>
      <x:c r="D71" s="25"/>
      <x:c r="E71" s="25"/>
      <x:c r="F71" s="25"/>
      <x:c r="G71" s="25"/>
      <x:c r="H71" s="25"/>
      <x:c r="I71" s="25"/>
      <x:c r="J71" s="25"/>
      <x:c r="K71" s="25"/>
      <x:c r="L71" s="25"/>
      <x:c r="M71" s="25"/>
      <x:c r="N71" s="25"/>
    </x:row>
    <x:row r="72">
      <x:c r="A72" s="25"/>
      <x:c r="B72" s="25"/>
      <x:c r="C72" s="25"/>
      <x:c r="D72" s="25"/>
      <x:c r="E72" s="25"/>
      <x:c r="F72" s="25"/>
      <x:c r="G72" s="25"/>
      <x:c r="H72" s="25"/>
      <x:c r="I72" s="25"/>
      <x:c r="J72" s="25"/>
      <x:c r="K72" s="25"/>
      <x:c r="L72" s="25"/>
      <x:c r="M72" s="25"/>
      <x:c r="N72" s="25"/>
    </x:row>
    <x:row r="73">
      <x:c r="A73" s="25"/>
      <x:c r="B73" s="25"/>
      <x:c r="C73" s="25"/>
      <x:c r="D73" s="25"/>
      <x:c r="E73" s="25"/>
      <x:c r="F73" s="25"/>
      <x:c r="G73" s="25"/>
      <x:c r="H73" s="25"/>
      <x:c r="I73" s="25"/>
      <x:c r="J73" s="25"/>
      <x:c r="K73" s="25"/>
      <x:c r="L73" s="25"/>
      <x:c r="M73" s="25"/>
      <x:c r="N73" s="25"/>
    </x:row>
    <x:row r="74">
      <x:c r="A74" s="25"/>
      <x:c r="B74" s="25"/>
      <x:c r="C74" s="25"/>
      <x:c r="D74" s="25"/>
      <x:c r="E74" s="25"/>
      <x:c r="F74" s="25"/>
      <x:c r="G74" s="25"/>
      <x:c r="H74" s="25"/>
      <x:c r="I74" s="25"/>
      <x:c r="J74" s="25"/>
      <x:c r="K74" s="25"/>
      <x:c r="L74" s="25"/>
      <x:c r="M74" s="25"/>
      <x:c r="N74" s="25"/>
    </x:row>
    <x:row r="75">
      <x:c r="A75" s="25"/>
      <x:c r="B75" s="25"/>
      <x:c r="C75" s="25"/>
      <x:c r="D75" s="25"/>
      <x:c r="E75" s="25"/>
      <x:c r="F75" s="25"/>
      <x:c r="G75" s="25"/>
      <x:c r="H75" s="25"/>
      <x:c r="I75" s="25"/>
      <x:c r="J75" s="25"/>
      <x:c r="K75" s="25"/>
      <x:c r="L75" s="25"/>
      <x:c r="M75" s="25"/>
      <x:c r="N75" s="25"/>
    </x:row>
    <x:row r="76">
      <x:c r="A76" s="25"/>
      <x:c r="B76" s="25"/>
      <x:c r="C76" s="25"/>
      <x:c r="D76" s="25"/>
      <x:c r="E76" s="25"/>
      <x:c r="F76" s="25"/>
      <x:c r="G76" s="25"/>
      <x:c r="H76" s="25"/>
      <x:c r="I76" s="25"/>
      <x:c r="J76" s="25"/>
      <x:c r="K76" s="25"/>
      <x:c r="L76" s="25"/>
      <x:c r="M76" s="25"/>
      <x:c r="N76" s="25"/>
    </x:row>
    <x:row r="77">
      <x:c r="A77" s="25"/>
      <x:c r="B77" s="25"/>
      <x:c r="C77" s="25"/>
      <x:c r="D77" s="25"/>
      <x:c r="E77" s="25"/>
      <x:c r="F77" s="25"/>
      <x:c r="G77" s="25"/>
      <x:c r="H77" s="25"/>
      <x:c r="I77" s="25"/>
      <x:c r="J77" s="25"/>
      <x:c r="K77" s="25"/>
      <x:c r="L77" s="25"/>
      <x:c r="M77" s="25"/>
      <x:c r="N77" s="25"/>
    </x:row>
    <x:row r="78">
      <x:c r="A78" s="25"/>
      <x:c r="B78" s="25"/>
      <x:c r="C78" s="25"/>
      <x:c r="D78" s="25"/>
      <x:c r="E78" s="25"/>
      <x:c r="F78" s="25"/>
      <x:c r="G78" s="25"/>
      <x:c r="H78" s="25"/>
      <x:c r="I78" s="25"/>
      <x:c r="J78" s="25"/>
      <x:c r="K78" s="25"/>
      <x:c r="L78" s="25"/>
      <x:c r="M78" s="25"/>
      <x:c r="N78" s="25"/>
    </x:row>
    <x:row r="79">
      <x:c r="A79" s="25"/>
      <x:c r="B79" s="25"/>
      <x:c r="C79" s="25"/>
      <x:c r="D79" s="25"/>
      <x:c r="E79" s="25"/>
      <x:c r="F79" s="25"/>
      <x:c r="G79" s="25"/>
      <x:c r="H79" s="25"/>
      <x:c r="I79" s="25"/>
      <x:c r="J79" s="25"/>
      <x:c r="K79" s="25"/>
      <x:c r="L79" s="25"/>
      <x:c r="M79" s="25"/>
      <x:c r="N79" s="25"/>
    </x:row>
    <x:row r="80">
      <x:c r="A80" s="25"/>
      <x:c r="B80" s="25"/>
      <x:c r="C80" s="25"/>
      <x:c r="D80" s="25"/>
      <x:c r="E80" s="25"/>
      <x:c r="F80" s="25"/>
      <x:c r="G80" s="25"/>
      <x:c r="H80" s="25"/>
      <x:c r="I80" s="25"/>
      <x:c r="J80" s="25"/>
      <x:c r="K80" s="25"/>
      <x:c r="L80" s="25"/>
      <x:c r="M80" s="25"/>
      <x:c r="N80" s="25"/>
    </x:row>
  </x:sheetData>
  <x:mergeCells>
    <x:mergeCell ref="A1:F1"/>
  </x:mergeCells>
  <x:conditionalFormatting sqref="B5:B7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{13A92A10-CE39-9577-86C7-B7EA0CFE91EA}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13A92A10-CE39-9577-86C7-B7EA0CFE91EA}">
            <x14:dataBar gradient="1">
              <x14:cfvo type="min"/>
              <x14:cfvo type="max"/>
              <x14:fillColor rgb="FFA02B93"/>
            </x14:dataBar>
          </x14:cfRule>
          <xm:sqref>B5:B7</xm:sqref>
        </x14:conditionalFormatting>
      </x14:conditionalFormattings>
    </x:ext>
  </x:extLst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52" hidden="0" customWidth="1"/>
    <x:col min="3" max="3" width="58" hidden="0" customWidth="1"/>
    <x:col min="4" max="4" width="58" hidden="0" customWidth="1"/>
  </x:cols>
  <x:sheetData>
    <x:row r="1">
      <x:c r="A1" s="24" t="str">
        <x:v>06 · THUYẾT MINH – NGƯỜI MỚI CŨNG THEO ĐƯỢC</x:v>
      </x:c>
      <x:c r="B1" s="24"/>
      <x:c r="C1" s="24"/>
      <x:c r="D1" s="24"/>
      <x:c r="E1" s="25"/>
      <x:c r="F1" s="25"/>
      <x:c r="G1" s="25"/>
      <x:c r="H1" s="25"/>
      <x:c r="I1" s="25"/>
      <x:c r="J1" s="25"/>
      <x:c r="K1" s="25"/>
      <x:c r="L1" s="25"/>
      <x:c r="M1" s="25"/>
      <x:c r="N1" s="25"/>
    </x:row>
    <x:row r="2">
      <x:c r="A2" s="25"/>
      <x:c r="B2" s="25"/>
      <x:c r="C2" s="25"/>
      <x:c r="D2" s="25"/>
      <x:c r="E2" s="25"/>
      <x:c r="F2" s="25"/>
      <x:c r="G2" s="25"/>
      <x:c r="H2" s="25"/>
      <x:c r="I2" s="25"/>
      <x:c r="J2" s="25"/>
      <x:c r="K2" s="25"/>
      <x:c r="L2" s="25"/>
      <x:c r="M2" s="25"/>
      <x:c r="N2" s="25"/>
    </x:row>
    <x:row r="3">
      <x:c r="A3" s="26" t="str">
        <x:v>Bước</x:v>
      </x:c>
      <x:c r="B3" s="26" t="str">
        <x:v>Làm gì?</x:v>
      </x:c>
      <x:c r="C3" s="26" t="str">
        <x:v>Vì sao?</x:v>
      </x:c>
      <x:c r="D3" s="26" t="str">
        <x:v>Tự kiểm tra</x:v>
      </x:c>
      <x:c r="E3" s="25"/>
      <x:c r="F3" s="25"/>
      <x:c r="G3" s="25"/>
      <x:c r="H3" s="25"/>
      <x:c r="I3" s="25"/>
      <x:c r="J3" s="25"/>
      <x:c r="K3" s="25"/>
      <x:c r="L3" s="25"/>
      <x:c r="M3" s="25"/>
      <x:c r="N3" s="25"/>
    </x:row>
    <x:row r="4">
      <x:c r="A4" s="25" t="n">
        <x:v>1</x:v>
      </x:c>
      <x:c r="B4" s="25" t="str">
        <x:v>Chọn PC/PHC/NPH, cấp tải, D và L.</x:v>
      </x:c>
      <x:c r="C4" s="25" t="str">
        <x:v>Quyết định Bảng 1 hay Bảng 2 và điều kiện áp dụng.</x:v>
      </x:c>
      <x:c r="D4" s="25" t="str">
        <x:v>NPH chỉ A/B/C.</x:v>
      </x:c>
      <x:c r="E4" s="25"/>
      <x:c r="F4" s="25"/>
      <x:c r="G4" s="25"/>
      <x:c r="H4" s="25"/>
      <x:c r="I4" s="25"/>
      <x:c r="J4" s="25"/>
      <x:c r="K4" s="25"/>
      <x:c r="L4" s="25"/>
      <x:c r="M4" s="25"/>
      <x:c r="N4" s="25"/>
    </x:row>
    <x:row r="5">
      <x:c r="A5" s="25" t="n">
        <x:v>2</x:v>
      </x:c>
      <x:c r="B5" s="25" t="str">
        <x:v>Tra t, Mcr, σce và bền cắt.</x:v>
      </x:c>
      <x:c r="C5" s="25" t="str">
        <x:v>Không được nhập nhầm Bảng 1 cho NPH.</x:v>
      </x:c>
      <x:c r="D5" s="25" t="str">
        <x:v>So nguồn trang 10–12.</x:v>
      </x:c>
      <x:c r="E5" s="25"/>
      <x:c r="F5" s="25"/>
      <x:c r="G5" s="25"/>
      <x:c r="H5" s="25"/>
      <x:c r="I5" s="25"/>
      <x:c r="J5" s="25"/>
      <x:c r="K5" s="25"/>
      <x:c r="L5" s="25"/>
      <x:c r="M5" s="25"/>
      <x:c r="N5" s="25"/>
    </x:row>
    <x:row r="6">
      <x:c r="A6" s="25" t="n">
        <x:v>3</x:v>
      </x:c>
      <x:c r="B6" s="25" t="str">
        <x:v>Kiểm σcu.</x:v>
      </x:c>
      <x:c r="C6" s="25" t="str">
        <x:v>PC≥60; PHC/NPH≥80 MPa.</x:v>
      </x:c>
      <x:c r="D6" s="25" t="str">
        <x:v>Nếu dưới ngưỡng workbook phải khóa.</x:v>
      </x:c>
      <x:c r="E6" s="25"/>
      <x:c r="F6" s="25"/>
      <x:c r="G6" s="25"/>
      <x:c r="H6" s="25"/>
      <x:c r="I6" s="25"/>
      <x:c r="J6" s="25"/>
      <x:c r="K6" s="25"/>
      <x:c r="L6" s="25"/>
      <x:c r="M6" s="25"/>
      <x:c r="N6" s="25"/>
    </x:row>
    <x:row r="7">
      <x:c r="A7" s="25" t="n">
        <x:v>4</x:v>
      </x:c>
      <x:c r="B7" s="25" t="str">
        <x:v>Tính A0.</x:v>
      </x:c>
      <x:c r="C7" s="25" t="str">
        <x:v>Đây là diện tích vật liệu bê tông của tiết diện vành khuyên.</x:v>
      </x:c>
      <x:c r="D7" s="25" t="str">
        <x:v>D,t mm → A0 mm².</x:v>
      </x:c>
      <x:c r="E7" s="25"/>
      <x:c r="F7" s="25"/>
      <x:c r="G7" s="25"/>
      <x:c r="H7" s="25"/>
      <x:c r="I7" s="25"/>
      <x:c r="J7" s="25"/>
      <x:c r="K7" s="25"/>
      <x:c r="L7" s="25"/>
      <x:c r="M7" s="25"/>
      <x:c r="N7" s="25"/>
    </x:row>
    <x:row r="8">
      <x:c r="A8" s="25" t="n">
        <x:v>5</x:v>
      </x:c>
      <x:c r="B8" s="25" t="str">
        <x:v>Tính dài hạn.</x:v>
      </x:c>
      <x:c r="C8" s="25" t="str">
        <x:v>PC dùng B.2; PHC/NPH dùng B.4.</x:v>
      </x:c>
      <x:c r="D8" s="25" t="str">
        <x:v>MPa×mm²=N, chia 1000→kN.</x:v>
      </x:c>
      <x:c r="E8" s="25"/>
      <x:c r="F8" s="25"/>
      <x:c r="G8" s="25"/>
      <x:c r="H8" s="25"/>
      <x:c r="I8" s="25"/>
      <x:c r="J8" s="25"/>
      <x:c r="K8" s="25"/>
      <x:c r="L8" s="25"/>
      <x:c r="M8" s="25"/>
      <x:c r="N8" s="25"/>
    </x:row>
    <x:row r="9">
      <x:c r="A9" s="25" t="n">
        <x:v>6</x:v>
      </x:c>
      <x:c r="B9" s="25" t="str">
        <x:v>Tính ngắn hạn.</x:v>
      </x:c>
      <x:c r="C9" s="25" t="str">
        <x:v>Theo Phụ lục B bằng 2 lần dài hạn.</x:v>
      </x:c>
      <x:c r="D9" s="25" t="str">
        <x:v>Kiểm B.3/B.5.</x:v>
      </x:c>
      <x:c r="E9" s="25"/>
      <x:c r="F9" s="25"/>
      <x:c r="G9" s="25"/>
      <x:c r="H9" s="25"/>
      <x:c r="I9" s="25"/>
      <x:c r="J9" s="25"/>
      <x:c r="K9" s="25"/>
      <x:c r="L9" s="25"/>
      <x:c r="M9" s="25"/>
      <x:c r="N9" s="25"/>
    </x:row>
    <x:row r="10">
      <x:c r="A10" s="25" t="n">
        <x:v>7</x:v>
      </x:c>
      <x:c r="B10" s="25" t="str">
        <x:v>Tính Pmax.</x:v>
      </x:c>
      <x:c r="C10" s="25" t="str">
        <x:v>Tải làm việc thực tế tối đa không vượt 80% ngắn hạn.</x:v>
      </x:c>
      <x:c r="D10" s="25" t="str">
        <x:v>Pmax=0,8·Ra ngắn hạn.</x:v>
      </x:c>
      <x:c r="E10" s="25"/>
      <x:c r="F10" s="25"/>
      <x:c r="G10" s="25"/>
      <x:c r="H10" s="25"/>
      <x:c r="I10" s="25"/>
      <x:c r="J10" s="25"/>
      <x:c r="K10" s="25"/>
      <x:c r="L10" s="25"/>
      <x:c r="M10" s="25"/>
      <x:c r="N10" s="25"/>
    </x:row>
    <x:row r="11">
      <x:c r="A11" s="25"/>
      <x:c r="B11" s="25"/>
      <x:c r="C11" s="25"/>
      <x:c r="D11" s="25"/>
      <x:c r="E11" s="25"/>
      <x:c r="F11" s="25"/>
      <x:c r="G11" s="25"/>
      <x:c r="H11" s="25"/>
      <x:c r="I11" s="25"/>
      <x:c r="J11" s="25"/>
      <x:c r="K11" s="25"/>
      <x:c r="L11" s="25"/>
      <x:c r="M11" s="25"/>
      <x:c r="N11" s="25"/>
    </x:row>
    <x:row r="12">
      <x:c r="A12" s="25"/>
      <x:c r="B12" s="25"/>
      <x:c r="C12" s="25"/>
      <x:c r="D12" s="25"/>
      <x:c r="E12" s="25"/>
      <x:c r="F12" s="25"/>
      <x:c r="G12" s="25"/>
      <x:c r="H12" s="25"/>
      <x:c r="I12" s="25"/>
      <x:c r="J12" s="25"/>
      <x:c r="K12" s="25"/>
      <x:c r="L12" s="25"/>
      <x:c r="M12" s="25"/>
      <x:c r="N12" s="25"/>
    </x:row>
    <x:row r="13">
      <x:c r="A13" s="25"/>
      <x:c r="B13" s="25"/>
      <x:c r="C13" s="25"/>
      <x:c r="D13" s="25"/>
      <x:c r="E13" s="25"/>
      <x:c r="F13" s="25"/>
      <x:c r="G13" s="25"/>
      <x:c r="H13" s="25"/>
      <x:c r="I13" s="25"/>
      <x:c r="J13" s="25"/>
      <x:c r="K13" s="25"/>
      <x:c r="L13" s="25"/>
      <x:c r="M13" s="25"/>
      <x:c r="N13" s="25"/>
    </x:row>
    <x:row r="14">
      <x:c r="A14" s="25"/>
      <x:c r="B14" s="25"/>
      <x:c r="C14" s="25"/>
      <x:c r="D14" s="25"/>
      <x:c r="E14" s="25"/>
      <x:c r="F14" s="25"/>
      <x:c r="G14" s="25"/>
      <x:c r="H14" s="25"/>
      <x:c r="I14" s="25"/>
      <x:c r="J14" s="25"/>
      <x:c r="K14" s="25"/>
      <x:c r="L14" s="25"/>
      <x:c r="M14" s="25"/>
      <x:c r="N14" s="25"/>
    </x:row>
    <x:row r="15">
      <x:c r="A15" s="25"/>
      <x:c r="B15" s="25"/>
      <x:c r="C15" s="25"/>
      <x:c r="D15" s="25"/>
      <x:c r="E15" s="25"/>
      <x:c r="F15" s="25"/>
      <x:c r="G15" s="25"/>
      <x:c r="H15" s="25"/>
      <x:c r="I15" s="25"/>
      <x:c r="J15" s="25"/>
      <x:c r="K15" s="25"/>
      <x:c r="L15" s="25"/>
      <x:c r="M15" s="25"/>
      <x:c r="N15" s="25"/>
    </x:row>
    <x:row r="16">
      <x:c r="A16" s="25"/>
      <x:c r="B16" s="25"/>
      <x:c r="C16" s="25"/>
      <x:c r="D16" s="25"/>
      <x:c r="E16" s="25"/>
      <x:c r="F16" s="25"/>
      <x:c r="G16" s="25"/>
      <x:c r="H16" s="25"/>
      <x:c r="I16" s="25"/>
      <x:c r="J16" s="25"/>
      <x:c r="K16" s="25"/>
      <x:c r="L16" s="25"/>
      <x:c r="M16" s="25"/>
      <x:c r="N16" s="25"/>
    </x:row>
    <x:row r="17">
      <x:c r="A17" s="25"/>
      <x:c r="B17" s="25"/>
      <x:c r="C17" s="25"/>
      <x:c r="D17" s="25"/>
      <x:c r="E17" s="25"/>
      <x:c r="F17" s="25"/>
      <x:c r="G17" s="25"/>
      <x:c r="H17" s="25"/>
      <x:c r="I17" s="25"/>
      <x:c r="J17" s="25"/>
      <x:c r="K17" s="25"/>
      <x:c r="L17" s="25"/>
      <x:c r="M17" s="25"/>
      <x:c r="N17" s="25"/>
    </x:row>
    <x:row r="18">
      <x:c r="A18" s="25"/>
      <x:c r="B18" s="25"/>
      <x:c r="C18" s="25"/>
      <x:c r="D18" s="25"/>
      <x:c r="E18" s="25"/>
      <x:c r="F18" s="25"/>
      <x:c r="G18" s="25"/>
      <x:c r="H18" s="25"/>
      <x:c r="I18" s="25"/>
      <x:c r="J18" s="25"/>
      <x:c r="K18" s="25"/>
      <x:c r="L18" s="25"/>
      <x:c r="M18" s="25"/>
      <x:c r="N18" s="25"/>
    </x:row>
    <x:row r="19">
      <x:c r="A19" s="25"/>
      <x:c r="B19" s="25"/>
      <x:c r="C19" s="25"/>
      <x:c r="D19" s="25"/>
      <x:c r="E19" s="25"/>
      <x:c r="F19" s="25"/>
      <x:c r="G19" s="25"/>
      <x:c r="H19" s="25"/>
      <x:c r="I19" s="25"/>
      <x:c r="J19" s="25"/>
      <x:c r="K19" s="25"/>
      <x:c r="L19" s="25"/>
      <x:c r="M19" s="25"/>
      <x:c r="N19" s="25"/>
    </x:row>
    <x:row r="20">
      <x:c r="A20" s="25"/>
      <x:c r="B20" s="25"/>
      <x:c r="C20" s="25"/>
      <x:c r="D20" s="25"/>
      <x:c r="E20" s="25"/>
      <x:c r="F20" s="25"/>
      <x:c r="G20" s="25"/>
      <x:c r="H20" s="25"/>
      <x:c r="I20" s="25"/>
      <x:c r="J20" s="25"/>
      <x:c r="K20" s="25"/>
      <x:c r="L20" s="25"/>
      <x:c r="M20" s="25"/>
      <x:c r="N20" s="25"/>
    </x:row>
    <x:row r="21">
      <x:c r="A21" s="25"/>
      <x:c r="B21" s="25"/>
      <x:c r="C21" s="25"/>
      <x:c r="D21" s="25"/>
      <x:c r="E21" s="25"/>
      <x:c r="F21" s="25"/>
      <x:c r="G21" s="25"/>
      <x:c r="H21" s="25"/>
      <x:c r="I21" s="25"/>
      <x:c r="J21" s="25"/>
      <x:c r="K21" s="25"/>
      <x:c r="L21" s="25"/>
      <x:c r="M21" s="25"/>
      <x:c r="N21" s="25"/>
    </x:row>
    <x:row r="22">
      <x:c r="A22" s="25"/>
      <x:c r="B22" s="25"/>
      <x:c r="C22" s="25"/>
      <x:c r="D22" s="25"/>
      <x:c r="E22" s="25"/>
      <x:c r="F22" s="25"/>
      <x:c r="G22" s="25"/>
      <x:c r="H22" s="25"/>
      <x:c r="I22" s="25"/>
      <x:c r="J22" s="25"/>
      <x:c r="K22" s="25"/>
      <x:c r="L22" s="25"/>
      <x:c r="M22" s="25"/>
      <x:c r="N22" s="25"/>
    </x:row>
    <x:row r="23">
      <x:c r="A23" s="25"/>
      <x:c r="B23" s="25"/>
      <x:c r="C23" s="25"/>
      <x:c r="D23" s="25"/>
      <x:c r="E23" s="25"/>
      <x:c r="F23" s="25"/>
      <x:c r="G23" s="25"/>
      <x:c r="H23" s="25"/>
      <x:c r="I23" s="25"/>
      <x:c r="J23" s="25"/>
      <x:c r="K23" s="25"/>
      <x:c r="L23" s="25"/>
      <x:c r="M23" s="25"/>
      <x:c r="N23" s="25"/>
    </x:row>
    <x:row r="24">
      <x:c r="A24" s="25"/>
      <x:c r="B24" s="25"/>
      <x:c r="C24" s="25"/>
      <x:c r="D24" s="25"/>
      <x:c r="E24" s="25"/>
      <x:c r="F24" s="25"/>
      <x:c r="G24" s="25"/>
      <x:c r="H24" s="25"/>
      <x:c r="I24" s="25"/>
      <x:c r="J24" s="25"/>
      <x:c r="K24" s="25"/>
      <x:c r="L24" s="25"/>
      <x:c r="M24" s="25"/>
      <x:c r="N24" s="25"/>
    </x:row>
    <x:row r="25">
      <x:c r="A25" s="25"/>
      <x:c r="B25" s="25"/>
      <x:c r="C25" s="25"/>
      <x:c r="D25" s="25"/>
      <x:c r="E25" s="25"/>
      <x:c r="F25" s="25"/>
      <x:c r="G25" s="25"/>
      <x:c r="H25" s="25"/>
      <x:c r="I25" s="25"/>
      <x:c r="J25" s="25"/>
      <x:c r="K25" s="25"/>
      <x:c r="L25" s="25"/>
      <x:c r="M25" s="25"/>
      <x:c r="N25" s="25"/>
    </x:row>
    <x:row r="26">
      <x:c r="A26" s="25"/>
      <x:c r="B26" s="25"/>
      <x:c r="C26" s="25"/>
      <x:c r="D26" s="25"/>
      <x:c r="E26" s="25"/>
      <x:c r="F26" s="25"/>
      <x:c r="G26" s="25"/>
      <x:c r="H26" s="25"/>
      <x:c r="I26" s="25"/>
      <x:c r="J26" s="25"/>
      <x:c r="K26" s="25"/>
      <x:c r="L26" s="25"/>
      <x:c r="M26" s="25"/>
      <x:c r="N26" s="25"/>
    </x:row>
    <x:row r="27">
      <x:c r="A27" s="25"/>
      <x:c r="B27" s="25"/>
      <x:c r="C27" s="25"/>
      <x:c r="D27" s="25"/>
      <x:c r="E27" s="25"/>
      <x:c r="F27" s="25"/>
      <x:c r="G27" s="25"/>
      <x:c r="H27" s="25"/>
      <x:c r="I27" s="25"/>
      <x:c r="J27" s="25"/>
      <x:c r="K27" s="25"/>
      <x:c r="L27" s="25"/>
      <x:c r="M27" s="25"/>
      <x:c r="N27" s="25"/>
    </x:row>
    <x:row r="28">
      <x:c r="A28" s="25"/>
      <x:c r="B28" s="25"/>
      <x:c r="C28" s="25"/>
      <x:c r="D28" s="25"/>
      <x:c r="E28" s="25"/>
      <x:c r="F28" s="25"/>
      <x:c r="G28" s="25"/>
      <x:c r="H28" s="25"/>
      <x:c r="I28" s="25"/>
      <x:c r="J28" s="25"/>
      <x:c r="K28" s="25"/>
      <x:c r="L28" s="25"/>
      <x:c r="M28" s="25"/>
      <x:c r="N28" s="25"/>
    </x:row>
    <x:row r="29">
      <x:c r="A29" s="25"/>
      <x:c r="B29" s="25"/>
      <x:c r="C29" s="25"/>
      <x:c r="D29" s="25"/>
      <x:c r="E29" s="25"/>
      <x:c r="F29" s="25"/>
      <x:c r="G29" s="25"/>
      <x:c r="H29" s="25"/>
      <x:c r="I29" s="25"/>
      <x:c r="J29" s="25"/>
      <x:c r="K29" s="25"/>
      <x:c r="L29" s="25"/>
      <x:c r="M29" s="25"/>
      <x:c r="N29" s="25"/>
    </x:row>
    <x:row r="30">
      <x:c r="A30" s="25"/>
      <x:c r="B30" s="25"/>
      <x:c r="C30" s="25"/>
      <x:c r="D30" s="25"/>
      <x:c r="E30" s="25"/>
      <x:c r="F30" s="25"/>
      <x:c r="G30" s="25"/>
      <x:c r="H30" s="25"/>
      <x:c r="I30" s="25"/>
      <x:c r="J30" s="25"/>
      <x:c r="K30" s="25"/>
      <x:c r="L30" s="25"/>
      <x:c r="M30" s="25"/>
      <x:c r="N30" s="25"/>
    </x:row>
    <x:row r="31">
      <x:c r="A31" s="25"/>
      <x:c r="B31" s="25"/>
      <x:c r="C31" s="25"/>
      <x:c r="D31" s="25"/>
      <x:c r="E31" s="25"/>
      <x:c r="F31" s="25"/>
      <x:c r="G31" s="25"/>
      <x:c r="H31" s="25"/>
      <x:c r="I31" s="25"/>
      <x:c r="J31" s="25"/>
      <x:c r="K31" s="25"/>
      <x:c r="L31" s="25"/>
      <x:c r="M31" s="25"/>
      <x:c r="N31" s="25"/>
    </x:row>
    <x:row r="32">
      <x:c r="A32" s="25"/>
      <x:c r="B32" s="25"/>
      <x:c r="C32" s="25"/>
      <x:c r="D32" s="25"/>
      <x:c r="E32" s="25"/>
      <x:c r="F32" s="25"/>
      <x:c r="G32" s="25"/>
      <x:c r="H32" s="25"/>
      <x:c r="I32" s="25"/>
      <x:c r="J32" s="25"/>
      <x:c r="K32" s="25"/>
      <x:c r="L32" s="25"/>
      <x:c r="M32" s="25"/>
      <x:c r="N32" s="25"/>
    </x:row>
    <x:row r="33">
      <x:c r="A33" s="25"/>
      <x:c r="B33" s="25"/>
      <x:c r="C33" s="25"/>
      <x:c r="D33" s="25"/>
      <x:c r="E33" s="25"/>
      <x:c r="F33" s="25"/>
      <x:c r="G33" s="25"/>
      <x:c r="H33" s="25"/>
      <x:c r="I33" s="25"/>
      <x:c r="J33" s="25"/>
      <x:c r="K33" s="25"/>
      <x:c r="L33" s="25"/>
      <x:c r="M33" s="25"/>
      <x:c r="N33" s="25"/>
    </x:row>
    <x:row r="34">
      <x:c r="A34" s="25"/>
      <x:c r="B34" s="25"/>
      <x:c r="C34" s="25"/>
      <x:c r="D34" s="25"/>
      <x:c r="E34" s="25"/>
      <x:c r="F34" s="25"/>
      <x:c r="G34" s="25"/>
      <x:c r="H34" s="25"/>
      <x:c r="I34" s="25"/>
      <x:c r="J34" s="25"/>
      <x:c r="K34" s="25"/>
      <x:c r="L34" s="25"/>
      <x:c r="M34" s="25"/>
      <x:c r="N34" s="25"/>
    </x:row>
    <x:row r="35">
      <x:c r="A35" s="25"/>
      <x:c r="B35" s="25"/>
      <x:c r="C35" s="25"/>
      <x:c r="D35" s="25"/>
      <x:c r="E35" s="25"/>
      <x:c r="F35" s="25"/>
      <x:c r="G35" s="25"/>
      <x:c r="H35" s="25"/>
      <x:c r="I35" s="25"/>
      <x:c r="J35" s="25"/>
      <x:c r="K35" s="25"/>
      <x:c r="L35" s="25"/>
      <x:c r="M35" s="25"/>
      <x:c r="N35" s="25"/>
    </x:row>
    <x:row r="36">
      <x:c r="A36" s="25"/>
      <x:c r="B36" s="25"/>
      <x:c r="C36" s="25"/>
      <x:c r="D36" s="25"/>
      <x:c r="E36" s="25"/>
      <x:c r="F36" s="25"/>
      <x:c r="G36" s="25"/>
      <x:c r="H36" s="25"/>
      <x:c r="I36" s="25"/>
      <x:c r="J36" s="25"/>
      <x:c r="K36" s="25"/>
      <x:c r="L36" s="25"/>
      <x:c r="M36" s="25"/>
      <x:c r="N36" s="25"/>
    </x:row>
    <x:row r="37">
      <x:c r="A37" s="25"/>
      <x:c r="B37" s="25"/>
      <x:c r="C37" s="25"/>
      <x:c r="D37" s="25"/>
      <x:c r="E37" s="25"/>
      <x:c r="F37" s="25"/>
      <x:c r="G37" s="25"/>
      <x:c r="H37" s="25"/>
      <x:c r="I37" s="25"/>
      <x:c r="J37" s="25"/>
      <x:c r="K37" s="25"/>
      <x:c r="L37" s="25"/>
      <x:c r="M37" s="25"/>
      <x:c r="N37" s="25"/>
    </x:row>
    <x:row r="38">
      <x:c r="A38" s="25"/>
      <x:c r="B38" s="25"/>
      <x:c r="C38" s="25"/>
      <x:c r="D38" s="25"/>
      <x:c r="E38" s="25"/>
      <x:c r="F38" s="25"/>
      <x:c r="G38" s="25"/>
      <x:c r="H38" s="25"/>
      <x:c r="I38" s="25"/>
      <x:c r="J38" s="25"/>
      <x:c r="K38" s="25"/>
      <x:c r="L38" s="25"/>
      <x:c r="M38" s="25"/>
      <x:c r="N38" s="25"/>
    </x:row>
    <x:row r="39">
      <x:c r="A39" s="25"/>
      <x:c r="B39" s="25"/>
      <x:c r="C39" s="25"/>
      <x:c r="D39" s="25"/>
      <x:c r="E39" s="25"/>
      <x:c r="F39" s="25"/>
      <x:c r="G39" s="25"/>
      <x:c r="H39" s="25"/>
      <x:c r="I39" s="25"/>
      <x:c r="J39" s="25"/>
      <x:c r="K39" s="25"/>
      <x:c r="L39" s="25"/>
      <x:c r="M39" s="25"/>
      <x:c r="N39" s="25"/>
    </x:row>
    <x:row r="40">
      <x:c r="A40" s="25"/>
      <x:c r="B40" s="25"/>
      <x:c r="C40" s="25"/>
      <x:c r="D40" s="25"/>
      <x:c r="E40" s="25"/>
      <x:c r="F40" s="25"/>
      <x:c r="G40" s="25"/>
      <x:c r="H40" s="25"/>
      <x:c r="I40" s="25"/>
      <x:c r="J40" s="25"/>
      <x:c r="K40" s="25"/>
      <x:c r="L40" s="25"/>
      <x:c r="M40" s="25"/>
      <x:c r="N40" s="25"/>
    </x:row>
    <x:row r="41">
      <x:c r="A41" s="25"/>
      <x:c r="B41" s="25"/>
      <x:c r="C41" s="25"/>
      <x:c r="D41" s="25"/>
      <x:c r="E41" s="25"/>
      <x:c r="F41" s="25"/>
      <x:c r="G41" s="25"/>
      <x:c r="H41" s="25"/>
      <x:c r="I41" s="25"/>
      <x:c r="J41" s="25"/>
      <x:c r="K41" s="25"/>
      <x:c r="L41" s="25"/>
      <x:c r="M41" s="25"/>
      <x:c r="N41" s="25"/>
    </x:row>
    <x:row r="42">
      <x:c r="A42" s="25"/>
      <x:c r="B42" s="25"/>
      <x:c r="C42" s="25"/>
      <x:c r="D42" s="25"/>
      <x:c r="E42" s="25"/>
      <x:c r="F42" s="25"/>
      <x:c r="G42" s="25"/>
      <x:c r="H42" s="25"/>
      <x:c r="I42" s="25"/>
      <x:c r="J42" s="25"/>
      <x:c r="K42" s="25"/>
      <x:c r="L42" s="25"/>
      <x:c r="M42" s="25"/>
      <x:c r="N42" s="25"/>
    </x:row>
    <x:row r="43">
      <x:c r="A43" s="25"/>
      <x:c r="B43" s="25"/>
      <x:c r="C43" s="25"/>
      <x:c r="D43" s="25"/>
      <x:c r="E43" s="25"/>
      <x:c r="F43" s="25"/>
      <x:c r="G43" s="25"/>
      <x:c r="H43" s="25"/>
      <x:c r="I43" s="25"/>
      <x:c r="J43" s="25"/>
      <x:c r="K43" s="25"/>
      <x:c r="L43" s="25"/>
      <x:c r="M43" s="25"/>
      <x:c r="N43" s="25"/>
    </x:row>
    <x:row r="44">
      <x:c r="A44" s="25"/>
      <x:c r="B44" s="25"/>
      <x:c r="C44" s="25"/>
      <x:c r="D44" s="25"/>
      <x:c r="E44" s="25"/>
      <x:c r="F44" s="25"/>
      <x:c r="G44" s="25"/>
      <x:c r="H44" s="25"/>
      <x:c r="I44" s="25"/>
      <x:c r="J44" s="25"/>
      <x:c r="K44" s="25"/>
      <x:c r="L44" s="25"/>
      <x:c r="M44" s="25"/>
      <x:c r="N44" s="25"/>
    </x:row>
    <x:row r="45">
      <x:c r="A45" s="25"/>
      <x:c r="B45" s="25"/>
      <x:c r="C45" s="25"/>
      <x:c r="D45" s="25"/>
      <x:c r="E45" s="25"/>
      <x:c r="F45" s="25"/>
      <x:c r="G45" s="25"/>
      <x:c r="H45" s="25"/>
      <x:c r="I45" s="25"/>
      <x:c r="J45" s="25"/>
      <x:c r="K45" s="25"/>
      <x:c r="L45" s="25"/>
      <x:c r="M45" s="25"/>
      <x:c r="N45" s="25"/>
    </x:row>
    <x:row r="46">
      <x:c r="A46" s="25"/>
      <x:c r="B46" s="25"/>
      <x:c r="C46" s="25"/>
      <x:c r="D46" s="25"/>
      <x:c r="E46" s="25"/>
      <x:c r="F46" s="25"/>
      <x:c r="G46" s="25"/>
      <x:c r="H46" s="25"/>
      <x:c r="I46" s="25"/>
      <x:c r="J46" s="25"/>
      <x:c r="K46" s="25"/>
      <x:c r="L46" s="25"/>
      <x:c r="M46" s="25"/>
      <x:c r="N46" s="25"/>
    </x:row>
    <x:row r="47">
      <x:c r="A47" s="25"/>
      <x:c r="B47" s="25"/>
      <x:c r="C47" s="25"/>
      <x:c r="D47" s="25"/>
      <x:c r="E47" s="25"/>
      <x:c r="F47" s="25"/>
      <x:c r="G47" s="25"/>
      <x:c r="H47" s="25"/>
      <x:c r="I47" s="25"/>
      <x:c r="J47" s="25"/>
      <x:c r="K47" s="25"/>
      <x:c r="L47" s="25"/>
      <x:c r="M47" s="25"/>
      <x:c r="N47" s="25"/>
    </x:row>
    <x:row r="48">
      <x:c r="A48" s="25"/>
      <x:c r="B48" s="25"/>
      <x:c r="C48" s="25"/>
      <x:c r="D48" s="25"/>
      <x:c r="E48" s="25"/>
      <x:c r="F48" s="25"/>
      <x:c r="G48" s="25"/>
      <x:c r="H48" s="25"/>
      <x:c r="I48" s="25"/>
      <x:c r="J48" s="25"/>
      <x:c r="K48" s="25"/>
      <x:c r="L48" s="25"/>
      <x:c r="M48" s="25"/>
      <x:c r="N48" s="25"/>
    </x:row>
    <x:row r="49">
      <x:c r="A49" s="25"/>
      <x:c r="B49" s="25"/>
      <x:c r="C49" s="25"/>
      <x:c r="D49" s="25"/>
      <x:c r="E49" s="25"/>
      <x:c r="F49" s="25"/>
      <x:c r="G49" s="25"/>
      <x:c r="H49" s="25"/>
      <x:c r="I49" s="25"/>
      <x:c r="J49" s="25"/>
      <x:c r="K49" s="25"/>
      <x:c r="L49" s="25"/>
      <x:c r="M49" s="25"/>
      <x:c r="N49" s="25"/>
    </x:row>
    <x:row r="50">
      <x:c r="A50" s="25"/>
      <x:c r="B50" s="25"/>
      <x:c r="C50" s="25"/>
      <x:c r="D50" s="25"/>
      <x:c r="E50" s="25"/>
      <x:c r="F50" s="25"/>
      <x:c r="G50" s="25"/>
      <x:c r="H50" s="25"/>
      <x:c r="I50" s="25"/>
      <x:c r="J50" s="25"/>
      <x:c r="K50" s="25"/>
      <x:c r="L50" s="25"/>
      <x:c r="M50" s="25"/>
      <x:c r="N50" s="25"/>
    </x:row>
    <x:row r="51">
      <x:c r="A51" s="25"/>
      <x:c r="B51" s="25"/>
      <x:c r="C51" s="25"/>
      <x:c r="D51" s="25"/>
      <x:c r="E51" s="25"/>
      <x:c r="F51" s="25"/>
      <x:c r="G51" s="25"/>
      <x:c r="H51" s="25"/>
      <x:c r="I51" s="25"/>
      <x:c r="J51" s="25"/>
      <x:c r="K51" s="25"/>
      <x:c r="L51" s="25"/>
      <x:c r="M51" s="25"/>
      <x:c r="N51" s="25"/>
    </x:row>
    <x:row r="52">
      <x:c r="A52" s="25"/>
      <x:c r="B52" s="25"/>
      <x:c r="C52" s="25"/>
      <x:c r="D52" s="25"/>
      <x:c r="E52" s="25"/>
      <x:c r="F52" s="25"/>
      <x:c r="G52" s="25"/>
      <x:c r="H52" s="25"/>
      <x:c r="I52" s="25"/>
      <x:c r="J52" s="25"/>
      <x:c r="K52" s="25"/>
      <x:c r="L52" s="25"/>
      <x:c r="M52" s="25"/>
      <x:c r="N52" s="25"/>
    </x:row>
    <x:row r="53">
      <x:c r="A53" s="25"/>
      <x:c r="B53" s="25"/>
      <x:c r="C53" s="25"/>
      <x:c r="D53" s="25"/>
      <x:c r="E53" s="25"/>
      <x:c r="F53" s="25"/>
      <x:c r="G53" s="25"/>
      <x:c r="H53" s="25"/>
      <x:c r="I53" s="25"/>
      <x:c r="J53" s="25"/>
      <x:c r="K53" s="25"/>
      <x:c r="L53" s="25"/>
      <x:c r="M53" s="25"/>
      <x:c r="N53" s="25"/>
    </x:row>
    <x:row r="54">
      <x:c r="A54" s="25"/>
      <x:c r="B54" s="25"/>
      <x:c r="C54" s="25"/>
      <x:c r="D54" s="25"/>
      <x:c r="E54" s="25"/>
      <x:c r="F54" s="25"/>
      <x:c r="G54" s="25"/>
      <x:c r="H54" s="25"/>
      <x:c r="I54" s="25"/>
      <x:c r="J54" s="25"/>
      <x:c r="K54" s="25"/>
      <x:c r="L54" s="25"/>
      <x:c r="M54" s="25"/>
      <x:c r="N54" s="25"/>
    </x:row>
    <x:row r="55">
      <x:c r="A55" s="25"/>
      <x:c r="B55" s="25"/>
      <x:c r="C55" s="25"/>
      <x:c r="D55" s="25"/>
      <x:c r="E55" s="25"/>
      <x:c r="F55" s="25"/>
      <x:c r="G55" s="25"/>
      <x:c r="H55" s="25"/>
      <x:c r="I55" s="25"/>
      <x:c r="J55" s="25"/>
      <x:c r="K55" s="25"/>
      <x:c r="L55" s="25"/>
      <x:c r="M55" s="25"/>
      <x:c r="N55" s="25"/>
    </x:row>
    <x:row r="56">
      <x:c r="A56" s="25"/>
      <x:c r="B56" s="25"/>
      <x:c r="C56" s="25"/>
      <x:c r="D56" s="25"/>
      <x:c r="E56" s="25"/>
      <x:c r="F56" s="25"/>
      <x:c r="G56" s="25"/>
      <x:c r="H56" s="25"/>
      <x:c r="I56" s="25"/>
      <x:c r="J56" s="25"/>
      <x:c r="K56" s="25"/>
      <x:c r="L56" s="25"/>
      <x:c r="M56" s="25"/>
      <x:c r="N56" s="25"/>
    </x:row>
    <x:row r="57">
      <x:c r="A57" s="25"/>
      <x:c r="B57" s="25"/>
      <x:c r="C57" s="25"/>
      <x:c r="D57" s="25"/>
      <x:c r="E57" s="25"/>
      <x:c r="F57" s="25"/>
      <x:c r="G57" s="25"/>
      <x:c r="H57" s="25"/>
      <x:c r="I57" s="25"/>
      <x:c r="J57" s="25"/>
      <x:c r="K57" s="25"/>
      <x:c r="L57" s="25"/>
      <x:c r="M57" s="25"/>
      <x:c r="N57" s="25"/>
    </x:row>
    <x:row r="58">
      <x:c r="A58" s="25"/>
      <x:c r="B58" s="25"/>
      <x:c r="C58" s="25"/>
      <x:c r="D58" s="25"/>
      <x:c r="E58" s="25"/>
      <x:c r="F58" s="25"/>
      <x:c r="G58" s="25"/>
      <x:c r="H58" s="25"/>
      <x:c r="I58" s="25"/>
      <x:c r="J58" s="25"/>
      <x:c r="K58" s="25"/>
      <x:c r="L58" s="25"/>
      <x:c r="M58" s="25"/>
      <x:c r="N58" s="25"/>
    </x:row>
    <x:row r="59">
      <x:c r="A59" s="25"/>
      <x:c r="B59" s="25"/>
      <x:c r="C59" s="25"/>
      <x:c r="D59" s="25"/>
      <x:c r="E59" s="25"/>
      <x:c r="F59" s="25"/>
      <x:c r="G59" s="25"/>
      <x:c r="H59" s="25"/>
      <x:c r="I59" s="25"/>
      <x:c r="J59" s="25"/>
      <x:c r="K59" s="25"/>
      <x:c r="L59" s="25"/>
      <x:c r="M59" s="25"/>
      <x:c r="N59" s="25"/>
    </x:row>
    <x:row r="60">
      <x:c r="A60" s="25"/>
      <x:c r="B60" s="25"/>
      <x:c r="C60" s="25"/>
      <x:c r="D60" s="25"/>
      <x:c r="E60" s="25"/>
      <x:c r="F60" s="25"/>
      <x:c r="G60" s="25"/>
      <x:c r="H60" s="25"/>
      <x:c r="I60" s="25"/>
      <x:c r="J60" s="25"/>
      <x:c r="K60" s="25"/>
      <x:c r="L60" s="25"/>
      <x:c r="M60" s="25"/>
      <x:c r="N60" s="25"/>
    </x:row>
    <x:row r="61">
      <x:c r="A61" s="25"/>
      <x:c r="B61" s="25"/>
      <x:c r="C61" s="25"/>
      <x:c r="D61" s="25"/>
      <x:c r="E61" s="25"/>
      <x:c r="F61" s="25"/>
      <x:c r="G61" s="25"/>
      <x:c r="H61" s="25"/>
      <x:c r="I61" s="25"/>
      <x:c r="J61" s="25"/>
      <x:c r="K61" s="25"/>
      <x:c r="L61" s="25"/>
      <x:c r="M61" s="25"/>
      <x:c r="N61" s="25"/>
    </x:row>
    <x:row r="62">
      <x:c r="A62" s="25"/>
      <x:c r="B62" s="25"/>
      <x:c r="C62" s="25"/>
      <x:c r="D62" s="25"/>
      <x:c r="E62" s="25"/>
      <x:c r="F62" s="25"/>
      <x:c r="G62" s="25"/>
      <x:c r="H62" s="25"/>
      <x:c r="I62" s="25"/>
      <x:c r="J62" s="25"/>
      <x:c r="K62" s="25"/>
      <x:c r="L62" s="25"/>
      <x:c r="M62" s="25"/>
      <x:c r="N62" s="25"/>
    </x:row>
    <x:row r="63">
      <x:c r="A63" s="25"/>
      <x:c r="B63" s="25"/>
      <x:c r="C63" s="25"/>
      <x:c r="D63" s="25"/>
      <x:c r="E63" s="25"/>
      <x:c r="F63" s="25"/>
      <x:c r="G63" s="25"/>
      <x:c r="H63" s="25"/>
      <x:c r="I63" s="25"/>
      <x:c r="J63" s="25"/>
      <x:c r="K63" s="25"/>
      <x:c r="L63" s="25"/>
      <x:c r="M63" s="25"/>
      <x:c r="N63" s="25"/>
    </x:row>
    <x:row r="64">
      <x:c r="A64" s="25"/>
      <x:c r="B64" s="25"/>
      <x:c r="C64" s="25"/>
      <x:c r="D64" s="25"/>
      <x:c r="E64" s="25"/>
      <x:c r="F64" s="25"/>
      <x:c r="G64" s="25"/>
      <x:c r="H64" s="25"/>
      <x:c r="I64" s="25"/>
      <x:c r="J64" s="25"/>
      <x:c r="K64" s="25"/>
      <x:c r="L64" s="25"/>
      <x:c r="M64" s="25"/>
      <x:c r="N64" s="25"/>
    </x:row>
    <x:row r="65">
      <x:c r="A65" s="25"/>
      <x:c r="B65" s="25"/>
      <x:c r="C65" s="25"/>
      <x:c r="D65" s="25"/>
      <x:c r="E65" s="25"/>
      <x:c r="F65" s="25"/>
      <x:c r="G65" s="25"/>
      <x:c r="H65" s="25"/>
      <x:c r="I65" s="25"/>
      <x:c r="J65" s="25"/>
      <x:c r="K65" s="25"/>
      <x:c r="L65" s="25"/>
      <x:c r="M65" s="25"/>
      <x:c r="N65" s="25"/>
    </x:row>
    <x:row r="66">
      <x:c r="A66" s="25"/>
      <x:c r="B66" s="25"/>
      <x:c r="C66" s="25"/>
      <x:c r="D66" s="25"/>
      <x:c r="E66" s="25"/>
      <x:c r="F66" s="25"/>
      <x:c r="G66" s="25"/>
      <x:c r="H66" s="25"/>
      <x:c r="I66" s="25"/>
      <x:c r="J66" s="25"/>
      <x:c r="K66" s="25"/>
      <x:c r="L66" s="25"/>
      <x:c r="M66" s="25"/>
      <x:c r="N66" s="25"/>
    </x:row>
    <x:row r="67">
      <x:c r="A67" s="25"/>
      <x:c r="B67" s="25"/>
      <x:c r="C67" s="25"/>
      <x:c r="D67" s="25"/>
      <x:c r="E67" s="25"/>
      <x:c r="F67" s="25"/>
      <x:c r="G67" s="25"/>
      <x:c r="H67" s="25"/>
      <x:c r="I67" s="25"/>
      <x:c r="J67" s="25"/>
      <x:c r="K67" s="25"/>
      <x:c r="L67" s="25"/>
      <x:c r="M67" s="25"/>
      <x:c r="N67" s="25"/>
    </x:row>
    <x:row r="68">
      <x:c r="A68" s="25"/>
      <x:c r="B68" s="25"/>
      <x:c r="C68" s="25"/>
      <x:c r="D68" s="25"/>
      <x:c r="E68" s="25"/>
      <x:c r="F68" s="25"/>
      <x:c r="G68" s="25"/>
      <x:c r="H68" s="25"/>
      <x:c r="I68" s="25"/>
      <x:c r="J68" s="25"/>
      <x:c r="K68" s="25"/>
      <x:c r="L68" s="25"/>
      <x:c r="M68" s="25"/>
      <x:c r="N68" s="25"/>
    </x:row>
    <x:row r="69">
      <x:c r="A69" s="25"/>
      <x:c r="B69" s="25"/>
      <x:c r="C69" s="25"/>
      <x:c r="D69" s="25"/>
      <x:c r="E69" s="25"/>
      <x:c r="F69" s="25"/>
      <x:c r="G69" s="25"/>
      <x:c r="H69" s="25"/>
      <x:c r="I69" s="25"/>
      <x:c r="J69" s="25"/>
      <x:c r="K69" s="25"/>
      <x:c r="L69" s="25"/>
      <x:c r="M69" s="25"/>
      <x:c r="N69" s="25"/>
    </x:row>
    <x:row r="70">
      <x:c r="A70" s="25"/>
      <x:c r="B70" s="25"/>
      <x:c r="C70" s="25"/>
      <x:c r="D70" s="25"/>
      <x:c r="E70" s="25"/>
      <x:c r="F70" s="25"/>
      <x:c r="G70" s="25"/>
      <x:c r="H70" s="25"/>
      <x:c r="I70" s="25"/>
      <x:c r="J70" s="25"/>
      <x:c r="K70" s="25"/>
      <x:c r="L70" s="25"/>
      <x:c r="M70" s="25"/>
      <x:c r="N70" s="25"/>
    </x:row>
    <x:row r="71">
      <x:c r="A71" s="25"/>
      <x:c r="B71" s="25"/>
      <x:c r="C71" s="25"/>
      <x:c r="D71" s="25"/>
      <x:c r="E71" s="25"/>
      <x:c r="F71" s="25"/>
      <x:c r="G71" s="25"/>
      <x:c r="H71" s="25"/>
      <x:c r="I71" s="25"/>
      <x:c r="J71" s="25"/>
      <x:c r="K71" s="25"/>
      <x:c r="L71" s="25"/>
      <x:c r="M71" s="25"/>
      <x:c r="N71" s="25"/>
    </x:row>
    <x:row r="72">
      <x:c r="A72" s="25"/>
      <x:c r="B72" s="25"/>
      <x:c r="C72" s="25"/>
      <x:c r="D72" s="25"/>
      <x:c r="E72" s="25"/>
      <x:c r="F72" s="25"/>
      <x:c r="G72" s="25"/>
      <x:c r="H72" s="25"/>
      <x:c r="I72" s="25"/>
      <x:c r="J72" s="25"/>
      <x:c r="K72" s="25"/>
      <x:c r="L72" s="25"/>
      <x:c r="M72" s="25"/>
      <x:c r="N72" s="25"/>
    </x:row>
    <x:row r="73">
      <x:c r="A73" s="25"/>
      <x:c r="B73" s="25"/>
      <x:c r="C73" s="25"/>
      <x:c r="D73" s="25"/>
      <x:c r="E73" s="25"/>
      <x:c r="F73" s="25"/>
      <x:c r="G73" s="25"/>
      <x:c r="H73" s="25"/>
      <x:c r="I73" s="25"/>
      <x:c r="J73" s="25"/>
      <x:c r="K73" s="25"/>
      <x:c r="L73" s="25"/>
      <x:c r="M73" s="25"/>
      <x:c r="N73" s="25"/>
    </x:row>
    <x:row r="74">
      <x:c r="A74" s="25"/>
      <x:c r="B74" s="25"/>
      <x:c r="C74" s="25"/>
      <x:c r="D74" s="25"/>
      <x:c r="E74" s="25"/>
      <x:c r="F74" s="25"/>
      <x:c r="G74" s="25"/>
      <x:c r="H74" s="25"/>
      <x:c r="I74" s="25"/>
      <x:c r="J74" s="25"/>
      <x:c r="K74" s="25"/>
      <x:c r="L74" s="25"/>
      <x:c r="M74" s="25"/>
      <x:c r="N74" s="25"/>
    </x:row>
    <x:row r="75">
      <x:c r="A75" s="25"/>
      <x:c r="B75" s="25"/>
      <x:c r="C75" s="25"/>
      <x:c r="D75" s="25"/>
      <x:c r="E75" s="25"/>
      <x:c r="F75" s="25"/>
      <x:c r="G75" s="25"/>
      <x:c r="H75" s="25"/>
      <x:c r="I75" s="25"/>
      <x:c r="J75" s="25"/>
      <x:c r="K75" s="25"/>
      <x:c r="L75" s="25"/>
      <x:c r="M75" s="25"/>
      <x:c r="N75" s="25"/>
    </x:row>
    <x:row r="76">
      <x:c r="A76" s="25"/>
      <x:c r="B76" s="25"/>
      <x:c r="C76" s="25"/>
      <x:c r="D76" s="25"/>
      <x:c r="E76" s="25"/>
      <x:c r="F76" s="25"/>
      <x:c r="G76" s="25"/>
      <x:c r="H76" s="25"/>
      <x:c r="I76" s="25"/>
      <x:c r="J76" s="25"/>
      <x:c r="K76" s="25"/>
      <x:c r="L76" s="25"/>
      <x:c r="M76" s="25"/>
      <x:c r="N76" s="25"/>
    </x:row>
    <x:row r="77">
      <x:c r="A77" s="25"/>
      <x:c r="B77" s="25"/>
      <x:c r="C77" s="25"/>
      <x:c r="D77" s="25"/>
      <x:c r="E77" s="25"/>
      <x:c r="F77" s="25"/>
      <x:c r="G77" s="25"/>
      <x:c r="H77" s="25"/>
      <x:c r="I77" s="25"/>
      <x:c r="J77" s="25"/>
      <x:c r="K77" s="25"/>
      <x:c r="L77" s="25"/>
      <x:c r="M77" s="25"/>
      <x:c r="N77" s="25"/>
    </x:row>
    <x:row r="78">
      <x:c r="A78" s="25"/>
      <x:c r="B78" s="25"/>
      <x:c r="C78" s="25"/>
      <x:c r="D78" s="25"/>
      <x:c r="E78" s="25"/>
      <x:c r="F78" s="25"/>
      <x:c r="G78" s="25"/>
      <x:c r="H78" s="25"/>
      <x:c r="I78" s="25"/>
      <x:c r="J78" s="25"/>
      <x:c r="K78" s="25"/>
      <x:c r="L78" s="25"/>
      <x:c r="M78" s="25"/>
      <x:c r="N78" s="25"/>
    </x:row>
    <x:row r="79">
      <x:c r="A79" s="25"/>
      <x:c r="B79" s="25"/>
      <x:c r="C79" s="25"/>
      <x:c r="D79" s="25"/>
      <x:c r="E79" s="25"/>
      <x:c r="F79" s="25"/>
      <x:c r="G79" s="25"/>
      <x:c r="H79" s="25"/>
      <x:c r="I79" s="25"/>
      <x:c r="J79" s="25"/>
      <x:c r="K79" s="25"/>
      <x:c r="L79" s="25"/>
      <x:c r="M79" s="25"/>
      <x:c r="N79" s="25"/>
    </x:row>
    <x:row r="80">
      <x:c r="A80" s="25"/>
      <x:c r="B80" s="25"/>
      <x:c r="C80" s="25"/>
      <x:c r="D80" s="25"/>
      <x:c r="E80" s="25"/>
      <x:c r="F80" s="25"/>
      <x:c r="G80" s="25"/>
      <x:c r="H80" s="25"/>
      <x:c r="I80" s="25"/>
      <x:c r="J80" s="25"/>
      <x:c r="K80" s="25"/>
      <x:c r="L80" s="25"/>
      <x:c r="M80" s="25"/>
      <x:c r="N80" s="25"/>
    </x:row>
  </x:sheetData>
  <x:mergeCells>
    <x:mergeCell ref="A1:D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6" hidden="0" customWidth="1"/>
    <x:col min="3" max="3" width="14" hidden="0" customWidth="1"/>
    <x:col min="4" max="4" width="14" hidden="0" customWidth="1"/>
    <x:col min="5" max="5" width="18" hidden="0" customWidth="1"/>
    <x:col min="6" max="6" width="42" hidden="0" customWidth="1"/>
    <x:col min="7" max="7" width="58" hidden="0" customWidth="1"/>
  </x:cols>
  <x:sheetData>
    <x:row r="1">
      <x:c r="A1" s="24" t="str">
        <x:v>07 · NGUỒN / PROVENANCE</x:v>
      </x:c>
      <x:c r="B1" s="24"/>
      <x:c r="C1" s="24"/>
      <x:c r="D1" s="24"/>
      <x:c r="E1" s="24"/>
      <x:c r="F1" s="24"/>
      <x:c r="G1" s="24"/>
      <x:c r="H1" s="25"/>
      <x:c r="I1" s="25"/>
      <x:c r="J1" s="25"/>
      <x:c r="K1" s="25"/>
      <x:c r="L1" s="25"/>
      <x:c r="M1" s="25"/>
      <x:c r="N1" s="25"/>
    </x:row>
    <x:row r="2">
      <x:c r="A2" s="25"/>
      <x:c r="B2" s="25"/>
      <x:c r="C2" s="25"/>
      <x:c r="D2" s="25"/>
      <x:c r="E2" s="25"/>
      <x:c r="F2" s="25"/>
      <x:c r="G2" s="25"/>
      <x:c r="H2" s="25"/>
      <x:c r="I2" s="25"/>
      <x:c r="J2" s="25"/>
      <x:c r="K2" s="25"/>
      <x:c r="L2" s="25"/>
      <x:c r="M2" s="25"/>
      <x:c r="N2" s="25"/>
    </x:row>
    <x:row r="3">
      <x:c r="A3" s="26" t="str">
        <x:v>Mục</x:v>
      </x:c>
      <x:c r="B3" s="26" t="str">
        <x:v>Điều/Bảng/CT</x:v>
      </x:c>
      <x:c r="C3" s="26" t="str">
        <x:v>Trang chuẩn</x:v>
      </x:c>
      <x:c r="D3" s="26" t="str">
        <x:v>Trang PDF</x:v>
      </x:c>
      <x:c r="E3" s="26" t="str">
        <x:v>Trạng thái</x:v>
      </x:c>
      <x:c r="F3" s="26" t="str">
        <x:v>Dùng cho</x:v>
      </x:c>
      <x:c r="G3" s="26" t="str">
        <x:v>Ghi chú</x:v>
      </x:c>
      <x:c r="H3" s="25"/>
      <x:c r="I3" s="25"/>
      <x:c r="J3" s="25"/>
      <x:c r="K3" s="25"/>
      <x:c r="L3" s="25"/>
      <x:c r="M3" s="25"/>
      <x:c r="N3" s="25"/>
    </x:row>
    <x:row r="4">
      <x:c r="A4" s="25" t="str">
        <x:v>Định nghĩa PC/PHC/NPH</x:v>
      </x:c>
      <x:c r="B4" s="25" t="str">
        <x:v>3.1–3.3</x:v>
      </x:c>
      <x:c r="C4" s="25" t="str">
        <x:v>6</x:v>
      </x:c>
      <x:c r="D4" s="25" t="str">
        <x:v>6</x:v>
      </x:c>
      <x:c r="E4" s="25" t="str">
        <x:v>VERIFIED</x:v>
      </x:c>
      <x:c r="F4" s="25" t="str">
        <x:v>Ngưỡng 60/80 MPa</x:v>
      </x:c>
      <x:c r="G4" s="25" t="str"/>
      <x:c r="H4" s="25"/>
      <x:c r="I4" s="25"/>
      <x:c r="J4" s="25"/>
      <x:c r="K4" s="25"/>
      <x:c r="L4" s="25"/>
      <x:c r="M4" s="25"/>
      <x:c r="N4" s="25"/>
    </x:row>
    <x:row r="5">
      <x:c r="A5" s="25" t="str">
        <x:v>Phân cấp</x:v>
      </x:c>
      <x:c r="B5" s="25" t="str">
        <x:v>4.2</x:v>
      </x:c>
      <x:c r="C5" s="25" t="str">
        <x:v>7</x:v>
      </x:c>
      <x:c r="D5" s="25" t="str">
        <x:v>7</x:v>
      </x:c>
      <x:c r="E5" s="25" t="str">
        <x:v>VERIFIED</x:v>
      </x:c>
      <x:c r="F5" s="25" t="str">
        <x:v>PC/PHC A/AB/B/C; NPH A/B/C</x:v>
      </x:c>
      <x:c r="G5" s="25" t="str"/>
      <x:c r="H5" s="25"/>
      <x:c r="I5" s="25"/>
      <x:c r="J5" s="25"/>
      <x:c r="K5" s="25"/>
      <x:c r="L5" s="25"/>
      <x:c r="M5" s="25"/>
      <x:c r="N5" s="25"/>
    </x:row>
    <x:row r="6">
      <x:c r="A6" s="25" t="str">
        <x:v>Bê tông</x:v>
      </x:c>
      <x:c r="B6" s="25" t="str">
        <x:v>6.2</x:v>
      </x:c>
      <x:c r="C6" s="25" t="str">
        <x:v>10</x:v>
      </x:c>
      <x:c r="D6" s="25" t="str">
        <x:v>10</x:v>
      </x:c>
      <x:c r="E6" s="25" t="str">
        <x:v>VERIFIED</x:v>
      </x:c>
      <x:c r="F6" s="25" t="str">
        <x:v>σcu min</x:v>
      </x:c>
      <x:c r="G6" s="25" t="str"/>
      <x:c r="H6" s="25"/>
      <x:c r="I6" s="25"/>
      <x:c r="J6" s="25"/>
      <x:c r="K6" s="25"/>
      <x:c r="L6" s="25"/>
      <x:c r="M6" s="25"/>
      <x:c r="N6" s="25"/>
    </x:row>
    <x:row r="7">
      <x:c r="A7" s="25" t="str">
        <x:v>PC/PHC</x:v>
      </x:c>
      <x:c r="B7" s="25" t="str">
        <x:v>Bảng 1</x:v>
      </x:c>
      <x:c r="C7" s="25" t="str">
        <x:v>10–11</x:v>
      </x:c>
      <x:c r="D7" s="25" t="str">
        <x:v>10–11</x:v>
      </x:c>
      <x:c r="E7" s="25" t="str">
        <x:v>VERIFIED</x:v>
      </x:c>
      <x:c r="F7" s="25" t="str">
        <x:v>t/Mcr/σce/bền cắt/L</x:v>
      </x:c>
      <x:c r="G7" s="25" t="str">
        <x:v>Chú thích: bền cắt chỉ áp dụng PHC.</x:v>
      </x:c>
      <x:c r="H7" s="25"/>
      <x:c r="I7" s="25"/>
      <x:c r="J7" s="25"/>
      <x:c r="K7" s="25"/>
      <x:c r="L7" s="25"/>
      <x:c r="M7" s="25"/>
      <x:c r="N7" s="25"/>
    </x:row>
    <x:row r="8">
      <x:c r="A8" s="25" t="str">
        <x:v>NPH</x:v>
      </x:c>
      <x:c r="B8" s="25" t="str">
        <x:v>Bảng 2</x:v>
      </x:c>
      <x:c r="C8" s="25" t="str">
        <x:v>12</x:v>
      </x:c>
      <x:c r="D8" s="25" t="str">
        <x:v>12</x:v>
      </x:c>
      <x:c r="E8" s="25" t="str">
        <x:v>VERIFIED</x:v>
      </x:c>
      <x:c r="F8" s="25" t="str">
        <x:v>D/Dk/t/Mcr/σce/bền cắt</x:v>
      </x:c>
      <x:c r="G8" s="25" t="str"/>
      <x:c r="H8" s="25"/>
      <x:c r="I8" s="25"/>
      <x:c r="J8" s="25"/>
      <x:c r="K8" s="25"/>
      <x:c r="L8" s="25"/>
      <x:c r="M8" s="25"/>
      <x:c r="N8" s="25"/>
    </x:row>
    <x:row r="9">
      <x:c r="A9" s="25" t="str">
        <x:v>Sức kháng vật liệu</x:v>
      </x:c>
      <x:c r="B9" s="25" t="str">
        <x:v>Phụ lục B · B.1–B.5</x:v>
      </x:c>
      <x:c r="C9" s="25" t="str">
        <x:v>32–33</x:v>
      </x:c>
      <x:c r="D9" s="25" t="str">
        <x:v>32–33</x:v>
      </x:c>
      <x:c r="E9" s="25" t="str">
        <x:v>VERIFIED</x:v>
      </x:c>
      <x:c r="F9" s="25" t="str">
        <x:v>Ra dài/ngắn/Pmax</x:v>
      </x:c>
      <x:c r="G9" s="25" t="str">
        <x:v>Pmax≤80% ngắn hạn.</x:v>
      </x:c>
      <x:c r="H9" s="25"/>
      <x:c r="I9" s="25"/>
      <x:c r="J9" s="25"/>
      <x:c r="K9" s="25"/>
      <x:c r="L9" s="25"/>
      <x:c r="M9" s="25"/>
      <x:c r="N9" s="25"/>
    </x:row>
    <x:row r="10">
      <x:c r="A10" s="25"/>
      <x:c r="B10" s="25"/>
      <x:c r="C10" s="25"/>
      <x:c r="D10" s="25"/>
      <x:c r="E10" s="25"/>
      <x:c r="F10" s="25"/>
      <x:c r="G10" s="25"/>
      <x:c r="H10" s="25"/>
      <x:c r="I10" s="25"/>
      <x:c r="J10" s="25"/>
      <x:c r="K10" s="25"/>
      <x:c r="L10" s="25"/>
      <x:c r="M10" s="25"/>
      <x:c r="N10" s="25"/>
    </x:row>
    <x:row r="11">
      <x:c r="A11" s="25"/>
      <x:c r="B11" s="25"/>
      <x:c r="C11" s="25"/>
      <x:c r="D11" s="25"/>
      <x:c r="E11" s="25"/>
      <x:c r="F11" s="25"/>
      <x:c r="G11" s="25"/>
      <x:c r="H11" s="25"/>
      <x:c r="I11" s="25"/>
      <x:c r="J11" s="25"/>
      <x:c r="K11" s="25"/>
      <x:c r="L11" s="25"/>
      <x:c r="M11" s="25"/>
      <x:c r="N11" s="25"/>
    </x:row>
    <x:row r="12">
      <x:c r="A12" s="25"/>
      <x:c r="B12" s="25"/>
      <x:c r="C12" s="25"/>
      <x:c r="D12" s="25"/>
      <x:c r="E12" s="25"/>
      <x:c r="F12" s="25"/>
      <x:c r="G12" s="25"/>
      <x:c r="H12" s="25"/>
      <x:c r="I12" s="25"/>
      <x:c r="J12" s="25"/>
      <x:c r="K12" s="25"/>
      <x:c r="L12" s="25"/>
      <x:c r="M12" s="25"/>
      <x:c r="N12" s="25"/>
    </x:row>
    <x:row r="13">
      <x:c r="A13" s="25"/>
      <x:c r="B13" s="25"/>
      <x:c r="C13" s="25"/>
      <x:c r="D13" s="25"/>
      <x:c r="E13" s="25"/>
      <x:c r="F13" s="25"/>
      <x:c r="G13" s="25"/>
      <x:c r="H13" s="25"/>
      <x:c r="I13" s="25"/>
      <x:c r="J13" s="25"/>
      <x:c r="K13" s="25"/>
      <x:c r="L13" s="25"/>
      <x:c r="M13" s="25"/>
      <x:c r="N13" s="25"/>
    </x:row>
    <x:row r="14">
      <x:c r="A14" s="25"/>
      <x:c r="B14" s="25"/>
      <x:c r="C14" s="25"/>
      <x:c r="D14" s="25"/>
      <x:c r="E14" s="25"/>
      <x:c r="F14" s="25"/>
      <x:c r="G14" s="25"/>
      <x:c r="H14" s="25"/>
      <x:c r="I14" s="25"/>
      <x:c r="J14" s="25"/>
      <x:c r="K14" s="25"/>
      <x:c r="L14" s="25"/>
      <x:c r="M14" s="25"/>
      <x:c r="N14" s="25"/>
    </x:row>
    <x:row r="15">
      <x:c r="A15" s="25"/>
      <x:c r="B15" s="25"/>
      <x:c r="C15" s="25"/>
      <x:c r="D15" s="25"/>
      <x:c r="E15" s="25"/>
      <x:c r="F15" s="25"/>
      <x:c r="G15" s="25"/>
      <x:c r="H15" s="25"/>
      <x:c r="I15" s="25"/>
      <x:c r="J15" s="25"/>
      <x:c r="K15" s="25"/>
      <x:c r="L15" s="25"/>
      <x:c r="M15" s="25"/>
      <x:c r="N15" s="25"/>
    </x:row>
    <x:row r="16">
      <x:c r="A16" s="25"/>
      <x:c r="B16" s="25"/>
      <x:c r="C16" s="25"/>
      <x:c r="D16" s="25"/>
      <x:c r="E16" s="25"/>
      <x:c r="F16" s="25"/>
      <x:c r="G16" s="25"/>
      <x:c r="H16" s="25"/>
      <x:c r="I16" s="25"/>
      <x:c r="J16" s="25"/>
      <x:c r="K16" s="25"/>
      <x:c r="L16" s="25"/>
      <x:c r="M16" s="25"/>
      <x:c r="N16" s="25"/>
    </x:row>
    <x:row r="17">
      <x:c r="A17" s="25"/>
      <x:c r="B17" s="25"/>
      <x:c r="C17" s="25"/>
      <x:c r="D17" s="25"/>
      <x:c r="E17" s="25"/>
      <x:c r="F17" s="25"/>
      <x:c r="G17" s="25"/>
      <x:c r="H17" s="25"/>
      <x:c r="I17" s="25"/>
      <x:c r="J17" s="25"/>
      <x:c r="K17" s="25"/>
      <x:c r="L17" s="25"/>
      <x:c r="M17" s="25"/>
      <x:c r="N17" s="25"/>
    </x:row>
    <x:row r="18">
      <x:c r="A18" s="25"/>
      <x:c r="B18" s="25"/>
      <x:c r="C18" s="25"/>
      <x:c r="D18" s="25"/>
      <x:c r="E18" s="25"/>
      <x:c r="F18" s="25"/>
      <x:c r="G18" s="25"/>
      <x:c r="H18" s="25"/>
      <x:c r="I18" s="25"/>
      <x:c r="J18" s="25"/>
      <x:c r="K18" s="25"/>
      <x:c r="L18" s="25"/>
      <x:c r="M18" s="25"/>
      <x:c r="N18" s="25"/>
    </x:row>
    <x:row r="19">
      <x:c r="A19" s="25"/>
      <x:c r="B19" s="25"/>
      <x:c r="C19" s="25"/>
      <x:c r="D19" s="25"/>
      <x:c r="E19" s="25"/>
      <x:c r="F19" s="25"/>
      <x:c r="G19" s="25"/>
      <x:c r="H19" s="25"/>
      <x:c r="I19" s="25"/>
      <x:c r="J19" s="25"/>
      <x:c r="K19" s="25"/>
      <x:c r="L19" s="25"/>
      <x:c r="M19" s="25"/>
      <x:c r="N19" s="25"/>
    </x:row>
    <x:row r="20">
      <x:c r="A20" s="25"/>
      <x:c r="B20" s="25"/>
      <x:c r="C20" s="25"/>
      <x:c r="D20" s="25"/>
      <x:c r="E20" s="25"/>
      <x:c r="F20" s="25"/>
      <x:c r="G20" s="25"/>
      <x:c r="H20" s="25"/>
      <x:c r="I20" s="25"/>
      <x:c r="J20" s="25"/>
      <x:c r="K20" s="25"/>
      <x:c r="L20" s="25"/>
      <x:c r="M20" s="25"/>
      <x:c r="N20" s="25"/>
    </x:row>
    <x:row r="21">
      <x:c r="A21" s="25"/>
      <x:c r="B21" s="25"/>
      <x:c r="C21" s="25"/>
      <x:c r="D21" s="25"/>
      <x:c r="E21" s="25"/>
      <x:c r="F21" s="25"/>
      <x:c r="G21" s="25"/>
      <x:c r="H21" s="25"/>
      <x:c r="I21" s="25"/>
      <x:c r="J21" s="25"/>
      <x:c r="K21" s="25"/>
      <x:c r="L21" s="25"/>
      <x:c r="M21" s="25"/>
      <x:c r="N21" s="25"/>
    </x:row>
    <x:row r="22">
      <x:c r="A22" s="25"/>
      <x:c r="B22" s="25"/>
      <x:c r="C22" s="25"/>
      <x:c r="D22" s="25"/>
      <x:c r="E22" s="25"/>
      <x:c r="F22" s="25"/>
      <x:c r="G22" s="25"/>
      <x:c r="H22" s="25"/>
      <x:c r="I22" s="25"/>
      <x:c r="J22" s="25"/>
      <x:c r="K22" s="25"/>
      <x:c r="L22" s="25"/>
      <x:c r="M22" s="25"/>
      <x:c r="N22" s="25"/>
    </x:row>
    <x:row r="23">
      <x:c r="A23" s="25"/>
      <x:c r="B23" s="25"/>
      <x:c r="C23" s="25"/>
      <x:c r="D23" s="25"/>
      <x:c r="E23" s="25"/>
      <x:c r="F23" s="25"/>
      <x:c r="G23" s="25"/>
      <x:c r="H23" s="25"/>
      <x:c r="I23" s="25"/>
      <x:c r="J23" s="25"/>
      <x:c r="K23" s="25"/>
      <x:c r="L23" s="25"/>
      <x:c r="M23" s="25"/>
      <x:c r="N23" s="25"/>
    </x:row>
    <x:row r="24">
      <x:c r="A24" s="25"/>
      <x:c r="B24" s="25"/>
      <x:c r="C24" s="25"/>
      <x:c r="D24" s="25"/>
      <x:c r="E24" s="25"/>
      <x:c r="F24" s="25"/>
      <x:c r="G24" s="25"/>
      <x:c r="H24" s="25"/>
      <x:c r="I24" s="25"/>
      <x:c r="J24" s="25"/>
      <x:c r="K24" s="25"/>
      <x:c r="L24" s="25"/>
      <x:c r="M24" s="25"/>
      <x:c r="N24" s="25"/>
    </x:row>
    <x:row r="25">
      <x:c r="A25" s="25"/>
      <x:c r="B25" s="25"/>
      <x:c r="C25" s="25"/>
      <x:c r="D25" s="25"/>
      <x:c r="E25" s="25"/>
      <x:c r="F25" s="25"/>
      <x:c r="G25" s="25"/>
      <x:c r="H25" s="25"/>
      <x:c r="I25" s="25"/>
      <x:c r="J25" s="25"/>
      <x:c r="K25" s="25"/>
      <x:c r="L25" s="25"/>
      <x:c r="M25" s="25"/>
      <x:c r="N25" s="25"/>
    </x:row>
    <x:row r="26">
      <x:c r="A26" s="25"/>
      <x:c r="B26" s="25"/>
      <x:c r="C26" s="25"/>
      <x:c r="D26" s="25"/>
      <x:c r="E26" s="25"/>
      <x:c r="F26" s="25"/>
      <x:c r="G26" s="25"/>
      <x:c r="H26" s="25"/>
      <x:c r="I26" s="25"/>
      <x:c r="J26" s="25"/>
      <x:c r="K26" s="25"/>
      <x:c r="L26" s="25"/>
      <x:c r="M26" s="25"/>
      <x:c r="N26" s="25"/>
    </x:row>
    <x:row r="27">
      <x:c r="A27" s="25"/>
      <x:c r="B27" s="25"/>
      <x:c r="C27" s="25"/>
      <x:c r="D27" s="25"/>
      <x:c r="E27" s="25"/>
      <x:c r="F27" s="25"/>
      <x:c r="G27" s="25"/>
      <x:c r="H27" s="25"/>
      <x:c r="I27" s="25"/>
      <x:c r="J27" s="25"/>
      <x:c r="K27" s="25"/>
      <x:c r="L27" s="25"/>
      <x:c r="M27" s="25"/>
      <x:c r="N27" s="25"/>
    </x:row>
    <x:row r="28">
      <x:c r="A28" s="25"/>
      <x:c r="B28" s="25"/>
      <x:c r="C28" s="25"/>
      <x:c r="D28" s="25"/>
      <x:c r="E28" s="25"/>
      <x:c r="F28" s="25"/>
      <x:c r="G28" s="25"/>
      <x:c r="H28" s="25"/>
      <x:c r="I28" s="25"/>
      <x:c r="J28" s="25"/>
      <x:c r="K28" s="25"/>
      <x:c r="L28" s="25"/>
      <x:c r="M28" s="25"/>
      <x:c r="N28" s="25"/>
    </x:row>
    <x:row r="29">
      <x:c r="A29" s="25"/>
      <x:c r="B29" s="25"/>
      <x:c r="C29" s="25"/>
      <x:c r="D29" s="25"/>
      <x:c r="E29" s="25"/>
      <x:c r="F29" s="25"/>
      <x:c r="G29" s="25"/>
      <x:c r="H29" s="25"/>
      <x:c r="I29" s="25"/>
      <x:c r="J29" s="25"/>
      <x:c r="K29" s="25"/>
      <x:c r="L29" s="25"/>
      <x:c r="M29" s="25"/>
      <x:c r="N29" s="25"/>
    </x:row>
    <x:row r="30">
      <x:c r="A30" s="25"/>
      <x:c r="B30" s="25"/>
      <x:c r="C30" s="25"/>
      <x:c r="D30" s="25"/>
      <x:c r="E30" s="25"/>
      <x:c r="F30" s="25"/>
      <x:c r="G30" s="25"/>
      <x:c r="H30" s="25"/>
      <x:c r="I30" s="25"/>
      <x:c r="J30" s="25"/>
      <x:c r="K30" s="25"/>
      <x:c r="L30" s="25"/>
      <x:c r="M30" s="25"/>
      <x:c r="N30" s="25"/>
    </x:row>
    <x:row r="31">
      <x:c r="A31" s="25"/>
      <x:c r="B31" s="25"/>
      <x:c r="C31" s="25"/>
      <x:c r="D31" s="25"/>
      <x:c r="E31" s="25"/>
      <x:c r="F31" s="25"/>
      <x:c r="G31" s="25"/>
      <x:c r="H31" s="25"/>
      <x:c r="I31" s="25"/>
      <x:c r="J31" s="25"/>
      <x:c r="K31" s="25"/>
      <x:c r="L31" s="25"/>
      <x:c r="M31" s="25"/>
      <x:c r="N31" s="25"/>
    </x:row>
    <x:row r="32">
      <x:c r="A32" s="25"/>
      <x:c r="B32" s="25"/>
      <x:c r="C32" s="25"/>
      <x:c r="D32" s="25"/>
      <x:c r="E32" s="25"/>
      <x:c r="F32" s="25"/>
      <x:c r="G32" s="25"/>
      <x:c r="H32" s="25"/>
      <x:c r="I32" s="25"/>
      <x:c r="J32" s="25"/>
      <x:c r="K32" s="25"/>
      <x:c r="L32" s="25"/>
      <x:c r="M32" s="25"/>
      <x:c r="N32" s="25"/>
    </x:row>
    <x:row r="33">
      <x:c r="A33" s="25"/>
      <x:c r="B33" s="25"/>
      <x:c r="C33" s="25"/>
      <x:c r="D33" s="25"/>
      <x:c r="E33" s="25"/>
      <x:c r="F33" s="25"/>
      <x:c r="G33" s="25"/>
      <x:c r="H33" s="25"/>
      <x:c r="I33" s="25"/>
      <x:c r="J33" s="25"/>
      <x:c r="K33" s="25"/>
      <x:c r="L33" s="25"/>
      <x:c r="M33" s="25"/>
      <x:c r="N33" s="25"/>
    </x:row>
    <x:row r="34">
      <x:c r="A34" s="25"/>
      <x:c r="B34" s="25"/>
      <x:c r="C34" s="25"/>
      <x:c r="D34" s="25"/>
      <x:c r="E34" s="25"/>
      <x:c r="F34" s="25"/>
      <x:c r="G34" s="25"/>
      <x:c r="H34" s="25"/>
      <x:c r="I34" s="25"/>
      <x:c r="J34" s="25"/>
      <x:c r="K34" s="25"/>
      <x:c r="L34" s="25"/>
      <x:c r="M34" s="25"/>
      <x:c r="N34" s="25"/>
    </x:row>
    <x:row r="35">
      <x:c r="A35" s="25"/>
      <x:c r="B35" s="25"/>
      <x:c r="C35" s="25"/>
      <x:c r="D35" s="25"/>
      <x:c r="E35" s="25"/>
      <x:c r="F35" s="25"/>
      <x:c r="G35" s="25"/>
      <x:c r="H35" s="25"/>
      <x:c r="I35" s="25"/>
      <x:c r="J35" s="25"/>
      <x:c r="K35" s="25"/>
      <x:c r="L35" s="25"/>
      <x:c r="M35" s="25"/>
      <x:c r="N35" s="25"/>
    </x:row>
    <x:row r="36">
      <x:c r="A36" s="25"/>
      <x:c r="B36" s="25"/>
      <x:c r="C36" s="25"/>
      <x:c r="D36" s="25"/>
      <x:c r="E36" s="25"/>
      <x:c r="F36" s="25"/>
      <x:c r="G36" s="25"/>
      <x:c r="H36" s="25"/>
      <x:c r="I36" s="25"/>
      <x:c r="J36" s="25"/>
      <x:c r="K36" s="25"/>
      <x:c r="L36" s="25"/>
      <x:c r="M36" s="25"/>
      <x:c r="N36" s="25"/>
    </x:row>
    <x:row r="37">
      <x:c r="A37" s="25"/>
      <x:c r="B37" s="25"/>
      <x:c r="C37" s="25"/>
      <x:c r="D37" s="25"/>
      <x:c r="E37" s="25"/>
      <x:c r="F37" s="25"/>
      <x:c r="G37" s="25"/>
      <x:c r="H37" s="25"/>
      <x:c r="I37" s="25"/>
      <x:c r="J37" s="25"/>
      <x:c r="K37" s="25"/>
      <x:c r="L37" s="25"/>
      <x:c r="M37" s="25"/>
      <x:c r="N37" s="25"/>
    </x:row>
    <x:row r="38">
      <x:c r="A38" s="25"/>
      <x:c r="B38" s="25"/>
      <x:c r="C38" s="25"/>
      <x:c r="D38" s="25"/>
      <x:c r="E38" s="25"/>
      <x:c r="F38" s="25"/>
      <x:c r="G38" s="25"/>
      <x:c r="H38" s="25"/>
      <x:c r="I38" s="25"/>
      <x:c r="J38" s="25"/>
      <x:c r="K38" s="25"/>
      <x:c r="L38" s="25"/>
      <x:c r="M38" s="25"/>
      <x:c r="N38" s="25"/>
    </x:row>
    <x:row r="39">
      <x:c r="A39" s="25"/>
      <x:c r="B39" s="25"/>
      <x:c r="C39" s="25"/>
      <x:c r="D39" s="25"/>
      <x:c r="E39" s="25"/>
      <x:c r="F39" s="25"/>
      <x:c r="G39" s="25"/>
      <x:c r="H39" s="25"/>
      <x:c r="I39" s="25"/>
      <x:c r="J39" s="25"/>
      <x:c r="K39" s="25"/>
      <x:c r="L39" s="25"/>
      <x:c r="M39" s="25"/>
      <x:c r="N39" s="25"/>
    </x:row>
    <x:row r="40">
      <x:c r="A40" s="25"/>
      <x:c r="B40" s="25"/>
      <x:c r="C40" s="25"/>
      <x:c r="D40" s="25"/>
      <x:c r="E40" s="25"/>
      <x:c r="F40" s="25"/>
      <x:c r="G40" s="25"/>
      <x:c r="H40" s="25"/>
      <x:c r="I40" s="25"/>
      <x:c r="J40" s="25"/>
      <x:c r="K40" s="25"/>
      <x:c r="L40" s="25"/>
      <x:c r="M40" s="25"/>
      <x:c r="N40" s="25"/>
    </x:row>
    <x:row r="41">
      <x:c r="A41" s="25"/>
      <x:c r="B41" s="25"/>
      <x:c r="C41" s="25"/>
      <x:c r="D41" s="25"/>
      <x:c r="E41" s="25"/>
      <x:c r="F41" s="25"/>
      <x:c r="G41" s="25"/>
      <x:c r="H41" s="25"/>
      <x:c r="I41" s="25"/>
      <x:c r="J41" s="25"/>
      <x:c r="K41" s="25"/>
      <x:c r="L41" s="25"/>
      <x:c r="M41" s="25"/>
      <x:c r="N41" s="25"/>
    </x:row>
    <x:row r="42">
      <x:c r="A42" s="25"/>
      <x:c r="B42" s="25"/>
      <x:c r="C42" s="25"/>
      <x:c r="D42" s="25"/>
      <x:c r="E42" s="25"/>
      <x:c r="F42" s="25"/>
      <x:c r="G42" s="25"/>
      <x:c r="H42" s="25"/>
      <x:c r="I42" s="25"/>
      <x:c r="J42" s="25"/>
      <x:c r="K42" s="25"/>
      <x:c r="L42" s="25"/>
      <x:c r="M42" s="25"/>
      <x:c r="N42" s="25"/>
    </x:row>
    <x:row r="43">
      <x:c r="A43" s="25"/>
      <x:c r="B43" s="25"/>
      <x:c r="C43" s="25"/>
      <x:c r="D43" s="25"/>
      <x:c r="E43" s="25"/>
      <x:c r="F43" s="25"/>
      <x:c r="G43" s="25"/>
      <x:c r="H43" s="25"/>
      <x:c r="I43" s="25"/>
      <x:c r="J43" s="25"/>
      <x:c r="K43" s="25"/>
      <x:c r="L43" s="25"/>
      <x:c r="M43" s="25"/>
      <x:c r="N43" s="25"/>
    </x:row>
    <x:row r="44">
      <x:c r="A44" s="25"/>
      <x:c r="B44" s="25"/>
      <x:c r="C44" s="25"/>
      <x:c r="D44" s="25"/>
      <x:c r="E44" s="25"/>
      <x:c r="F44" s="25"/>
      <x:c r="G44" s="25"/>
      <x:c r="H44" s="25"/>
      <x:c r="I44" s="25"/>
      <x:c r="J44" s="25"/>
      <x:c r="K44" s="25"/>
      <x:c r="L44" s="25"/>
      <x:c r="M44" s="25"/>
      <x:c r="N44" s="25"/>
    </x:row>
    <x:row r="45">
      <x:c r="A45" s="25"/>
      <x:c r="B45" s="25"/>
      <x:c r="C45" s="25"/>
      <x:c r="D45" s="25"/>
      <x:c r="E45" s="25"/>
      <x:c r="F45" s="25"/>
      <x:c r="G45" s="25"/>
      <x:c r="H45" s="25"/>
      <x:c r="I45" s="25"/>
      <x:c r="J45" s="25"/>
      <x:c r="K45" s="25"/>
      <x:c r="L45" s="25"/>
      <x:c r="M45" s="25"/>
      <x:c r="N45" s="25"/>
    </x:row>
    <x:row r="46">
      <x:c r="A46" s="25"/>
      <x:c r="B46" s="25"/>
      <x:c r="C46" s="25"/>
      <x:c r="D46" s="25"/>
      <x:c r="E46" s="25"/>
      <x:c r="F46" s="25"/>
      <x:c r="G46" s="25"/>
      <x:c r="H46" s="25"/>
      <x:c r="I46" s="25"/>
      <x:c r="J46" s="25"/>
      <x:c r="K46" s="25"/>
      <x:c r="L46" s="25"/>
      <x:c r="M46" s="25"/>
      <x:c r="N46" s="25"/>
    </x:row>
    <x:row r="47">
      <x:c r="A47" s="25"/>
      <x:c r="B47" s="25"/>
      <x:c r="C47" s="25"/>
      <x:c r="D47" s="25"/>
      <x:c r="E47" s="25"/>
      <x:c r="F47" s="25"/>
      <x:c r="G47" s="25"/>
      <x:c r="H47" s="25"/>
      <x:c r="I47" s="25"/>
      <x:c r="J47" s="25"/>
      <x:c r="K47" s="25"/>
      <x:c r="L47" s="25"/>
      <x:c r="M47" s="25"/>
      <x:c r="N47" s="25"/>
    </x:row>
    <x:row r="48">
      <x:c r="A48" s="25"/>
      <x:c r="B48" s="25"/>
      <x:c r="C48" s="25"/>
      <x:c r="D48" s="25"/>
      <x:c r="E48" s="25"/>
      <x:c r="F48" s="25"/>
      <x:c r="G48" s="25"/>
      <x:c r="H48" s="25"/>
      <x:c r="I48" s="25"/>
      <x:c r="J48" s="25"/>
      <x:c r="K48" s="25"/>
      <x:c r="L48" s="25"/>
      <x:c r="M48" s="25"/>
      <x:c r="N48" s="25"/>
    </x:row>
    <x:row r="49">
      <x:c r="A49" s="25"/>
      <x:c r="B49" s="25"/>
      <x:c r="C49" s="25"/>
      <x:c r="D49" s="25"/>
      <x:c r="E49" s="25"/>
      <x:c r="F49" s="25"/>
      <x:c r="G49" s="25"/>
      <x:c r="H49" s="25"/>
      <x:c r="I49" s="25"/>
      <x:c r="J49" s="25"/>
      <x:c r="K49" s="25"/>
      <x:c r="L49" s="25"/>
      <x:c r="M49" s="25"/>
      <x:c r="N49" s="25"/>
    </x:row>
    <x:row r="50">
      <x:c r="A50" s="25"/>
      <x:c r="B50" s="25"/>
      <x:c r="C50" s="25"/>
      <x:c r="D50" s="25"/>
      <x:c r="E50" s="25"/>
      <x:c r="F50" s="25"/>
      <x:c r="G50" s="25"/>
      <x:c r="H50" s="25"/>
      <x:c r="I50" s="25"/>
      <x:c r="J50" s="25"/>
      <x:c r="K50" s="25"/>
      <x:c r="L50" s="25"/>
      <x:c r="M50" s="25"/>
      <x:c r="N50" s="25"/>
    </x:row>
    <x:row r="51">
      <x:c r="A51" s="25"/>
      <x:c r="B51" s="25"/>
      <x:c r="C51" s="25"/>
      <x:c r="D51" s="25"/>
      <x:c r="E51" s="25"/>
      <x:c r="F51" s="25"/>
      <x:c r="G51" s="25"/>
      <x:c r="H51" s="25"/>
      <x:c r="I51" s="25"/>
      <x:c r="J51" s="25"/>
      <x:c r="K51" s="25"/>
      <x:c r="L51" s="25"/>
      <x:c r="M51" s="25"/>
      <x:c r="N51" s="25"/>
    </x:row>
    <x:row r="52">
      <x:c r="A52" s="25"/>
      <x:c r="B52" s="25"/>
      <x:c r="C52" s="25"/>
      <x:c r="D52" s="25"/>
      <x:c r="E52" s="25"/>
      <x:c r="F52" s="25"/>
      <x:c r="G52" s="25"/>
      <x:c r="H52" s="25"/>
      <x:c r="I52" s="25"/>
      <x:c r="J52" s="25"/>
      <x:c r="K52" s="25"/>
      <x:c r="L52" s="25"/>
      <x:c r="M52" s="25"/>
      <x:c r="N52" s="25"/>
    </x:row>
    <x:row r="53">
      <x:c r="A53" s="25"/>
      <x:c r="B53" s="25"/>
      <x:c r="C53" s="25"/>
      <x:c r="D53" s="25"/>
      <x:c r="E53" s="25"/>
      <x:c r="F53" s="25"/>
      <x:c r="G53" s="25"/>
      <x:c r="H53" s="25"/>
      <x:c r="I53" s="25"/>
      <x:c r="J53" s="25"/>
      <x:c r="K53" s="25"/>
      <x:c r="L53" s="25"/>
      <x:c r="M53" s="25"/>
      <x:c r="N53" s="25"/>
    </x:row>
    <x:row r="54">
      <x:c r="A54" s="25"/>
      <x:c r="B54" s="25"/>
      <x:c r="C54" s="25"/>
      <x:c r="D54" s="25"/>
      <x:c r="E54" s="25"/>
      <x:c r="F54" s="25"/>
      <x:c r="G54" s="25"/>
      <x:c r="H54" s="25"/>
      <x:c r="I54" s="25"/>
      <x:c r="J54" s="25"/>
      <x:c r="K54" s="25"/>
      <x:c r="L54" s="25"/>
      <x:c r="M54" s="25"/>
      <x:c r="N54" s="25"/>
    </x:row>
    <x:row r="55">
      <x:c r="A55" s="25"/>
      <x:c r="B55" s="25"/>
      <x:c r="C55" s="25"/>
      <x:c r="D55" s="25"/>
      <x:c r="E55" s="25"/>
      <x:c r="F55" s="25"/>
      <x:c r="G55" s="25"/>
      <x:c r="H55" s="25"/>
      <x:c r="I55" s="25"/>
      <x:c r="J55" s="25"/>
      <x:c r="K55" s="25"/>
      <x:c r="L55" s="25"/>
      <x:c r="M55" s="25"/>
      <x:c r="N55" s="25"/>
    </x:row>
    <x:row r="56">
      <x:c r="A56" s="25"/>
      <x:c r="B56" s="25"/>
      <x:c r="C56" s="25"/>
      <x:c r="D56" s="25"/>
      <x:c r="E56" s="25"/>
      <x:c r="F56" s="25"/>
      <x:c r="G56" s="25"/>
      <x:c r="H56" s="25"/>
      <x:c r="I56" s="25"/>
      <x:c r="J56" s="25"/>
      <x:c r="K56" s="25"/>
      <x:c r="L56" s="25"/>
      <x:c r="M56" s="25"/>
      <x:c r="N56" s="25"/>
    </x:row>
    <x:row r="57">
      <x:c r="A57" s="25"/>
      <x:c r="B57" s="25"/>
      <x:c r="C57" s="25"/>
      <x:c r="D57" s="25"/>
      <x:c r="E57" s="25"/>
      <x:c r="F57" s="25"/>
      <x:c r="G57" s="25"/>
      <x:c r="H57" s="25"/>
      <x:c r="I57" s="25"/>
      <x:c r="J57" s="25"/>
      <x:c r="K57" s="25"/>
      <x:c r="L57" s="25"/>
      <x:c r="M57" s="25"/>
      <x:c r="N57" s="25"/>
    </x:row>
    <x:row r="58">
      <x:c r="A58" s="25"/>
      <x:c r="B58" s="25"/>
      <x:c r="C58" s="25"/>
      <x:c r="D58" s="25"/>
      <x:c r="E58" s="25"/>
      <x:c r="F58" s="25"/>
      <x:c r="G58" s="25"/>
      <x:c r="H58" s="25"/>
      <x:c r="I58" s="25"/>
      <x:c r="J58" s="25"/>
      <x:c r="K58" s="25"/>
      <x:c r="L58" s="25"/>
      <x:c r="M58" s="25"/>
      <x:c r="N58" s="25"/>
    </x:row>
    <x:row r="59">
      <x:c r="A59" s="25"/>
      <x:c r="B59" s="25"/>
      <x:c r="C59" s="25"/>
      <x:c r="D59" s="25"/>
      <x:c r="E59" s="25"/>
      <x:c r="F59" s="25"/>
      <x:c r="G59" s="25"/>
      <x:c r="H59" s="25"/>
      <x:c r="I59" s="25"/>
      <x:c r="J59" s="25"/>
      <x:c r="K59" s="25"/>
      <x:c r="L59" s="25"/>
      <x:c r="M59" s="25"/>
      <x:c r="N59" s="25"/>
    </x:row>
    <x:row r="60">
      <x:c r="A60" s="25"/>
      <x:c r="B60" s="25"/>
      <x:c r="C60" s="25"/>
      <x:c r="D60" s="25"/>
      <x:c r="E60" s="25"/>
      <x:c r="F60" s="25"/>
      <x:c r="G60" s="25"/>
      <x:c r="H60" s="25"/>
      <x:c r="I60" s="25"/>
      <x:c r="J60" s="25"/>
      <x:c r="K60" s="25"/>
      <x:c r="L60" s="25"/>
      <x:c r="M60" s="25"/>
      <x:c r="N60" s="25"/>
    </x:row>
    <x:row r="61">
      <x:c r="A61" s="25"/>
      <x:c r="B61" s="25"/>
      <x:c r="C61" s="25"/>
      <x:c r="D61" s="25"/>
      <x:c r="E61" s="25"/>
      <x:c r="F61" s="25"/>
      <x:c r="G61" s="25"/>
      <x:c r="H61" s="25"/>
      <x:c r="I61" s="25"/>
      <x:c r="J61" s="25"/>
      <x:c r="K61" s="25"/>
      <x:c r="L61" s="25"/>
      <x:c r="M61" s="25"/>
      <x:c r="N61" s="25"/>
    </x:row>
    <x:row r="62">
      <x:c r="A62" s="25"/>
      <x:c r="B62" s="25"/>
      <x:c r="C62" s="25"/>
      <x:c r="D62" s="25"/>
      <x:c r="E62" s="25"/>
      <x:c r="F62" s="25"/>
      <x:c r="G62" s="25"/>
      <x:c r="H62" s="25"/>
      <x:c r="I62" s="25"/>
      <x:c r="J62" s="25"/>
      <x:c r="K62" s="25"/>
      <x:c r="L62" s="25"/>
      <x:c r="M62" s="25"/>
      <x:c r="N62" s="25"/>
    </x:row>
    <x:row r="63">
      <x:c r="A63" s="25"/>
      <x:c r="B63" s="25"/>
      <x:c r="C63" s="25"/>
      <x:c r="D63" s="25"/>
      <x:c r="E63" s="25"/>
      <x:c r="F63" s="25"/>
      <x:c r="G63" s="25"/>
      <x:c r="H63" s="25"/>
      <x:c r="I63" s="25"/>
      <x:c r="J63" s="25"/>
      <x:c r="K63" s="25"/>
      <x:c r="L63" s="25"/>
      <x:c r="M63" s="25"/>
      <x:c r="N63" s="25"/>
    </x:row>
    <x:row r="64">
      <x:c r="A64" s="25"/>
      <x:c r="B64" s="25"/>
      <x:c r="C64" s="25"/>
      <x:c r="D64" s="25"/>
      <x:c r="E64" s="25"/>
      <x:c r="F64" s="25"/>
      <x:c r="G64" s="25"/>
      <x:c r="H64" s="25"/>
      <x:c r="I64" s="25"/>
      <x:c r="J64" s="25"/>
      <x:c r="K64" s="25"/>
      <x:c r="L64" s="25"/>
      <x:c r="M64" s="25"/>
      <x:c r="N64" s="25"/>
    </x:row>
    <x:row r="65">
      <x:c r="A65" s="25"/>
      <x:c r="B65" s="25"/>
      <x:c r="C65" s="25"/>
      <x:c r="D65" s="25"/>
      <x:c r="E65" s="25"/>
      <x:c r="F65" s="25"/>
      <x:c r="G65" s="25"/>
      <x:c r="H65" s="25"/>
      <x:c r="I65" s="25"/>
      <x:c r="J65" s="25"/>
      <x:c r="K65" s="25"/>
      <x:c r="L65" s="25"/>
      <x:c r="M65" s="25"/>
      <x:c r="N65" s="25"/>
    </x:row>
    <x:row r="66">
      <x:c r="A66" s="25"/>
      <x:c r="B66" s="25"/>
      <x:c r="C66" s="25"/>
      <x:c r="D66" s="25"/>
      <x:c r="E66" s="25"/>
      <x:c r="F66" s="25"/>
      <x:c r="G66" s="25"/>
      <x:c r="H66" s="25"/>
      <x:c r="I66" s="25"/>
      <x:c r="J66" s="25"/>
      <x:c r="K66" s="25"/>
      <x:c r="L66" s="25"/>
      <x:c r="M66" s="25"/>
      <x:c r="N66" s="25"/>
    </x:row>
    <x:row r="67">
      <x:c r="A67" s="25"/>
      <x:c r="B67" s="25"/>
      <x:c r="C67" s="25"/>
      <x:c r="D67" s="25"/>
      <x:c r="E67" s="25"/>
      <x:c r="F67" s="25"/>
      <x:c r="G67" s="25"/>
      <x:c r="H67" s="25"/>
      <x:c r="I67" s="25"/>
      <x:c r="J67" s="25"/>
      <x:c r="K67" s="25"/>
      <x:c r="L67" s="25"/>
      <x:c r="M67" s="25"/>
      <x:c r="N67" s="25"/>
    </x:row>
    <x:row r="68">
      <x:c r="A68" s="25"/>
      <x:c r="B68" s="25"/>
      <x:c r="C68" s="25"/>
      <x:c r="D68" s="25"/>
      <x:c r="E68" s="25"/>
      <x:c r="F68" s="25"/>
      <x:c r="G68" s="25"/>
      <x:c r="H68" s="25"/>
      <x:c r="I68" s="25"/>
      <x:c r="J68" s="25"/>
      <x:c r="K68" s="25"/>
      <x:c r="L68" s="25"/>
      <x:c r="M68" s="25"/>
      <x:c r="N68" s="25"/>
    </x:row>
    <x:row r="69">
      <x:c r="A69" s="25"/>
      <x:c r="B69" s="25"/>
      <x:c r="C69" s="25"/>
      <x:c r="D69" s="25"/>
      <x:c r="E69" s="25"/>
      <x:c r="F69" s="25"/>
      <x:c r="G69" s="25"/>
      <x:c r="H69" s="25"/>
      <x:c r="I69" s="25"/>
      <x:c r="J69" s="25"/>
      <x:c r="K69" s="25"/>
      <x:c r="L69" s="25"/>
      <x:c r="M69" s="25"/>
      <x:c r="N69" s="25"/>
    </x:row>
    <x:row r="70">
      <x:c r="A70" s="25"/>
      <x:c r="B70" s="25"/>
      <x:c r="C70" s="25"/>
      <x:c r="D70" s="25"/>
      <x:c r="E70" s="25"/>
      <x:c r="F70" s="25"/>
      <x:c r="G70" s="25"/>
      <x:c r="H70" s="25"/>
      <x:c r="I70" s="25"/>
      <x:c r="J70" s="25"/>
      <x:c r="K70" s="25"/>
      <x:c r="L70" s="25"/>
      <x:c r="M70" s="25"/>
      <x:c r="N70" s="25"/>
    </x:row>
    <x:row r="71">
      <x:c r="A71" s="25"/>
      <x:c r="B71" s="25"/>
      <x:c r="C71" s="25"/>
      <x:c r="D71" s="25"/>
      <x:c r="E71" s="25"/>
      <x:c r="F71" s="25"/>
      <x:c r="G71" s="25"/>
      <x:c r="H71" s="25"/>
      <x:c r="I71" s="25"/>
      <x:c r="J71" s="25"/>
      <x:c r="K71" s="25"/>
      <x:c r="L71" s="25"/>
      <x:c r="M71" s="25"/>
      <x:c r="N71" s="25"/>
    </x:row>
    <x:row r="72">
      <x:c r="A72" s="25"/>
      <x:c r="B72" s="25"/>
      <x:c r="C72" s="25"/>
      <x:c r="D72" s="25"/>
      <x:c r="E72" s="25"/>
      <x:c r="F72" s="25"/>
      <x:c r="G72" s="25"/>
      <x:c r="H72" s="25"/>
      <x:c r="I72" s="25"/>
      <x:c r="J72" s="25"/>
      <x:c r="K72" s="25"/>
      <x:c r="L72" s="25"/>
      <x:c r="M72" s="25"/>
      <x:c r="N72" s="25"/>
    </x:row>
    <x:row r="73">
      <x:c r="A73" s="25"/>
      <x:c r="B73" s="25"/>
      <x:c r="C73" s="25"/>
      <x:c r="D73" s="25"/>
      <x:c r="E73" s="25"/>
      <x:c r="F73" s="25"/>
      <x:c r="G73" s="25"/>
      <x:c r="H73" s="25"/>
      <x:c r="I73" s="25"/>
      <x:c r="J73" s="25"/>
      <x:c r="K73" s="25"/>
      <x:c r="L73" s="25"/>
      <x:c r="M73" s="25"/>
      <x:c r="N73" s="25"/>
    </x:row>
    <x:row r="74">
      <x:c r="A74" s="25"/>
      <x:c r="B74" s="25"/>
      <x:c r="C74" s="25"/>
      <x:c r="D74" s="25"/>
      <x:c r="E74" s="25"/>
      <x:c r="F74" s="25"/>
      <x:c r="G74" s="25"/>
      <x:c r="H74" s="25"/>
      <x:c r="I74" s="25"/>
      <x:c r="J74" s="25"/>
      <x:c r="K74" s="25"/>
      <x:c r="L74" s="25"/>
      <x:c r="M74" s="25"/>
      <x:c r="N74" s="25"/>
    </x:row>
    <x:row r="75">
      <x:c r="A75" s="25"/>
      <x:c r="B75" s="25"/>
      <x:c r="C75" s="25"/>
      <x:c r="D75" s="25"/>
      <x:c r="E75" s="25"/>
      <x:c r="F75" s="25"/>
      <x:c r="G75" s="25"/>
      <x:c r="H75" s="25"/>
      <x:c r="I75" s="25"/>
      <x:c r="J75" s="25"/>
      <x:c r="K75" s="25"/>
      <x:c r="L75" s="25"/>
      <x:c r="M75" s="25"/>
      <x:c r="N75" s="25"/>
    </x:row>
    <x:row r="76">
      <x:c r="A76" s="25"/>
      <x:c r="B76" s="25"/>
      <x:c r="C76" s="25"/>
      <x:c r="D76" s="25"/>
      <x:c r="E76" s="25"/>
      <x:c r="F76" s="25"/>
      <x:c r="G76" s="25"/>
      <x:c r="H76" s="25"/>
      <x:c r="I76" s="25"/>
      <x:c r="J76" s="25"/>
      <x:c r="K76" s="25"/>
      <x:c r="L76" s="25"/>
      <x:c r="M76" s="25"/>
      <x:c r="N76" s="25"/>
    </x:row>
    <x:row r="77">
      <x:c r="A77" s="25"/>
      <x:c r="B77" s="25"/>
      <x:c r="C77" s="25"/>
      <x:c r="D77" s="25"/>
      <x:c r="E77" s="25"/>
      <x:c r="F77" s="25"/>
      <x:c r="G77" s="25"/>
      <x:c r="H77" s="25"/>
      <x:c r="I77" s="25"/>
      <x:c r="J77" s="25"/>
      <x:c r="K77" s="25"/>
      <x:c r="L77" s="25"/>
      <x:c r="M77" s="25"/>
      <x:c r="N77" s="25"/>
    </x:row>
    <x:row r="78">
      <x:c r="A78" s="25"/>
      <x:c r="B78" s="25"/>
      <x:c r="C78" s="25"/>
      <x:c r="D78" s="25"/>
      <x:c r="E78" s="25"/>
      <x:c r="F78" s="25"/>
      <x:c r="G78" s="25"/>
      <x:c r="H78" s="25"/>
      <x:c r="I78" s="25"/>
      <x:c r="J78" s="25"/>
      <x:c r="K78" s="25"/>
      <x:c r="L78" s="25"/>
      <x:c r="M78" s="25"/>
      <x:c r="N78" s="25"/>
    </x:row>
    <x:row r="79">
      <x:c r="A79" s="25"/>
      <x:c r="B79" s="25"/>
      <x:c r="C79" s="25"/>
      <x:c r="D79" s="25"/>
      <x:c r="E79" s="25"/>
      <x:c r="F79" s="25"/>
      <x:c r="G79" s="25"/>
      <x:c r="H79" s="25"/>
      <x:c r="I79" s="25"/>
      <x:c r="J79" s="25"/>
      <x:c r="K79" s="25"/>
      <x:c r="L79" s="25"/>
      <x:c r="M79" s="25"/>
      <x:c r="N79" s="25"/>
    </x:row>
    <x:row r="80">
      <x:c r="A80" s="25"/>
      <x:c r="B80" s="25"/>
      <x:c r="C80" s="25"/>
      <x:c r="D80" s="25"/>
      <x:c r="E80" s="25"/>
      <x:c r="F80" s="25"/>
      <x:c r="G80" s="25"/>
      <x:c r="H80" s="25"/>
      <x:c r="I80" s="25"/>
      <x:c r="J80" s="25"/>
      <x:c r="K80" s="25"/>
      <x:c r="L80" s="25"/>
      <x:c r="M80" s="25"/>
      <x:c r="N80" s="25"/>
    </x:row>
  </x:sheetData>
  <x:mergeCells>
    <x:mergeCell ref="A1:G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2" hidden="0" customWidth="1"/>
    <x:col min="3" max="3" width="22" hidden="0" customWidth="1"/>
    <x:col min="4" max="4" width="18" hidden="0" customWidth="1"/>
    <x:col min="5" max="5" width="14" hidden="0" customWidth="1"/>
    <x:col min="6" max="6" width="14" hidden="0" customWidth="1"/>
    <x:col min="7" max="7" width="12" hidden="0" customWidth="1"/>
    <x:col min="8" max="8" width="44" hidden="0" customWidth="1"/>
  </x:cols>
  <x:sheetData>
    <x:row r="1">
      <x:c r="A1" s="24" t="str">
        <x:v>08 · HNL ENGINE ↔ EXCEL GOLDEN BENCHMARK</x:v>
      </x:c>
      <x:c r="B1" s="24"/>
      <x:c r="C1" s="24"/>
      <x:c r="D1" s="24"/>
      <x:c r="E1" s="24"/>
      <x:c r="F1" s="24"/>
      <x:c r="G1" s="24"/>
      <x:c r="H1" s="24"/>
      <x:c r="I1" s="25"/>
      <x:c r="J1" s="25"/>
      <x:c r="K1" s="25"/>
      <x:c r="L1" s="25"/>
      <x:c r="M1" s="25"/>
      <x:c r="N1" s="25"/>
    </x:row>
    <x:row r="2">
      <x:c r="A2" s="25"/>
      <x:c r="B2" s="25"/>
      <x:c r="C2" s="25"/>
      <x:c r="D2" s="25"/>
      <x:c r="E2" s="25"/>
      <x:c r="F2" s="25"/>
      <x:c r="G2" s="25"/>
      <x:c r="H2" s="25"/>
      <x:c r="I2" s="25"/>
      <x:c r="J2" s="25"/>
      <x:c r="K2" s="25"/>
      <x:c r="L2" s="25"/>
      <x:c r="M2" s="25"/>
      <x:c r="N2" s="25"/>
    </x:row>
    <x:row r="3">
      <x:c r="A3" s="26" t="str">
        <x:v>Case</x:v>
      </x:c>
      <x:c r="B3" s="26" t="str">
        <x:v>HNL expected</x:v>
      </x:c>
      <x:c r="C3" s="26" t="str">
        <x:v>Excel</x:v>
      </x:c>
      <x:c r="D3" s="26" t="str">
        <x:v>Sai lệch</x:v>
      </x:c>
      <x:c r="E3" s="26" t="str">
        <x:v>Tol</x:v>
      </x:c>
      <x:c r="F3" s="26" t="str">
        <x:v>PASS</x:v>
      </x:c>
      <x:c r="G3" s="26" t="str">
        <x:v>Đơn vị</x:v>
      </x:c>
      <x:c r="H3" s="26" t="str">
        <x:v>Ghi chú</x:v>
      </x:c>
      <x:c r="I3" s="25"/>
      <x:c r="J3" s="25"/>
      <x:c r="K3" s="25"/>
      <x:c r="L3" s="25"/>
      <x:c r="M3" s="25"/>
      <x:c r="N3" s="25"/>
    </x:row>
    <x:row r="4">
      <x:c r="A4" s="25" t="str">
        <x:v>PHC D600-B · Ra dài</x:v>
      </x:c>
      <x:c r="B4" s="25" t="n">
        <x:v>3007.581286966663</x:v>
      </x:c>
      <x:c r="C4" s="25" t="n">
        <x:f>'04_TINH_TOAN'!B9</x:f>
        <x:v>3007.581286966663</x:v>
      </x:c>
      <x:c r="D4" s="25" t="n">
        <x:f>ABS(C4-B4)</x:f>
        <x:v>0</x:v>
      </x:c>
      <x:c r="E4" s="25" t="n">
        <x:v>1e-8</x:v>
      </x:c>
      <x:c r="F4" s="25" t="str">
        <x:f>IF(D4&lt;=E4,"PASS","FAIL")</x:f>
        <x:v>PASS</x:v>
      </x:c>
      <x:c r="G4" s="25" t="str">
        <x:v>kN</x:v>
      </x:c>
      <x:c r="H4" s="25" t="str">
        <x:v>Bảng 1 + B.4</x:v>
      </x:c>
      <x:c r="I4" s="25"/>
      <x:c r="J4" s="25"/>
      <x:c r="K4" s="25"/>
      <x:c r="L4" s="25"/>
      <x:c r="M4" s="25"/>
      <x:c r="N4" s="25"/>
    </x:row>
    <x:row r="5">
      <x:c r="A5" s="25" t="str">
        <x:v>PHC D600-B · Pmax</x:v>
      </x:c>
      <x:c r="B5" s="25" t="n">
        <x:v>4812.130059146661</x:v>
      </x:c>
      <x:c r="C5" s="25" t="n">
        <x:f>'04_TINH_TOAN'!B11</x:f>
        <x:v>4812.130059146661</x:v>
      </x:c>
      <x:c r="D5" s="25" t="n">
        <x:f>ABS(C5-B5)</x:f>
        <x:v>0</x:v>
      </x:c>
      <x:c r="E5" s="25" t="n">
        <x:v>1e-8</x:v>
      </x:c>
      <x:c r="F5" s="25" t="str">
        <x:f>IF(D5&lt;=E5,"PASS","FAIL")</x:f>
        <x:v>PASS</x:v>
      </x:c>
      <x:c r="G5" s="25" t="str">
        <x:v>kN</x:v>
      </x:c>
      <x:c r="H5" s="25" t="str">
        <x:v>B.5 + 80%</x:v>
      </x:c>
      <x:c r="I5" s="25"/>
      <x:c r="J5" s="25"/>
      <x:c r="K5" s="25"/>
      <x:c r="L5" s="25"/>
      <x:c r="M5" s="25"/>
      <x:c r="N5" s="25"/>
    </x:row>
    <x:row r="6">
      <x:c r="A6" s="25"/>
      <x:c r="B6" s="25"/>
      <x:c r="C6" s="25"/>
      <x:c r="D6" s="25"/>
      <x:c r="E6" s="25"/>
      <x:c r="F6" s="25"/>
      <x:c r="G6" s="25"/>
      <x:c r="H6" s="25"/>
      <x:c r="I6" s="25"/>
      <x:c r="J6" s="25"/>
      <x:c r="K6" s="25"/>
      <x:c r="L6" s="25"/>
      <x:c r="M6" s="25"/>
      <x:c r="N6" s="25"/>
    </x:row>
    <x:row r="7">
      <x:c r="A7" s="25"/>
      <x:c r="B7" s="25"/>
      <x:c r="C7" s="25"/>
      <x:c r="D7" s="25"/>
      <x:c r="E7" s="25"/>
      <x:c r="F7" s="25"/>
      <x:c r="G7" s="25"/>
      <x:c r="H7" s="25"/>
      <x:c r="I7" s="25"/>
      <x:c r="J7" s="25"/>
      <x:c r="K7" s="25"/>
      <x:c r="L7" s="25"/>
      <x:c r="M7" s="25"/>
      <x:c r="N7" s="25"/>
    </x:row>
    <x:row r="8">
      <x:c r="A8" s="25"/>
      <x:c r="B8" s="25"/>
      <x:c r="C8" s="25"/>
      <x:c r="D8" s="25"/>
      <x:c r="E8" s="25"/>
      <x:c r="F8" s="25"/>
      <x:c r="G8" s="25"/>
      <x:c r="H8" s="25"/>
      <x:c r="I8" s="25"/>
      <x:c r="J8" s="25"/>
      <x:c r="K8" s="25"/>
      <x:c r="L8" s="25"/>
      <x:c r="M8" s="25"/>
      <x:c r="N8" s="25"/>
    </x:row>
    <x:row r="9">
      <x:c r="A9" s="25"/>
      <x:c r="B9" s="25"/>
      <x:c r="C9" s="25"/>
      <x:c r="D9" s="25"/>
      <x:c r="E9" s="25"/>
      <x:c r="F9" s="25"/>
      <x:c r="G9" s="25"/>
      <x:c r="H9" s="25"/>
      <x:c r="I9" s="25"/>
      <x:c r="J9" s="25"/>
      <x:c r="K9" s="25"/>
      <x:c r="L9" s="25"/>
      <x:c r="M9" s="25"/>
      <x:c r="N9" s="25"/>
    </x:row>
    <x:row r="10">
      <x:c r="A10" s="25"/>
      <x:c r="B10" s="25"/>
      <x:c r="C10" s="25"/>
      <x:c r="D10" s="25"/>
      <x:c r="E10" s="25"/>
      <x:c r="F10" s="25"/>
      <x:c r="G10" s="25"/>
      <x:c r="H10" s="25"/>
      <x:c r="I10" s="25"/>
      <x:c r="J10" s="25"/>
      <x:c r="K10" s="25"/>
      <x:c r="L10" s="25"/>
      <x:c r="M10" s="25"/>
      <x:c r="N10" s="25"/>
    </x:row>
    <x:row r="11">
      <x:c r="A11" s="25"/>
      <x:c r="B11" s="25"/>
      <x:c r="C11" s="25"/>
      <x:c r="D11" s="25"/>
      <x:c r="E11" s="25"/>
      <x:c r="F11" s="25"/>
      <x:c r="G11" s="25"/>
      <x:c r="H11" s="25"/>
      <x:c r="I11" s="25"/>
      <x:c r="J11" s="25"/>
      <x:c r="K11" s="25"/>
      <x:c r="L11" s="25"/>
      <x:c r="M11" s="25"/>
      <x:c r="N11" s="25"/>
    </x:row>
    <x:row r="12">
      <x:c r="A12" s="25"/>
      <x:c r="B12" s="25"/>
      <x:c r="C12" s="25"/>
      <x:c r="D12" s="25"/>
      <x:c r="E12" s="25"/>
      <x:c r="F12" s="25"/>
      <x:c r="G12" s="25"/>
      <x:c r="H12" s="25"/>
      <x:c r="I12" s="25"/>
      <x:c r="J12" s="25"/>
      <x:c r="K12" s="25"/>
      <x:c r="L12" s="25"/>
      <x:c r="M12" s="25"/>
      <x:c r="N12" s="25"/>
    </x:row>
    <x:row r="13">
      <x:c r="A13" s="25"/>
      <x:c r="B13" s="25"/>
      <x:c r="C13" s="25"/>
      <x:c r="D13" s="25"/>
      <x:c r="E13" s="25"/>
      <x:c r="F13" s="25"/>
      <x:c r="G13" s="25"/>
      <x:c r="H13" s="25"/>
      <x:c r="I13" s="25"/>
      <x:c r="J13" s="25"/>
      <x:c r="K13" s="25"/>
      <x:c r="L13" s="25"/>
      <x:c r="M13" s="25"/>
      <x:c r="N13" s="25"/>
    </x:row>
    <x:row r="14">
      <x:c r="A14" s="25"/>
      <x:c r="B14" s="25"/>
      <x:c r="C14" s="25"/>
      <x:c r="D14" s="25"/>
      <x:c r="E14" s="25"/>
      <x:c r="F14" s="25"/>
      <x:c r="G14" s="25"/>
      <x:c r="H14" s="25"/>
      <x:c r="I14" s="25"/>
      <x:c r="J14" s="25"/>
      <x:c r="K14" s="25"/>
      <x:c r="L14" s="25"/>
      <x:c r="M14" s="25"/>
      <x:c r="N14" s="25"/>
    </x:row>
    <x:row r="15">
      <x:c r="A15" s="25"/>
      <x:c r="B15" s="25"/>
      <x:c r="C15" s="25"/>
      <x:c r="D15" s="25"/>
      <x:c r="E15" s="25"/>
      <x:c r="F15" s="25"/>
      <x:c r="G15" s="25"/>
      <x:c r="H15" s="25"/>
      <x:c r="I15" s="25"/>
      <x:c r="J15" s="25"/>
      <x:c r="K15" s="25"/>
      <x:c r="L15" s="25"/>
      <x:c r="M15" s="25"/>
      <x:c r="N15" s="25"/>
    </x:row>
    <x:row r="16">
      <x:c r="A16" s="25"/>
      <x:c r="B16" s="25"/>
      <x:c r="C16" s="25"/>
      <x:c r="D16" s="25"/>
      <x:c r="E16" s="25"/>
      <x:c r="F16" s="25"/>
      <x:c r="G16" s="25"/>
      <x:c r="H16" s="25"/>
      <x:c r="I16" s="25"/>
      <x:c r="J16" s="25"/>
      <x:c r="K16" s="25"/>
      <x:c r="L16" s="25"/>
      <x:c r="M16" s="25"/>
      <x:c r="N16" s="25"/>
    </x:row>
    <x:row r="17">
      <x:c r="A17" s="25"/>
      <x:c r="B17" s="25"/>
      <x:c r="C17" s="25"/>
      <x:c r="D17" s="25"/>
      <x:c r="E17" s="25"/>
      <x:c r="F17" s="25"/>
      <x:c r="G17" s="25"/>
      <x:c r="H17" s="25"/>
      <x:c r="I17" s="25"/>
      <x:c r="J17" s="25"/>
      <x:c r="K17" s="25"/>
      <x:c r="L17" s="25"/>
      <x:c r="M17" s="25"/>
      <x:c r="N17" s="25"/>
    </x:row>
    <x:row r="18">
      <x:c r="A18" s="25"/>
      <x:c r="B18" s="25"/>
      <x:c r="C18" s="25"/>
      <x:c r="D18" s="25"/>
      <x:c r="E18" s="25"/>
      <x:c r="F18" s="25"/>
      <x:c r="G18" s="25"/>
      <x:c r="H18" s="25"/>
      <x:c r="I18" s="25"/>
      <x:c r="J18" s="25"/>
      <x:c r="K18" s="25"/>
      <x:c r="L18" s="25"/>
      <x:c r="M18" s="25"/>
      <x:c r="N18" s="25"/>
    </x:row>
    <x:row r="19">
      <x:c r="A19" s="25"/>
      <x:c r="B19" s="25"/>
      <x:c r="C19" s="25"/>
      <x:c r="D19" s="25"/>
      <x:c r="E19" s="25"/>
      <x:c r="F19" s="25"/>
      <x:c r="G19" s="25"/>
      <x:c r="H19" s="25"/>
      <x:c r="I19" s="25"/>
      <x:c r="J19" s="25"/>
      <x:c r="K19" s="25"/>
      <x:c r="L19" s="25"/>
      <x:c r="M19" s="25"/>
      <x:c r="N19" s="25"/>
    </x:row>
    <x:row r="20">
      <x:c r="A20" s="25"/>
      <x:c r="B20" s="25"/>
      <x:c r="C20" s="25"/>
      <x:c r="D20" s="25"/>
      <x:c r="E20" s="25"/>
      <x:c r="F20" s="25"/>
      <x:c r="G20" s="25"/>
      <x:c r="H20" s="25"/>
      <x:c r="I20" s="25"/>
      <x:c r="J20" s="25"/>
      <x:c r="K20" s="25"/>
      <x:c r="L20" s="25"/>
      <x:c r="M20" s="25"/>
      <x:c r="N20" s="25"/>
    </x:row>
    <x:row r="21">
      <x:c r="A21" s="25"/>
      <x:c r="B21" s="25"/>
      <x:c r="C21" s="25"/>
      <x:c r="D21" s="25"/>
      <x:c r="E21" s="25"/>
      <x:c r="F21" s="25"/>
      <x:c r="G21" s="25"/>
      <x:c r="H21" s="25"/>
      <x:c r="I21" s="25"/>
      <x:c r="J21" s="25"/>
      <x:c r="K21" s="25"/>
      <x:c r="L21" s="25"/>
      <x:c r="M21" s="25"/>
      <x:c r="N21" s="25"/>
    </x:row>
    <x:row r="22">
      <x:c r="A22" s="25"/>
      <x:c r="B22" s="25"/>
      <x:c r="C22" s="25"/>
      <x:c r="D22" s="25"/>
      <x:c r="E22" s="25"/>
      <x:c r="F22" s="25"/>
      <x:c r="G22" s="25"/>
      <x:c r="H22" s="25"/>
      <x:c r="I22" s="25"/>
      <x:c r="J22" s="25"/>
      <x:c r="K22" s="25"/>
      <x:c r="L22" s="25"/>
      <x:c r="M22" s="25"/>
      <x:c r="N22" s="25"/>
    </x:row>
    <x:row r="23">
      <x:c r="A23" s="25"/>
      <x:c r="B23" s="25"/>
      <x:c r="C23" s="25"/>
      <x:c r="D23" s="25"/>
      <x:c r="E23" s="25"/>
      <x:c r="F23" s="25"/>
      <x:c r="G23" s="25"/>
      <x:c r="H23" s="25"/>
      <x:c r="I23" s="25"/>
      <x:c r="J23" s="25"/>
      <x:c r="K23" s="25"/>
      <x:c r="L23" s="25"/>
      <x:c r="M23" s="25"/>
      <x:c r="N23" s="25"/>
    </x:row>
    <x:row r="24">
      <x:c r="A24" s="25"/>
      <x:c r="B24" s="25"/>
      <x:c r="C24" s="25"/>
      <x:c r="D24" s="25"/>
      <x:c r="E24" s="25"/>
      <x:c r="F24" s="25"/>
      <x:c r="G24" s="25"/>
      <x:c r="H24" s="25"/>
      <x:c r="I24" s="25"/>
      <x:c r="J24" s="25"/>
      <x:c r="K24" s="25"/>
      <x:c r="L24" s="25"/>
      <x:c r="M24" s="25"/>
      <x:c r="N24" s="25"/>
    </x:row>
    <x:row r="25">
      <x:c r="A25" s="25"/>
      <x:c r="B25" s="25"/>
      <x:c r="C25" s="25"/>
      <x:c r="D25" s="25"/>
      <x:c r="E25" s="25"/>
      <x:c r="F25" s="25"/>
      <x:c r="G25" s="25"/>
      <x:c r="H25" s="25"/>
      <x:c r="I25" s="25"/>
      <x:c r="J25" s="25"/>
      <x:c r="K25" s="25"/>
      <x:c r="L25" s="25"/>
      <x:c r="M25" s="25"/>
      <x:c r="N25" s="25"/>
    </x:row>
    <x:row r="26">
      <x:c r="A26" s="25"/>
      <x:c r="B26" s="25"/>
      <x:c r="C26" s="25"/>
      <x:c r="D26" s="25"/>
      <x:c r="E26" s="25"/>
      <x:c r="F26" s="25"/>
      <x:c r="G26" s="25"/>
      <x:c r="H26" s="25"/>
      <x:c r="I26" s="25"/>
      <x:c r="J26" s="25"/>
      <x:c r="K26" s="25"/>
      <x:c r="L26" s="25"/>
      <x:c r="M26" s="25"/>
      <x:c r="N26" s="25"/>
    </x:row>
    <x:row r="27">
      <x:c r="A27" s="25"/>
      <x:c r="B27" s="25"/>
      <x:c r="C27" s="25"/>
      <x:c r="D27" s="25"/>
      <x:c r="E27" s="25"/>
      <x:c r="F27" s="25"/>
      <x:c r="G27" s="25"/>
      <x:c r="H27" s="25"/>
      <x:c r="I27" s="25"/>
      <x:c r="J27" s="25"/>
      <x:c r="K27" s="25"/>
      <x:c r="L27" s="25"/>
      <x:c r="M27" s="25"/>
      <x:c r="N27" s="25"/>
    </x:row>
    <x:row r="28">
      <x:c r="A28" s="25"/>
      <x:c r="B28" s="25"/>
      <x:c r="C28" s="25"/>
      <x:c r="D28" s="25"/>
      <x:c r="E28" s="25"/>
      <x:c r="F28" s="25"/>
      <x:c r="G28" s="25"/>
      <x:c r="H28" s="25"/>
      <x:c r="I28" s="25"/>
      <x:c r="J28" s="25"/>
      <x:c r="K28" s="25"/>
      <x:c r="L28" s="25"/>
      <x:c r="M28" s="25"/>
      <x:c r="N28" s="25"/>
    </x:row>
    <x:row r="29">
      <x:c r="A29" s="25"/>
      <x:c r="B29" s="25"/>
      <x:c r="C29" s="25"/>
      <x:c r="D29" s="25"/>
      <x:c r="E29" s="25"/>
      <x:c r="F29" s="25"/>
      <x:c r="G29" s="25"/>
      <x:c r="H29" s="25"/>
      <x:c r="I29" s="25"/>
      <x:c r="J29" s="25"/>
      <x:c r="K29" s="25"/>
      <x:c r="L29" s="25"/>
      <x:c r="M29" s="25"/>
      <x:c r="N29" s="25"/>
    </x:row>
    <x:row r="30">
      <x:c r="A30" s="25"/>
      <x:c r="B30" s="25"/>
      <x:c r="C30" s="25"/>
      <x:c r="D30" s="25"/>
      <x:c r="E30" s="25"/>
      <x:c r="F30" s="25"/>
      <x:c r="G30" s="25"/>
      <x:c r="H30" s="25"/>
      <x:c r="I30" s="25"/>
      <x:c r="J30" s="25"/>
      <x:c r="K30" s="25"/>
      <x:c r="L30" s="25"/>
      <x:c r="M30" s="25"/>
      <x:c r="N30" s="25"/>
    </x:row>
    <x:row r="31">
      <x:c r="A31" s="25"/>
      <x:c r="B31" s="25"/>
      <x:c r="C31" s="25"/>
      <x:c r="D31" s="25"/>
      <x:c r="E31" s="25"/>
      <x:c r="F31" s="25"/>
      <x:c r="G31" s="25"/>
      <x:c r="H31" s="25"/>
      <x:c r="I31" s="25"/>
      <x:c r="J31" s="25"/>
      <x:c r="K31" s="25"/>
      <x:c r="L31" s="25"/>
      <x:c r="M31" s="25"/>
      <x:c r="N31" s="25"/>
    </x:row>
    <x:row r="32">
      <x:c r="A32" s="25"/>
      <x:c r="B32" s="25"/>
      <x:c r="C32" s="25"/>
      <x:c r="D32" s="25"/>
      <x:c r="E32" s="25"/>
      <x:c r="F32" s="25"/>
      <x:c r="G32" s="25"/>
      <x:c r="H32" s="25"/>
      <x:c r="I32" s="25"/>
      <x:c r="J32" s="25"/>
      <x:c r="K32" s="25"/>
      <x:c r="L32" s="25"/>
      <x:c r="M32" s="25"/>
      <x:c r="N32" s="25"/>
    </x:row>
    <x:row r="33">
      <x:c r="A33" s="25"/>
      <x:c r="B33" s="25"/>
      <x:c r="C33" s="25"/>
      <x:c r="D33" s="25"/>
      <x:c r="E33" s="25"/>
      <x:c r="F33" s="25"/>
      <x:c r="G33" s="25"/>
      <x:c r="H33" s="25"/>
      <x:c r="I33" s="25"/>
      <x:c r="J33" s="25"/>
      <x:c r="K33" s="25"/>
      <x:c r="L33" s="25"/>
      <x:c r="M33" s="25"/>
      <x:c r="N33" s="25"/>
    </x:row>
    <x:row r="34">
      <x:c r="A34" s="25"/>
      <x:c r="B34" s="25"/>
      <x:c r="C34" s="25"/>
      <x:c r="D34" s="25"/>
      <x:c r="E34" s="25"/>
      <x:c r="F34" s="25"/>
      <x:c r="G34" s="25"/>
      <x:c r="H34" s="25"/>
      <x:c r="I34" s="25"/>
      <x:c r="J34" s="25"/>
      <x:c r="K34" s="25"/>
      <x:c r="L34" s="25"/>
      <x:c r="M34" s="25"/>
      <x:c r="N34" s="25"/>
    </x:row>
    <x:row r="35">
      <x:c r="A35" s="25"/>
      <x:c r="B35" s="25"/>
      <x:c r="C35" s="25"/>
      <x:c r="D35" s="25"/>
      <x:c r="E35" s="25"/>
      <x:c r="F35" s="25"/>
      <x:c r="G35" s="25"/>
      <x:c r="H35" s="25"/>
      <x:c r="I35" s="25"/>
      <x:c r="J35" s="25"/>
      <x:c r="K35" s="25"/>
      <x:c r="L35" s="25"/>
      <x:c r="M35" s="25"/>
      <x:c r="N35" s="25"/>
    </x:row>
    <x:row r="36">
      <x:c r="A36" s="25"/>
      <x:c r="B36" s="25"/>
      <x:c r="C36" s="25"/>
      <x:c r="D36" s="25"/>
      <x:c r="E36" s="25"/>
      <x:c r="F36" s="25"/>
      <x:c r="G36" s="25"/>
      <x:c r="H36" s="25"/>
      <x:c r="I36" s="25"/>
      <x:c r="J36" s="25"/>
      <x:c r="K36" s="25"/>
      <x:c r="L36" s="25"/>
      <x:c r="M36" s="25"/>
      <x:c r="N36" s="25"/>
    </x:row>
    <x:row r="37">
      <x:c r="A37" s="25"/>
      <x:c r="B37" s="25"/>
      <x:c r="C37" s="25"/>
      <x:c r="D37" s="25"/>
      <x:c r="E37" s="25"/>
      <x:c r="F37" s="25"/>
      <x:c r="G37" s="25"/>
      <x:c r="H37" s="25"/>
      <x:c r="I37" s="25"/>
      <x:c r="J37" s="25"/>
      <x:c r="K37" s="25"/>
      <x:c r="L37" s="25"/>
      <x:c r="M37" s="25"/>
      <x:c r="N37" s="25"/>
    </x:row>
    <x:row r="38">
      <x:c r="A38" s="25"/>
      <x:c r="B38" s="25"/>
      <x:c r="C38" s="25"/>
      <x:c r="D38" s="25"/>
      <x:c r="E38" s="25"/>
      <x:c r="F38" s="25"/>
      <x:c r="G38" s="25"/>
      <x:c r="H38" s="25"/>
      <x:c r="I38" s="25"/>
      <x:c r="J38" s="25"/>
      <x:c r="K38" s="25"/>
      <x:c r="L38" s="25"/>
      <x:c r="M38" s="25"/>
      <x:c r="N38" s="25"/>
    </x:row>
    <x:row r="39">
      <x:c r="A39" s="25"/>
      <x:c r="B39" s="25"/>
      <x:c r="C39" s="25"/>
      <x:c r="D39" s="25"/>
      <x:c r="E39" s="25"/>
      <x:c r="F39" s="25"/>
      <x:c r="G39" s="25"/>
      <x:c r="H39" s="25"/>
      <x:c r="I39" s="25"/>
      <x:c r="J39" s="25"/>
      <x:c r="K39" s="25"/>
      <x:c r="L39" s="25"/>
      <x:c r="M39" s="25"/>
      <x:c r="N39" s="25"/>
    </x:row>
    <x:row r="40">
      <x:c r="A40" s="25"/>
      <x:c r="B40" s="25"/>
      <x:c r="C40" s="25"/>
      <x:c r="D40" s="25"/>
      <x:c r="E40" s="25"/>
      <x:c r="F40" s="25"/>
      <x:c r="G40" s="25"/>
      <x:c r="H40" s="25"/>
      <x:c r="I40" s="25"/>
      <x:c r="J40" s="25"/>
      <x:c r="K40" s="25"/>
      <x:c r="L40" s="25"/>
      <x:c r="M40" s="25"/>
      <x:c r="N40" s="25"/>
    </x:row>
    <x:row r="41">
      <x:c r="A41" s="25"/>
      <x:c r="B41" s="25"/>
      <x:c r="C41" s="25"/>
      <x:c r="D41" s="25"/>
      <x:c r="E41" s="25"/>
      <x:c r="F41" s="25"/>
      <x:c r="G41" s="25"/>
      <x:c r="H41" s="25"/>
      <x:c r="I41" s="25"/>
      <x:c r="J41" s="25"/>
      <x:c r="K41" s="25"/>
      <x:c r="L41" s="25"/>
      <x:c r="M41" s="25"/>
      <x:c r="N41" s="25"/>
    </x:row>
    <x:row r="42">
      <x:c r="A42" s="25"/>
      <x:c r="B42" s="25"/>
      <x:c r="C42" s="25"/>
      <x:c r="D42" s="25"/>
      <x:c r="E42" s="25"/>
      <x:c r="F42" s="25"/>
      <x:c r="G42" s="25"/>
      <x:c r="H42" s="25"/>
      <x:c r="I42" s="25"/>
      <x:c r="J42" s="25"/>
      <x:c r="K42" s="25"/>
      <x:c r="L42" s="25"/>
      <x:c r="M42" s="25"/>
      <x:c r="N42" s="25"/>
    </x:row>
    <x:row r="43">
      <x:c r="A43" s="25"/>
      <x:c r="B43" s="25"/>
      <x:c r="C43" s="25"/>
      <x:c r="D43" s="25"/>
      <x:c r="E43" s="25"/>
      <x:c r="F43" s="25"/>
      <x:c r="G43" s="25"/>
      <x:c r="H43" s="25"/>
      <x:c r="I43" s="25"/>
      <x:c r="J43" s="25"/>
      <x:c r="K43" s="25"/>
      <x:c r="L43" s="25"/>
      <x:c r="M43" s="25"/>
      <x:c r="N43" s="25"/>
    </x:row>
    <x:row r="44">
      <x:c r="A44" s="25"/>
      <x:c r="B44" s="25"/>
      <x:c r="C44" s="25"/>
      <x:c r="D44" s="25"/>
      <x:c r="E44" s="25"/>
      <x:c r="F44" s="25"/>
      <x:c r="G44" s="25"/>
      <x:c r="H44" s="25"/>
      <x:c r="I44" s="25"/>
      <x:c r="J44" s="25"/>
      <x:c r="K44" s="25"/>
      <x:c r="L44" s="25"/>
      <x:c r="M44" s="25"/>
      <x:c r="N44" s="25"/>
    </x:row>
    <x:row r="45">
      <x:c r="A45" s="25"/>
      <x:c r="B45" s="25"/>
      <x:c r="C45" s="25"/>
      <x:c r="D45" s="25"/>
      <x:c r="E45" s="25"/>
      <x:c r="F45" s="25"/>
      <x:c r="G45" s="25"/>
      <x:c r="H45" s="25"/>
      <x:c r="I45" s="25"/>
      <x:c r="J45" s="25"/>
      <x:c r="K45" s="25"/>
      <x:c r="L45" s="25"/>
      <x:c r="M45" s="25"/>
      <x:c r="N45" s="25"/>
    </x:row>
    <x:row r="46">
      <x:c r="A46" s="25"/>
      <x:c r="B46" s="25"/>
      <x:c r="C46" s="25"/>
      <x:c r="D46" s="25"/>
      <x:c r="E46" s="25"/>
      <x:c r="F46" s="25"/>
      <x:c r="G46" s="25"/>
      <x:c r="H46" s="25"/>
      <x:c r="I46" s="25"/>
      <x:c r="J46" s="25"/>
      <x:c r="K46" s="25"/>
      <x:c r="L46" s="25"/>
      <x:c r="M46" s="25"/>
      <x:c r="N46" s="25"/>
    </x:row>
    <x:row r="47">
      <x:c r="A47" s="25"/>
      <x:c r="B47" s="25"/>
      <x:c r="C47" s="25"/>
      <x:c r="D47" s="25"/>
      <x:c r="E47" s="25"/>
      <x:c r="F47" s="25"/>
      <x:c r="G47" s="25"/>
      <x:c r="H47" s="25"/>
      <x:c r="I47" s="25"/>
      <x:c r="J47" s="25"/>
      <x:c r="K47" s="25"/>
      <x:c r="L47" s="25"/>
      <x:c r="M47" s="25"/>
      <x:c r="N47" s="25"/>
    </x:row>
    <x:row r="48">
      <x:c r="A48" s="25"/>
      <x:c r="B48" s="25"/>
      <x:c r="C48" s="25"/>
      <x:c r="D48" s="25"/>
      <x:c r="E48" s="25"/>
      <x:c r="F48" s="25"/>
      <x:c r="G48" s="25"/>
      <x:c r="H48" s="25"/>
      <x:c r="I48" s="25"/>
      <x:c r="J48" s="25"/>
      <x:c r="K48" s="25"/>
      <x:c r="L48" s="25"/>
      <x:c r="M48" s="25"/>
      <x:c r="N48" s="25"/>
    </x:row>
    <x:row r="49">
      <x:c r="A49" s="25"/>
      <x:c r="B49" s="25"/>
      <x:c r="C49" s="25"/>
      <x:c r="D49" s="25"/>
      <x:c r="E49" s="25"/>
      <x:c r="F49" s="25"/>
      <x:c r="G49" s="25"/>
      <x:c r="H49" s="25"/>
      <x:c r="I49" s="25"/>
      <x:c r="J49" s="25"/>
      <x:c r="K49" s="25"/>
      <x:c r="L49" s="25"/>
      <x:c r="M49" s="25"/>
      <x:c r="N49" s="25"/>
    </x:row>
    <x:row r="50">
      <x:c r="A50" s="25"/>
      <x:c r="B50" s="25"/>
      <x:c r="C50" s="25"/>
      <x:c r="D50" s="25"/>
      <x:c r="E50" s="25"/>
      <x:c r="F50" s="25"/>
      <x:c r="G50" s="25"/>
      <x:c r="H50" s="25"/>
      <x:c r="I50" s="25"/>
      <x:c r="J50" s="25"/>
      <x:c r="K50" s="25"/>
      <x:c r="L50" s="25"/>
      <x:c r="M50" s="25"/>
      <x:c r="N50" s="25"/>
    </x:row>
    <x:row r="51">
      <x:c r="A51" s="25"/>
      <x:c r="B51" s="25"/>
      <x:c r="C51" s="25"/>
      <x:c r="D51" s="25"/>
      <x:c r="E51" s="25"/>
      <x:c r="F51" s="25"/>
      <x:c r="G51" s="25"/>
      <x:c r="H51" s="25"/>
      <x:c r="I51" s="25"/>
      <x:c r="J51" s="25"/>
      <x:c r="K51" s="25"/>
      <x:c r="L51" s="25"/>
      <x:c r="M51" s="25"/>
      <x:c r="N51" s="25"/>
    </x:row>
    <x:row r="52">
      <x:c r="A52" s="25"/>
      <x:c r="B52" s="25"/>
      <x:c r="C52" s="25"/>
      <x:c r="D52" s="25"/>
      <x:c r="E52" s="25"/>
      <x:c r="F52" s="25"/>
      <x:c r="G52" s="25"/>
      <x:c r="H52" s="25"/>
      <x:c r="I52" s="25"/>
      <x:c r="J52" s="25"/>
      <x:c r="K52" s="25"/>
      <x:c r="L52" s="25"/>
      <x:c r="M52" s="25"/>
      <x:c r="N52" s="25"/>
    </x:row>
    <x:row r="53">
      <x:c r="A53" s="25"/>
      <x:c r="B53" s="25"/>
      <x:c r="C53" s="25"/>
      <x:c r="D53" s="25"/>
      <x:c r="E53" s="25"/>
      <x:c r="F53" s="25"/>
      <x:c r="G53" s="25"/>
      <x:c r="H53" s="25"/>
      <x:c r="I53" s="25"/>
      <x:c r="J53" s="25"/>
      <x:c r="K53" s="25"/>
      <x:c r="L53" s="25"/>
      <x:c r="M53" s="25"/>
      <x:c r="N53" s="25"/>
    </x:row>
    <x:row r="54">
      <x:c r="A54" s="25"/>
      <x:c r="B54" s="25"/>
      <x:c r="C54" s="25"/>
      <x:c r="D54" s="25"/>
      <x:c r="E54" s="25"/>
      <x:c r="F54" s="25"/>
      <x:c r="G54" s="25"/>
      <x:c r="H54" s="25"/>
      <x:c r="I54" s="25"/>
      <x:c r="J54" s="25"/>
      <x:c r="K54" s="25"/>
      <x:c r="L54" s="25"/>
      <x:c r="M54" s="25"/>
      <x:c r="N54" s="25"/>
    </x:row>
    <x:row r="55">
      <x:c r="A55" s="25"/>
      <x:c r="B55" s="25"/>
      <x:c r="C55" s="25"/>
      <x:c r="D55" s="25"/>
      <x:c r="E55" s="25"/>
      <x:c r="F55" s="25"/>
      <x:c r="G55" s="25"/>
      <x:c r="H55" s="25"/>
      <x:c r="I55" s="25"/>
      <x:c r="J55" s="25"/>
      <x:c r="K55" s="25"/>
      <x:c r="L55" s="25"/>
      <x:c r="M55" s="25"/>
      <x:c r="N55" s="25"/>
    </x:row>
    <x:row r="56">
      <x:c r="A56" s="25"/>
      <x:c r="B56" s="25"/>
      <x:c r="C56" s="25"/>
      <x:c r="D56" s="25"/>
      <x:c r="E56" s="25"/>
      <x:c r="F56" s="25"/>
      <x:c r="G56" s="25"/>
      <x:c r="H56" s="25"/>
      <x:c r="I56" s="25"/>
      <x:c r="J56" s="25"/>
      <x:c r="K56" s="25"/>
      <x:c r="L56" s="25"/>
      <x:c r="M56" s="25"/>
      <x:c r="N56" s="25"/>
    </x:row>
    <x:row r="57">
      <x:c r="A57" s="25"/>
      <x:c r="B57" s="25"/>
      <x:c r="C57" s="25"/>
      <x:c r="D57" s="25"/>
      <x:c r="E57" s="25"/>
      <x:c r="F57" s="25"/>
      <x:c r="G57" s="25"/>
      <x:c r="H57" s="25"/>
      <x:c r="I57" s="25"/>
      <x:c r="J57" s="25"/>
      <x:c r="K57" s="25"/>
      <x:c r="L57" s="25"/>
      <x:c r="M57" s="25"/>
      <x:c r="N57" s="25"/>
    </x:row>
    <x:row r="58">
      <x:c r="A58" s="25"/>
      <x:c r="B58" s="25"/>
      <x:c r="C58" s="25"/>
      <x:c r="D58" s="25"/>
      <x:c r="E58" s="25"/>
      <x:c r="F58" s="25"/>
      <x:c r="G58" s="25"/>
      <x:c r="H58" s="25"/>
      <x:c r="I58" s="25"/>
      <x:c r="J58" s="25"/>
      <x:c r="K58" s="25"/>
      <x:c r="L58" s="25"/>
      <x:c r="M58" s="25"/>
      <x:c r="N58" s="25"/>
    </x:row>
    <x:row r="59">
      <x:c r="A59" s="25"/>
      <x:c r="B59" s="25"/>
      <x:c r="C59" s="25"/>
      <x:c r="D59" s="25"/>
      <x:c r="E59" s="25"/>
      <x:c r="F59" s="25"/>
      <x:c r="G59" s="25"/>
      <x:c r="H59" s="25"/>
      <x:c r="I59" s="25"/>
      <x:c r="J59" s="25"/>
      <x:c r="K59" s="25"/>
      <x:c r="L59" s="25"/>
      <x:c r="M59" s="25"/>
      <x:c r="N59" s="25"/>
    </x:row>
    <x:row r="60">
      <x:c r="A60" s="25"/>
      <x:c r="B60" s="25"/>
      <x:c r="C60" s="25"/>
      <x:c r="D60" s="25"/>
      <x:c r="E60" s="25"/>
      <x:c r="F60" s="25"/>
      <x:c r="G60" s="25"/>
      <x:c r="H60" s="25"/>
      <x:c r="I60" s="25"/>
      <x:c r="J60" s="25"/>
      <x:c r="K60" s="25"/>
      <x:c r="L60" s="25"/>
      <x:c r="M60" s="25"/>
      <x:c r="N60" s="25"/>
    </x:row>
    <x:row r="61">
      <x:c r="A61" s="25"/>
      <x:c r="B61" s="25"/>
      <x:c r="C61" s="25"/>
      <x:c r="D61" s="25"/>
      <x:c r="E61" s="25"/>
      <x:c r="F61" s="25"/>
      <x:c r="G61" s="25"/>
      <x:c r="H61" s="25"/>
      <x:c r="I61" s="25"/>
      <x:c r="J61" s="25"/>
      <x:c r="K61" s="25"/>
      <x:c r="L61" s="25"/>
      <x:c r="M61" s="25"/>
      <x:c r="N61" s="25"/>
    </x:row>
    <x:row r="62">
      <x:c r="A62" s="25"/>
      <x:c r="B62" s="25"/>
      <x:c r="C62" s="25"/>
      <x:c r="D62" s="25"/>
      <x:c r="E62" s="25"/>
      <x:c r="F62" s="25"/>
      <x:c r="G62" s="25"/>
      <x:c r="H62" s="25"/>
      <x:c r="I62" s="25"/>
      <x:c r="J62" s="25"/>
      <x:c r="K62" s="25"/>
      <x:c r="L62" s="25"/>
      <x:c r="M62" s="25"/>
      <x:c r="N62" s="25"/>
    </x:row>
    <x:row r="63">
      <x:c r="A63" s="25"/>
      <x:c r="B63" s="25"/>
      <x:c r="C63" s="25"/>
      <x:c r="D63" s="25"/>
      <x:c r="E63" s="25"/>
      <x:c r="F63" s="25"/>
      <x:c r="G63" s="25"/>
      <x:c r="H63" s="25"/>
      <x:c r="I63" s="25"/>
      <x:c r="J63" s="25"/>
      <x:c r="K63" s="25"/>
      <x:c r="L63" s="25"/>
      <x:c r="M63" s="25"/>
      <x:c r="N63" s="25"/>
    </x:row>
    <x:row r="64">
      <x:c r="A64" s="25"/>
      <x:c r="B64" s="25"/>
      <x:c r="C64" s="25"/>
      <x:c r="D64" s="25"/>
      <x:c r="E64" s="25"/>
      <x:c r="F64" s="25"/>
      <x:c r="G64" s="25"/>
      <x:c r="H64" s="25"/>
      <x:c r="I64" s="25"/>
      <x:c r="J64" s="25"/>
      <x:c r="K64" s="25"/>
      <x:c r="L64" s="25"/>
      <x:c r="M64" s="25"/>
      <x:c r="N64" s="25"/>
    </x:row>
    <x:row r="65">
      <x:c r="A65" s="25"/>
      <x:c r="B65" s="25"/>
      <x:c r="C65" s="25"/>
      <x:c r="D65" s="25"/>
      <x:c r="E65" s="25"/>
      <x:c r="F65" s="25"/>
      <x:c r="G65" s="25"/>
      <x:c r="H65" s="25"/>
      <x:c r="I65" s="25"/>
      <x:c r="J65" s="25"/>
      <x:c r="K65" s="25"/>
      <x:c r="L65" s="25"/>
      <x:c r="M65" s="25"/>
      <x:c r="N65" s="25"/>
    </x:row>
    <x:row r="66">
      <x:c r="A66" s="25"/>
      <x:c r="B66" s="25"/>
      <x:c r="C66" s="25"/>
      <x:c r="D66" s="25"/>
      <x:c r="E66" s="25"/>
      <x:c r="F66" s="25"/>
      <x:c r="G66" s="25"/>
      <x:c r="H66" s="25"/>
      <x:c r="I66" s="25"/>
      <x:c r="J66" s="25"/>
      <x:c r="K66" s="25"/>
      <x:c r="L66" s="25"/>
      <x:c r="M66" s="25"/>
      <x:c r="N66" s="25"/>
    </x:row>
    <x:row r="67">
      <x:c r="A67" s="25"/>
      <x:c r="B67" s="25"/>
      <x:c r="C67" s="25"/>
      <x:c r="D67" s="25"/>
      <x:c r="E67" s="25"/>
      <x:c r="F67" s="25"/>
      <x:c r="G67" s="25"/>
      <x:c r="H67" s="25"/>
      <x:c r="I67" s="25"/>
      <x:c r="J67" s="25"/>
      <x:c r="K67" s="25"/>
      <x:c r="L67" s="25"/>
      <x:c r="M67" s="25"/>
      <x:c r="N67" s="25"/>
    </x:row>
    <x:row r="68">
      <x:c r="A68" s="25"/>
      <x:c r="B68" s="25"/>
      <x:c r="C68" s="25"/>
      <x:c r="D68" s="25"/>
      <x:c r="E68" s="25"/>
      <x:c r="F68" s="25"/>
      <x:c r="G68" s="25"/>
      <x:c r="H68" s="25"/>
      <x:c r="I68" s="25"/>
      <x:c r="J68" s="25"/>
      <x:c r="K68" s="25"/>
      <x:c r="L68" s="25"/>
      <x:c r="M68" s="25"/>
      <x:c r="N68" s="25"/>
    </x:row>
    <x:row r="69">
      <x:c r="A69" s="25"/>
      <x:c r="B69" s="25"/>
      <x:c r="C69" s="25"/>
      <x:c r="D69" s="25"/>
      <x:c r="E69" s="25"/>
      <x:c r="F69" s="25"/>
      <x:c r="G69" s="25"/>
      <x:c r="H69" s="25"/>
      <x:c r="I69" s="25"/>
      <x:c r="J69" s="25"/>
      <x:c r="K69" s="25"/>
      <x:c r="L69" s="25"/>
      <x:c r="M69" s="25"/>
      <x:c r="N69" s="25"/>
    </x:row>
    <x:row r="70">
      <x:c r="A70" s="25"/>
      <x:c r="B70" s="25"/>
      <x:c r="C70" s="25"/>
      <x:c r="D70" s="25"/>
      <x:c r="E70" s="25"/>
      <x:c r="F70" s="25"/>
      <x:c r="G70" s="25"/>
      <x:c r="H70" s="25"/>
      <x:c r="I70" s="25"/>
      <x:c r="J70" s="25"/>
      <x:c r="K70" s="25"/>
      <x:c r="L70" s="25"/>
      <x:c r="M70" s="25"/>
      <x:c r="N70" s="25"/>
    </x:row>
    <x:row r="71">
      <x:c r="A71" s="25"/>
      <x:c r="B71" s="25"/>
      <x:c r="C71" s="25"/>
      <x:c r="D71" s="25"/>
      <x:c r="E71" s="25"/>
      <x:c r="F71" s="25"/>
      <x:c r="G71" s="25"/>
      <x:c r="H71" s="25"/>
      <x:c r="I71" s="25"/>
      <x:c r="J71" s="25"/>
      <x:c r="K71" s="25"/>
      <x:c r="L71" s="25"/>
      <x:c r="M71" s="25"/>
      <x:c r="N71" s="25"/>
    </x:row>
    <x:row r="72">
      <x:c r="A72" s="25"/>
      <x:c r="B72" s="25"/>
      <x:c r="C72" s="25"/>
      <x:c r="D72" s="25"/>
      <x:c r="E72" s="25"/>
      <x:c r="F72" s="25"/>
      <x:c r="G72" s="25"/>
      <x:c r="H72" s="25"/>
      <x:c r="I72" s="25"/>
      <x:c r="J72" s="25"/>
      <x:c r="K72" s="25"/>
      <x:c r="L72" s="25"/>
      <x:c r="M72" s="25"/>
      <x:c r="N72" s="25"/>
    </x:row>
    <x:row r="73">
      <x:c r="A73" s="25"/>
      <x:c r="B73" s="25"/>
      <x:c r="C73" s="25"/>
      <x:c r="D73" s="25"/>
      <x:c r="E73" s="25"/>
      <x:c r="F73" s="25"/>
      <x:c r="G73" s="25"/>
      <x:c r="H73" s="25"/>
      <x:c r="I73" s="25"/>
      <x:c r="J73" s="25"/>
      <x:c r="K73" s="25"/>
      <x:c r="L73" s="25"/>
      <x:c r="M73" s="25"/>
      <x:c r="N73" s="25"/>
    </x:row>
    <x:row r="74">
      <x:c r="A74" s="25"/>
      <x:c r="B74" s="25"/>
      <x:c r="C74" s="25"/>
      <x:c r="D74" s="25"/>
      <x:c r="E74" s="25"/>
      <x:c r="F74" s="25"/>
      <x:c r="G74" s="25"/>
      <x:c r="H74" s="25"/>
      <x:c r="I74" s="25"/>
      <x:c r="J74" s="25"/>
      <x:c r="K74" s="25"/>
      <x:c r="L74" s="25"/>
      <x:c r="M74" s="25"/>
      <x:c r="N74" s="25"/>
    </x:row>
    <x:row r="75">
      <x:c r="A75" s="25"/>
      <x:c r="B75" s="25"/>
      <x:c r="C75" s="25"/>
      <x:c r="D75" s="25"/>
      <x:c r="E75" s="25"/>
      <x:c r="F75" s="25"/>
      <x:c r="G75" s="25"/>
      <x:c r="H75" s="25"/>
      <x:c r="I75" s="25"/>
      <x:c r="J75" s="25"/>
      <x:c r="K75" s="25"/>
      <x:c r="L75" s="25"/>
      <x:c r="M75" s="25"/>
      <x:c r="N75" s="25"/>
    </x:row>
    <x:row r="76">
      <x:c r="A76" s="25"/>
      <x:c r="B76" s="25"/>
      <x:c r="C76" s="25"/>
      <x:c r="D76" s="25"/>
      <x:c r="E76" s="25"/>
      <x:c r="F76" s="25"/>
      <x:c r="G76" s="25"/>
      <x:c r="H76" s="25"/>
      <x:c r="I76" s="25"/>
      <x:c r="J76" s="25"/>
      <x:c r="K76" s="25"/>
      <x:c r="L76" s="25"/>
      <x:c r="M76" s="25"/>
      <x:c r="N76" s="25"/>
    </x:row>
    <x:row r="77">
      <x:c r="A77" s="25"/>
      <x:c r="B77" s="25"/>
      <x:c r="C77" s="25"/>
      <x:c r="D77" s="25"/>
      <x:c r="E77" s="25"/>
      <x:c r="F77" s="25"/>
      <x:c r="G77" s="25"/>
      <x:c r="H77" s="25"/>
      <x:c r="I77" s="25"/>
      <x:c r="J77" s="25"/>
      <x:c r="K77" s="25"/>
      <x:c r="L77" s="25"/>
      <x:c r="M77" s="25"/>
      <x:c r="N77" s="25"/>
    </x:row>
    <x:row r="78">
      <x:c r="A78" s="25"/>
      <x:c r="B78" s="25"/>
      <x:c r="C78" s="25"/>
      <x:c r="D78" s="25"/>
      <x:c r="E78" s="25"/>
      <x:c r="F78" s="25"/>
      <x:c r="G78" s="25"/>
      <x:c r="H78" s="25"/>
      <x:c r="I78" s="25"/>
      <x:c r="J78" s="25"/>
      <x:c r="K78" s="25"/>
      <x:c r="L78" s="25"/>
      <x:c r="M78" s="25"/>
      <x:c r="N78" s="25"/>
    </x:row>
    <x:row r="79">
      <x:c r="A79" s="25"/>
      <x:c r="B79" s="25"/>
      <x:c r="C79" s="25"/>
      <x:c r="D79" s="25"/>
      <x:c r="E79" s="25"/>
      <x:c r="F79" s="25"/>
      <x:c r="G79" s="25"/>
      <x:c r="H79" s="25"/>
      <x:c r="I79" s="25"/>
      <x:c r="J79" s="25"/>
      <x:c r="K79" s="25"/>
      <x:c r="L79" s="25"/>
      <x:c r="M79" s="25"/>
      <x:c r="N79" s="25"/>
    </x:row>
    <x:row r="80">
      <x:c r="A80" s="25"/>
      <x:c r="B80" s="25"/>
      <x:c r="C80" s="25"/>
      <x:c r="D80" s="25"/>
      <x:c r="E80" s="25"/>
      <x:c r="F80" s="25"/>
      <x:c r="G80" s="25"/>
      <x:c r="H80" s="25"/>
      <x:c r="I80" s="25"/>
      <x:c r="J80" s="25"/>
      <x:c r="K80" s="25"/>
      <x:c r="L80" s="25"/>
      <x:c r="M80" s="25"/>
      <x:c r="N80" s="25"/>
    </x:row>
  </x:sheetData>
  <x:mergeCells>
    <x:mergeCell ref="A1:H1"/>
  </x:mergeCells>
  <x:pageMargins left="0.7" right="0.7" top="0.75" bottom="0.75" header="0.3" footer="0.3"/>
</x:worksheet>
</file>