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b920db08e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_DAN" sheetId="1" r:id="R0da35793d9c94c92"/>
    <x:sheet xmlns:r="http://schemas.openxmlformats.org/officeDocument/2006/relationships" name="01_THU_DONG" sheetId="2" r:id="Re773a323a14144fb"/>
    <x:sheet xmlns:r="http://schemas.openxmlformats.org/officeDocument/2006/relationships" name="02_LUN_COC_DON" sheetId="3" r:id="Rb172cbfaca254097"/>
    <x:sheet xmlns:r="http://schemas.openxmlformats.org/officeDocument/2006/relationships" name="03_LUN_NHOM" sheetId="4" r:id="R29b2f05a01474d78"/>
    <x:sheet xmlns:r="http://schemas.openxmlformats.org/officeDocument/2006/relationships" name="04_KHOI_QUY_UOC" sheetId="5" r:id="Raa02835a604c4a69"/>
    <x:sheet xmlns:r="http://schemas.openxmlformats.org/officeDocument/2006/relationships" name="05_BE_COC_METHOD" sheetId="6" r:id="Rc73a35ce866b4923"/>
    <x:sheet xmlns:r="http://schemas.openxmlformats.org/officeDocument/2006/relationships" name="06_BANG17" sheetId="7" r:id="Rf8b9f8b57a2b4178"/>
    <x:sheet xmlns:r="http://schemas.openxmlformats.org/officeDocument/2006/relationships" name="07_PROVENANCE" sheetId="8" r:id="Rea955969c14b495d"/>
    <x:sheet xmlns:r="http://schemas.openxmlformats.org/officeDocument/2006/relationships" name="08_ANH_HUONG_THI_CONG" sheetId="9" r:id="R55b7607db28d4f14"/>
    <x:sheet xmlns:r="http://schemas.openxmlformats.org/officeDocument/2006/relationships" name="09_AUDIT_BENCH" sheetId="10" r:id="R39635698899c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562f405dd4420" /><Relationship Type="http://schemas.openxmlformats.org/officeDocument/2006/relationships/theme" Target="/xl/theme/theme1.xml" Id="Rff1e79c7dd4d4203" /><Relationship Type="http://schemas.openxmlformats.org/officeDocument/2006/relationships/sharedStrings" Target="/xl/sharedStrings.xml" Id="Rb040bfa26e504c33" /><Relationship Type="http://schemas.openxmlformats.org/officeDocument/2006/relationships/worksheet" Target="/xl/worksheets/sheet1.xml" Id="R0da35793d9c94c92" /><Relationship Type="http://schemas.openxmlformats.org/officeDocument/2006/relationships/worksheet" Target="/xl/worksheets/sheet2.xml" Id="Re773a323a14144fb" /><Relationship Type="http://schemas.openxmlformats.org/officeDocument/2006/relationships/worksheet" Target="/xl/worksheets/sheet3.xml" Id="Rb172cbfaca254097" /><Relationship Type="http://schemas.openxmlformats.org/officeDocument/2006/relationships/worksheet" Target="/xl/worksheets/sheet4.xml" Id="R29b2f05a01474d78" /><Relationship Type="http://schemas.openxmlformats.org/officeDocument/2006/relationships/worksheet" Target="/xl/worksheets/sheet5.xml" Id="Raa02835a604c4a69" /><Relationship Type="http://schemas.openxmlformats.org/officeDocument/2006/relationships/worksheet" Target="/xl/worksheets/sheet6.xml" Id="Rc73a35ce866b4923" /><Relationship Type="http://schemas.openxmlformats.org/officeDocument/2006/relationships/worksheet" Target="/xl/worksheets/sheet7.xml" Id="Rf8b9f8b57a2b4178" /><Relationship Type="http://schemas.openxmlformats.org/officeDocument/2006/relationships/worksheet" Target="/xl/worksheets/sheet8.xml" Id="Rea955969c14b495d" /><Relationship Type="http://schemas.openxmlformats.org/officeDocument/2006/relationships/worksheet" Target="/xl/worksheets/sheet9.xml" Id="R55b7607db28d4f14" /><Relationship Type="http://schemas.openxmlformats.org/officeDocument/2006/relationships/worksheet" Target="/xl/worksheets/sheet10.xml" Id="R39635698899c4e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9.12999725341797" hidden="0" customWidth="1"/>
    <x:col min="2" max="2" width="129.1300048828125" hidden="0" customWidth="1"/>
  </x:cols>
  <x:sheetData>
    <x:row r="1" ht="16.799999237060547" hidden="0" customHeight="1">
      <x:c r="A1" s="12" t="str">
        <x:v>HNL TCVN 10304:2025 – ADVANCED PRODUCTION WORKBOOK v1.17.0</x:v>
      </x:c>
      <x:c r="B1" s="12"/>
      <x:c r="C1" s="12"/>
      <x:c r="D1" s="12"/>
      <x:c r="E1" s="12"/>
      <x:c r="F1" s="12"/>
      <x:c r="G1" s="13"/>
      <x:c r="H1" s="13"/>
      <x:c r="I1" s="13"/>
      <x:c r="J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4" t="str">
        <x:v>Mục</x:v>
      </x:c>
      <x:c r="B3" s="14" t="str">
        <x:v>Nội dung</x:v>
      </x:c>
      <x:c r="C3" s="14" t="str"/>
      <x:c r="D3" s="14" t="str"/>
      <x:c r="E3" s="14" t="str"/>
      <x:c r="F3" s="14" t="str"/>
      <x:c r="G3" s="13"/>
      <x:c r="H3" s="13"/>
      <x:c r="I3" s="13"/>
      <x:c r="J3" s="13"/>
    </x:row>
    <x:row r="4" ht="15" hidden="0" customHeight="1">
      <x:c r="A4" s="13" t="str">
        <x:v>Nguyên tắc</x:v>
      </x:c>
      <x:c r="B4" s="13" t="str">
        <x:v>Chỉ workflow đã đối chiếu PDF gốc mới có công thức số học. Bè-cọc là VERIFIED_METHOD: tiêu chuẩn yêu cầu mô hình tương tác/số, không có một công thức đóng duy nhất.</x:v>
      </x:c>
      <x:c r="C4" s="13" t="str"/>
      <x:c r="D4" s="13" t="str"/>
      <x:c r="E4" s="13" t="str"/>
      <x:c r="F4" s="13" t="str"/>
      <x:c r="G4" s="13"/>
      <x:c r="H4" s="13"/>
      <x:c r="I4" s="13"/>
      <x:c r="J4" s="13"/>
    </x:row>
    <x:row r="5" ht="15" hidden="0" customHeight="1">
      <x:c r="A5" s="13" t="str">
        <x:v>01_THU_DONG</x:v>
      </x:c>
      <x:c r="B5" s="13" t="str">
        <x:v>CT (22)–(24), trang 52–53. Chọn nhánh theo độ chối dư s_a.</x:v>
      </x:c>
      <x:c r="C5" s="13" t="str"/>
      <x:c r="D5" s="13" t="str"/>
      <x:c r="E5" s="13" t="str"/>
      <x:c r="F5" s="13" t="str"/>
      <x:c r="G5" s="13"/>
      <x:c r="H5" s="13"/>
      <x:c r="I5" s="13"/>
      <x:c r="J5" s="13"/>
    </x:row>
    <x:row r="6" ht="15" hidden="0" customHeight="1">
      <x:c r="A6" s="13" t="str">
        <x:v>02_LUN_COC_DON</x:v>
      </x:c>
      <x:c r="B6" s="13" t="str">
        <x:v>CT (30)–(35), trang 59–60; kiểm điều kiện L/d &gt; 5 và G1L/(G2d)&gt;1.</x:v>
      </x:c>
      <x:c r="C6" s="13" t="str"/>
      <x:c r="D6" s="13" t="str"/>
      <x:c r="E6" s="13" t="str"/>
      <x:c r="F6" s="13" t="str"/>
      <x:c r="G6" s="13"/>
      <x:c r="H6" s="13"/>
      <x:c r="I6" s="13"/>
      <x:c r="J6" s="13"/>
    </x:row>
    <x:row r="7" ht="15" hidden="0" customHeight="1">
      <x:c r="A7" s="13" t="str">
        <x:v>03_LUN_NHOM</x:v>
      </x:c>
      <x:c r="B7" s="13" t="str">
        <x:v>CT (36)–(40), trang 61–62. Mẫu nhóm 3 cọc để thay tải/ảnh hưởng.</x:v>
      </x:c>
      <x:c r="C7" s="13" t="str"/>
      <x:c r="D7" s="13" t="str"/>
      <x:c r="E7" s="13" t="str"/>
      <x:c r="F7" s="13" t="str"/>
      <x:c r="G7" s="13"/>
      <x:c r="H7" s="13"/>
      <x:c r="I7" s="13"/>
      <x:c r="J7" s="13"/>
    </x:row>
    <x:row r="8" ht="15" hidden="0" customHeight="1">
      <x:c r="A8" s="13" t="str">
        <x:v>04_KHOI_QUY_UOC</x:v>
      </x:c>
      <x:c r="B8" s="13" t="str">
        <x:v>CT (41)–(46), trang 62–65. s_ef là kết quả lún nền khối quy ước theo TCVN 9362, nhập từ module nền/ngoài phạm vi 10304.</x:v>
      </x:c>
      <x:c r="C8" s="13" t="str"/>
      <x:c r="D8" s="13" t="str"/>
      <x:c r="E8" s="13" t="str"/>
      <x:c r="F8" s="13" t="str"/>
      <x:c r="G8" s="13"/>
      <x:c r="H8" s="13"/>
      <x:c r="I8" s="13"/>
      <x:c r="J8" s="13"/>
    </x:row>
    <x:row r="9" ht="15" hidden="0" customHeight="1">
      <x:c r="A9" s="13" t="str">
        <x:v>05_BE_COC_METHOD</x:v>
      </x:c>
      <x:c r="B9" s="13" t="str">
        <x:v>Checklist 7.4.5; không tự bịa hệ số nền. Kết quả mô hình số có thể nhập để lập thuyết minh.</x:v>
      </x:c>
      <x:c r="C9" s="13" t="str"/>
      <x:c r="D9" s="13" t="str"/>
      <x:c r="E9" s="13" t="str"/>
      <x:c r="F9" s="13" t="str"/>
      <x:c r="G9" s="13"/>
      <x:c r="H9" s="13"/>
      <x:c r="I9" s="13"/>
      <x:c r="J9" s="13"/>
    </x:row>
    <x:row r="10" ht="15" hidden="0" customHeight="1">
      <x:c r="A10" s="13" t="str">
        <x:v>Màu vàng</x:v>
      </x:c>
      <x:c r="B10" s="13" t="str">
        <x:v>Ô INPUT có thể sửa. Công thức Excel tự tính lại.</x:v>
      </x:c>
      <x:c r="C10" s="13" t="str"/>
      <x:c r="D10" s="13" t="str"/>
      <x:c r="E10" s="13" t="str"/>
      <x:c r="F10" s="13" t="str"/>
      <x:c r="G10" s="13"/>
      <x:c r="H10" s="13"/>
      <x:c r="I10" s="13"/>
      <x:c r="J10" s="13"/>
    </x:row>
    <x:row r="11" ht="15" hidden="0" customHeight="1">
      <x:c r="A11" s="13" t="str">
        <x:v>Nguồn</x:v>
      </x:c>
      <x:c r="B11" s="13" t="str">
        <x:v>Sheet 07_PROVENANCE lưu Điều/Công thức/Bảng/trang.</x:v>
      </x:c>
      <x:c r="C11" s="13" t="str"/>
      <x:c r="D11" s="13" t="str"/>
      <x:c r="E11" s="13" t="str"/>
      <x:c r="F11" s="13" t="str"/>
      <x:c r="G11" s="13"/>
      <x:c r="H11" s="13"/>
      <x:c r="I11" s="13"/>
      <x:c r="J11" s="13"/>
    </x:row>
    <x:row r="12" ht="15" hidden="0" customHeight="1">
      <x:c r="A12" s="13" t="str">
        <x:v>Trạng thái</x:v>
      </x:c>
      <x:c r="B12" s="13" t="str">
        <x:v>VERIFIED = tính số; VERIFIED_METHOD = quy trình đã xác minh nhưng cần mô hình/phần mềm ngoài công thức đóng.</x:v>
      </x:c>
      <x:c r="C12" s="13" t="str"/>
      <x:c r="D12" s="13" t="str"/>
      <x:c r="E12" s="13" t="str"/>
      <x:c r="F12" s="13" t="str"/>
      <x:c r="G12" s="13"/>
      <x:c r="H12" s="13"/>
      <x:c r="I12" s="13"/>
      <x:c r="J12" s="13"/>
    </x:row>
    <x:row r="13" ht="15" hidden="0" customHeight="1">
      <x:c r="A13" s="13" t="str">
        <x:v>Đơn vị</x:v>
      </x:c>
      <x:c r="B13" s="13" t="str">
        <x:v>kN, m, MPa, kPa; các chuyển đổi được ghi trực tiếp trong công thức.</x:v>
      </x:c>
      <x:c r="C13" s="13" t="str"/>
      <x:c r="D13" s="13" t="str"/>
      <x:c r="E13" s="13" t="str"/>
      <x:c r="F13" s="13" t="str"/>
      <x:c r="G13" s="13"/>
      <x:c r="H13" s="13"/>
      <x:c r="I13" s="13"/>
      <x:c r="J13" s="13"/>
    </x:row>
    <x:row r="14" ht="15" hidden="0" customHeight="1">
      <x:c r="A14" s="13" t="str">
        <x:v>Audit v1.17.0</x:v>
      </x:c>
      <x:c r="B14" s="13" t="str">
        <x:v>Đã kiểm lại đơn vị, điều kiện áp dụng và benchmark HNL ↔ Excel cho toàn bộ workflow numeric TCVN 10304.</x:v>
      </x:c>
      <x:c r="C14" s="13"/>
      <x:c r="D14" s="13"/>
      <x:c r="E14" s="13"/>
      <x:c r="F14" s="13"/>
      <x:c r="G14" s="13"/>
      <x:c r="H14" s="13"/>
      <x:c r="I14" s="13"/>
      <x:c r="J14" s="13"/>
    </x:row>
    <x:row r="15" ht="15" hidden="0" customHeight="1">
      <x:c r="A15" s="13" t="str">
        <x:v>Benchmark</x:v>
      </x:c>
      <x:c r="B15" s="13" t="str">
        <x:v>12 workflow numeric: PASS; bè-cọc: PASS-METHOD vì tiêu chuẩn yêu cầu mô hình tương tác/số.</x:v>
      </x:c>
      <x:c r="C15" s="13"/>
      <x:c r="D15" s="13"/>
      <x:c r="E15" s="13"/>
      <x:c r="F15" s="13"/>
      <x:c r="G15" s="13"/>
      <x:c r="H15" s="13"/>
      <x:c r="I15" s="13"/>
      <x:c r="J15" s="13"/>
    </x:row>
    <x:row r="16" ht="15" hidden="0" customHeight="1">
      <x:c r="A16" s="13" t="str">
        <x:v>Safety</x:v>
      </x:c>
      <x:c r="B16" s="13" t="str">
        <x:v>Không biến VERIFIED_METHOD thành kết quả số đóng; không tự bịa dữ liệu ngoài phạm vi tiêu chuẩn.</x:v>
      </x:c>
      <x:c r="C16" s="13"/>
      <x:c r="D16" s="13"/>
      <x:c r="E16" s="13"/>
      <x:c r="F16" s="13"/>
      <x:c r="G16" s="13"/>
      <x:c r="H16" s="13"/>
      <x:c r="I16" s="13"/>
      <x:c r="J16" s="13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.5" hidden="0" customWidth="1"/>
    <x:col min="2" max="2" width="10.25" hidden="0" customWidth="1"/>
    <x:col min="3" max="3" width="5.880000114440918" hidden="0" customWidth="1"/>
    <x:col min="4" max="4" width="28" hidden="0" customWidth="1"/>
    <x:col min="5" max="5" width="10.25" hidden="0" customWidth="1"/>
    <x:col min="6" max="6" width="10" hidden="0" customWidth="1"/>
  </x:cols>
  <x:sheetData>
    <x:row r="1" ht="16.799999237060547" hidden="0" customHeight="1">
      <x:c r="A1" s="12" t="str">
        <x:v>THỬ ĐỘNG – TCVN 10304:2025 §7.3.3.2 · CT (22)–(24)</x:v>
      </x:c>
      <x:c r="B1" s="12"/>
      <x:c r="C1" s="12"/>
      <x:c r="D1" s="12"/>
      <x:c r="E1" s="12"/>
      <x:c r="F1" s="12"/>
      <x:c r="G1" s="13"/>
      <x:c r="H1" s="13"/>
      <x:c r="I1" s="13"/>
      <x:c r="J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4" t="str">
        <x:v>Thông số</x:v>
      </x:c>
      <x:c r="B3" s="14" t="str">
        <x:v>Giá trị</x:v>
      </x:c>
      <x:c r="C3" s="14" t="str">
        <x:v>Đơn vị</x:v>
      </x:c>
      <x:c r="D3" s="14" t="str">
        <x:v>Ý nghĩa</x:v>
      </x:c>
      <x:c r="E3" s="14" t="str">
        <x:v>Nguồn</x:v>
      </x:c>
      <x:c r="F3" s="14" t="str">
        <x:v>Trạng thái</x:v>
      </x:c>
      <x:c r="G3" s="13"/>
      <x:c r="H3" s="13"/>
      <x:c r="I3" s="13"/>
      <x:c r="J3" s="13"/>
    </x:row>
    <x:row r="4" ht="15" hidden="0" customHeight="1">
      <x:c r="A4" s="13" t="str">
        <x:v>s_a</x:v>
      </x:c>
      <x:c r="B4" s="18" t="n">
        <x:v>0.003</x:v>
      </x:c>
      <x:c r="C4" s="13" t="str">
        <x:v>m</x:v>
      </x:c>
      <x:c r="D4" s="13" t="str">
        <x:v>Độ chối dư</x:v>
      </x:c>
      <x:c r="E4" s="13" t="str">
        <x:v>CT (22)/(23)</x:v>
      </x:c>
      <x:c r="F4" s="13" t="str">
        <x:v>INPUT</x:v>
      </x:c>
      <x:c r="G4" s="13"/>
      <x:c r="H4" s="13"/>
      <x:c r="I4" s="13"/>
      <x:c r="J4" s="13"/>
    </x:row>
    <x:row r="5" ht="15" hidden="0" customHeight="1">
      <x:c r="A5" s="13" t="str">
        <x:v>s_el</x:v>
      </x:c>
      <x:c r="B5" s="18" t="n">
        <x:v>0.001</x:v>
      </x:c>
      <x:c r="C5" s="13" t="str">
        <x:v>m</x:v>
      </x:c>
      <x:c r="D5" s="13" t="str">
        <x:v>Độ chối đàn hồi</x:v>
      </x:c>
      <x:c r="E5" s="13" t="str">
        <x:v>CT (23)</x:v>
      </x:c>
      <x:c r="F5" s="13" t="str">
        <x:v>INPUT</x:v>
      </x:c>
      <x:c r="G5" s="13"/>
      <x:c r="H5" s="13"/>
      <x:c r="I5" s="13"/>
      <x:c r="J5" s="13"/>
    </x:row>
    <x:row r="6" ht="15" hidden="0" customHeight="1">
      <x:c r="A6" s="13" t="str">
        <x:v>η</x:v>
      </x:c>
      <x:c r="B6" s="18" t="n">
        <x:v>1500</x:v>
      </x:c>
      <x:c r="C6" s="13" t="str">
        <x:v>kN/m²</x:v>
      </x:c>
      <x:c r="D6" s="13" t="str">
        <x:v>Hệ số theo Bảng 11</x:v>
      </x:c>
      <x:c r="E6" s="13" t="str">
        <x:v>Bảng 11</x:v>
      </x:c>
      <x:c r="F6" s="13" t="str">
        <x:v>INPUT/AUTO</x:v>
      </x:c>
      <x:c r="G6" s="13"/>
      <x:c r="H6" s="13"/>
      <x:c r="I6" s="13"/>
      <x:c r="J6" s="13"/>
    </x:row>
    <x:row r="7" ht="15" hidden="0" customHeight="1">
      <x:c r="A7" s="13" t="str">
        <x:v>A</x:v>
      </x:c>
      <x:c r="B7" s="18" t="n">
        <x:v>0.16</x:v>
      </x:c>
      <x:c r="C7" s="13" t="str">
        <x:v>m²</x:v>
      </x:c>
      <x:c r="D7" s="13" t="str">
        <x:v>Diện tích tiết diện cọc</x:v>
      </x:c>
      <x:c r="E7" s="13" t="str">
        <x:v>Hình học</x:v>
      </x:c>
      <x:c r="F7" s="13" t="str">
        <x:v>INPUT</x:v>
      </x:c>
      <x:c r="G7" s="13"/>
      <x:c r="H7" s="13"/>
      <x:c r="I7" s="13"/>
      <x:c r="J7" s="13"/>
    </x:row>
    <x:row r="8" ht="15" hidden="0" customHeight="1">
      <x:c r="A8" s="13" t="str">
        <x:v>M</x:v>
      </x:c>
      <x:c r="B8" s="18" t="n">
        <x:v>1</x:v>
      </x:c>
      <x:c r="C8" s="13" t="str">
        <x:v>-</x:v>
      </x:c>
      <x:c r="D8" s="13" t="str">
        <x:v>Hệ số búa; rung theo Bảng 12</x:v>
      </x:c>
      <x:c r="E8" s="13" t="str">
        <x:v>Bảng 12</x:v>
      </x:c>
      <x:c r="F8" s="13" t="str">
        <x:v>INPUT/AUTO</x:v>
      </x:c>
      <x:c r="G8" s="13"/>
      <x:c r="H8" s="13"/>
      <x:c r="I8" s="13"/>
      <x:c r="J8" s="13"/>
    </x:row>
    <x:row r="9" ht="15" hidden="0" customHeight="1">
      <x:c r="A9" s="13" t="str">
        <x:v>Ed</x:v>
      </x:c>
      <x:c r="B9" s="18" t="n">
        <x:v>45</x:v>
      </x:c>
      <x:c r="C9" s="13" t="str">
        <x:v>kJ</x:v>
      </x:c>
      <x:c r="D9" s="13" t="str">
        <x:v>Năng lượng va chạm</x:v>
      </x:c>
      <x:c r="E9" s="13" t="str">
        <x:v>Bảng 13/14</x:v>
      </x:c>
      <x:c r="F9" s="13" t="str">
        <x:v>INPUT</x:v>
      </x:c>
      <x:c r="G9" s="13"/>
      <x:c r="H9" s="13"/>
      <x:c r="I9" s="13"/>
      <x:c r="J9" s="13"/>
    </x:row>
    <x:row r="10" ht="15" hidden="0" customHeight="1">
      <x:c r="A10" s="13" t="str">
        <x:v>m1</x:v>
      </x:c>
      <x:c r="B10" s="18" t="n">
        <x:v>2.5</x:v>
      </x:c>
      <x:c r="C10" s="13" t="str">
        <x:v>T</x:v>
      </x:c>
      <x:c r="D10" s="13" t="str">
        <x:v>Khối lượng búa</x:v>
      </x:c>
      <x:c r="E10" s="13" t="str">
        <x:v>CT (22)</x:v>
      </x:c>
      <x:c r="F10" s="13" t="str">
        <x:v>INPUT</x:v>
      </x:c>
      <x:c r="G10" s="13"/>
      <x:c r="H10" s="13"/>
      <x:c r="I10" s="13"/>
      <x:c r="J10" s="13"/>
    </x:row>
    <x:row r="11" ht="15" hidden="0" customHeight="1">
      <x:c r="A11" s="13" t="str">
        <x:v>m2</x:v>
      </x:c>
      <x:c r="B11" s="18" t="n">
        <x:v>1</x:v>
      </x:c>
      <x:c r="C11" s="13" t="str">
        <x:v>T</x:v>
      </x:c>
      <x:c r="D11" s="13" t="str">
        <x:v>Khối lượng cọc + chụp</x:v>
      </x:c>
      <x:c r="E11" s="13" t="str">
        <x:v>CT (22)</x:v>
      </x:c>
      <x:c r="F11" s="13" t="str">
        <x:v>INPUT</x:v>
      </x:c>
      <x:c r="G11" s="13"/>
      <x:c r="H11" s="13"/>
      <x:c r="I11" s="13"/>
      <x:c r="J11" s="13"/>
    </x:row>
    <x:row r="12" ht="15" hidden="0" customHeight="1">
      <x:c r="A12" s="13" t="str">
        <x:v>m3</x:v>
      </x:c>
      <x:c r="B12" s="18" t="n">
        <x:v>0.2</x:v>
      </x:c>
      <x:c r="C12" s="13" t="str">
        <x:v>T</x:v>
      </x:c>
      <x:c r="D12" s="13" t="str">
        <x:v>Khối lượng cọc đệm</x:v>
      </x:c>
      <x:c r="E12" s="13" t="str">
        <x:v>CT (22)</x:v>
      </x:c>
      <x:c r="F12" s="13" t="str">
        <x:v>INPUT</x:v>
      </x:c>
      <x:c r="G12" s="13"/>
      <x:c r="H12" s="13"/>
      <x:c r="I12" s="13"/>
      <x:c r="J12" s="13"/>
    </x:row>
    <x:row r="13" ht="15" hidden="0" customHeight="1">
      <x:c r="A13" s="13" t="str">
        <x:v>m4</x:v>
      </x:c>
      <x:c r="B13" s="18" t="n">
        <x:v>3</x:v>
      </x:c>
      <x:c r="C13" s="13" t="str">
        <x:v>T</x:v>
      </x:c>
      <x:c r="D13" s="13" t="str">
        <x:v>Khối lượng quả búa/pít tông</x:v>
      </x:c>
      <x:c r="E13" s="13" t="str">
        <x:v>CT (23)/(24)</x:v>
      </x:c>
      <x:c r="F13" s="13" t="str">
        <x:v>INPUT</x:v>
      </x:c>
      <x:c r="G13" s="13"/>
      <x:c r="H13" s="13"/>
      <x:c r="I13" s="13"/>
      <x:c r="J13" s="13"/>
    </x:row>
    <x:row r="14" ht="15" hidden="0" customHeight="1">
      <x:c r="A14" s="13" t="str">
        <x:v>ε</x:v>
      </x:c>
      <x:c r="B14" s="18" t="n">
        <x:v>0.2</x:v>
      </x:c>
      <x:c r="C14" s="13" t="str">
        <x:v>-</x:v>
      </x:c>
      <x:c r="D14" s="13" t="str">
        <x:v>Hệ số phục hồi va chạm</x:v>
      </x:c>
      <x:c r="E14" s="13" t="str">
        <x:v>§7.3.3.2</x:v>
      </x:c>
      <x:c r="F14" s="13" t="str">
        <x:v>INPUT</x:v>
      </x:c>
      <x:c r="G14" s="13"/>
      <x:c r="H14" s="13"/>
      <x:c r="I14" s="13"/>
      <x:c r="J14" s="13"/>
    </x:row>
    <x:row r="15" ht="15" hidden="0" customHeight="1">
      <x:c r="A15" s="13" t="str">
        <x:v>θ</x:v>
      </x:c>
      <x:c r="B15" s="13"/>
      <x:c r="C15" s="13" t="str">
        <x:v>-</x:v>
      </x:c>
      <x:c r="D15" s="13" t="str">
        <x:v>Tự tính CT (24) nếu có dữ liệu dưới</x:v>
      </x:c>
      <x:c r="E15" s="13" t="str">
        <x:v>CT (24)</x:v>
      </x:c>
      <x:c r="F15" s="13" t="str">
        <x:v>FORMULA</x:v>
      </x:c>
      <x:c r="G15" s="13"/>
      <x:c r="H15" s="13"/>
      <x:c r="I15" s="13"/>
      <x:c r="J15" s="13"/>
    </x:row>
    <x:row r="16" ht="15" hidden="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 ht="15" hidden="0" customHeight="1">
      <x:c r="A17" s="14" t="str">
        <x:v>Thông số CT24</x:v>
      </x:c>
      <x:c r="B17" s="14" t="str">
        <x:v>Giá trị</x:v>
      </x:c>
      <x:c r="C17" s="14" t="str">
        <x:v>Đơn vị</x:v>
      </x:c>
      <x:c r="D17" s="14" t="str">
        <x:v>Công thức/ghi chú</x:v>
      </x:c>
      <x:c r="E17" s="14" t="str">
        <x:v>Kết quả</x:v>
      </x:c>
      <x:c r="F17" s="14" t="str">
        <x:v>Nguồn</x:v>
      </x:c>
      <x:c r="G17" s="13"/>
      <x:c r="H17" s="13"/>
      <x:c r="I17" s="13"/>
      <x:c r="J17" s="13"/>
    </x:row>
    <x:row r="18" ht="15" hidden="0" customHeight="1">
      <x:c r="A18" s="13" t="str">
        <x:v>np</x:v>
      </x:c>
      <x:c r="B18" s="18" t="n">
        <x:v>0.00025</x:v>
      </x:c>
      <x:c r="C18" s="13" t="str">
        <x:v>s·m/kN</x:v>
      </x:c>
      <x:c r="D18" s="13" t="str">
        <x:v>Mặc định đất dưới mũi</x:v>
      </x:c>
      <x:c r="E18" s="13" t="str"/>
      <x:c r="F18" s="13" t="str">
        <x:v>trang 53</x:v>
      </x:c>
      <x:c r="G18" s="13"/>
      <x:c r="H18" s="13"/>
      <x:c r="I18" s="13"/>
      <x:c r="J18" s="13"/>
    </x:row>
    <x:row r="19" ht="15" hidden="0" customHeight="1">
      <x:c r="A19" s="13" t="str">
        <x:v>nf</x:v>
      </x:c>
      <x:c r="B19" s="18" t="n">
        <x:v>0.025</x:v>
      </x:c>
      <x:c r="C19" s="13" t="str">
        <x:v>s·m/kN</x:v>
      </x:c>
      <x:c r="D19" s="13" t="str">
        <x:v>Mặc định mặt bên</x:v>
      </x:c>
      <x:c r="E19" s="13" t="str"/>
      <x:c r="F19" s="13" t="str">
        <x:v>trang 53</x:v>
      </x:c>
      <x:c r="G19" s="13"/>
      <x:c r="H19" s="13"/>
      <x:c r="I19" s="13"/>
      <x:c r="J19" s="13"/>
    </x:row>
    <x:row r="20" ht="15" hidden="0" customHeight="1">
      <x:c r="A20" s="13" t="str">
        <x:v>Af</x:v>
      </x:c>
      <x:c r="B20" s="18" t="n">
        <x:v>19.2</x:v>
      </x:c>
      <x:c r="C20" s="13" t="str">
        <x:v>m²</x:v>
      </x:c>
      <x:c r="D20" s="13" t="str">
        <x:v>Diện tích mặt bên cọc</x:v>
      </x:c>
      <x:c r="E20" s="13" t="str"/>
      <x:c r="F20" s="13" t="str">
        <x:v>CT (24)</x:v>
      </x:c>
      <x:c r="G20" s="13"/>
      <x:c r="H20" s="13"/>
      <x:c r="I20" s="13"/>
      <x:c r="J20" s="13"/>
    </x:row>
    <x:row r="21" ht="15" hidden="0" customHeight="1">
      <x:c r="A21" s="13" t="str">
        <x:v>g</x:v>
      </x:c>
      <x:c r="B21" s="18" t="n">
        <x:v>9.81</x:v>
      </x:c>
      <x:c r="C21" s="13" t="str">
        <x:v>m/s²</x:v>
      </x:c>
      <x:c r="D21" s="13" t="str">
        <x:v>Gia tốc trọng trường</x:v>
      </x:c>
      <x:c r="E21" s="13" t="str"/>
      <x:c r="F21" s="13" t="str">
        <x:v>CT (24)</x:v>
      </x:c>
      <x:c r="G21" s="13"/>
      <x:c r="H21" s="13"/>
      <x:c r="I21" s="13"/>
      <x:c r="J21" s="13"/>
    </x:row>
    <x:row r="22" ht="15" hidden="0" customHeight="1">
      <x:c r="A22" s="13" t="str">
        <x:v>H</x:v>
      </x:c>
      <x:c r="B22" s="18" t="n">
        <x:v>1</x:v>
      </x:c>
      <x:c r="C22" s="13" t="str">
        <x:v>m</x:v>
      </x:c>
      <x:c r="D22" s="13" t="str">
        <x:v>Chiều cao rơi thực</x:v>
      </x:c>
      <x:c r="E22" s="13" t="str"/>
      <x:c r="F22" s="13" t="str">
        <x:v>CT (24)</x:v>
      </x:c>
      <x:c r="G22" s="13"/>
      <x:c r="H22" s="13"/>
      <x:c r="I22" s="13"/>
      <x:c r="J22" s="13"/>
    </x:row>
    <x:row r="23" ht="15" hidden="0" customHeight="1">
      <x:c r="A23" s="13" t="str">
        <x:v>h</x:v>
      </x:c>
      <x:c r="B23" s="18" t="n">
        <x:v>0</x:v>
      </x:c>
      <x:c r="C23" s="13" t="str">
        <x:v>m</x:v>
      </x:c>
      <x:c r="D23" s="13" t="str">
        <x:v>Diesel lấy theo Bảng 13; búa khác = 0</x:v>
      </x:c>
      <x:c r="E23" s="13" t="str"/>
      <x:c r="F23" s="13" t="str">
        <x:v>CT (24)</x:v>
      </x:c>
      <x:c r="G23" s="13"/>
      <x:c r="H23" s="13"/>
      <x:c r="I23" s="13"/>
      <x:c r="J23" s="13"/>
    </x:row>
    <x:row r="24" ht="15" hidden="0" customHeight="1">
      <x:c r="A24" s="13" t="str">
        <x:v>θ</x:v>
      </x:c>
      <x:c r="B24" s="13" t="n">
        <x:f>1/4*(B18/B7+B19/B20)*B13/(B13+B10)*SQRT(2*B21*(B22-B23))</x:f>
        <x:v>0.0017302527023711019</x:v>
      </x:c>
      <x:c r="C24" s="13" t="str">
        <x:v>-</x:v>
      </x:c>
      <x:c r="D24" s="13" t="str">
        <x:v>CT24: 1/4·(np/A+nf/Af)·m4/(m4+m2)·√(2g(H-h))</x:v>
      </x:c>
      <x:c r="E24" s="13" t="n">
        <x:f>B24</x:f>
        <x:v>0.0017302527023711019</x:v>
      </x:c>
      <x:c r="F24" s="13" t="str">
        <x:v>CT (24)</x:v>
      </x:c>
      <x:c r="G24" s="13"/>
      <x:c r="H24" s="13"/>
      <x:c r="I24" s="13"/>
      <x:c r="J24" s="13"/>
    </x:row>
    <x:row r="25" ht="15" hidden="0" customHeight="1">
      <x:c r="A25" s="13" t="str">
        <x:v>R_u CT22</x:v>
      </x:c>
      <x:c r="B25" s="13" t="n">
        <x:f>B6*B7*B8/2*(SQRT(1+4*B9/(B6*B7*B4)*(B10+B14^2*(B11+B12))/(B10+B11+B12))-1)</x:f>
        <x:v>1459.0931369413063</x:v>
      </x:c>
      <x:c r="C25" s="13" t="str">
        <x:v>kN</x:v>
      </x:c>
      <x:c r="D25" s="13" t="str">
        <x:v>Áp dụng khi s_a ≥ 0,002 m</x:v>
      </x:c>
      <x:c r="E25" s="13" t="n">
        <x:f>B25</x:f>
        <x:v>1459.0931369413063</x:v>
      </x:c>
      <x:c r="F25" s="13" t="str">
        <x:v>CT (22)</x:v>
      </x:c>
      <x:c r="G25" s="13"/>
      <x:c r="H25" s="13"/>
      <x:c r="I25" s="13"/>
      <x:c r="J25" s="13"/>
    </x:row>
    <x:row r="26" ht="15" hidden="0" customHeight="1">
      <x:c r="A26" s="13" t="str">
        <x:v>R_u CT23</x:v>
      </x:c>
      <x:c r="B26" s="13" t="n">
        <x:f>1/(2*B24)*(2*B4+B5)/(B4+B5)*(SQRT(1+8*B9*(B4+B5)/(2*B4+B5)^2*B13/(B13+B11)*B24)-1)</x:f>
        <x:v>2657.938522263648</x:v>
      </x:c>
      <x:c r="C26" s="13" t="str">
        <x:v>kN</x:v>
      </x:c>
      <x:c r="D26" s="13" t="str">
        <x:v>Áp dụng khi s_a &lt; 0,002 m</x:v>
      </x:c>
      <x:c r="E26" s="13" t="n">
        <x:f>B26</x:f>
        <x:v>2657.938522263648</x:v>
      </x:c>
      <x:c r="F26" s="13" t="str">
        <x:v>CT (23)</x:v>
      </x:c>
      <x:c r="G26" s="13"/>
      <x:c r="H26" s="13"/>
      <x:c r="I26" s="13"/>
      <x:c r="J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7.25" hidden="0" customWidth="1"/>
    <x:col min="2" max="2" width="10.25" hidden="0" customWidth="1"/>
    <x:col min="3" max="3" width="5.630000114440918" hidden="0" customWidth="1"/>
    <x:col min="4" max="4" width="21.6299991607666" hidden="0" customWidth="1"/>
    <x:col min="5" max="5" width="17.5" hidden="0" customWidth="1"/>
    <x:col min="6" max="6" width="10.25" hidden="0" customWidth="1"/>
    <x:col min="7" max="7" width="6.880000114440918" hidden="0" customWidth="1"/>
    <x:col min="9" max="9" width="9" hidden="0" customWidth="1"/>
    <x:col min="10" max="10" width="10.25" hidden="0" customWidth="1"/>
  </x:cols>
  <x:sheetData>
    <x:row r="1" ht="16.799999237060547" hidden="0" customHeight="1">
      <x:c r="A1" s="12" t="str">
        <x:v>ĐỘ LÚN CỌC ĐƠN – TCVN 10304:2025 §7.4.2 · CT (30)–(35)</x:v>
      </x:c>
      <x:c r="B1" s="12"/>
      <x:c r="C1" s="12"/>
      <x:c r="D1" s="12"/>
      <x:c r="E1" s="12"/>
      <x:c r="F1" s="12"/>
      <x:c r="G1" s="12"/>
      <x:c r="H1" s="13"/>
      <x:c r="I1" s="13"/>
      <x:c r="J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4" t="str">
        <x:v>Thông số</x:v>
      </x:c>
      <x:c r="B3" s="14" t="str">
        <x:v>Giá trị</x:v>
      </x:c>
      <x:c r="C3" s="14" t="str">
        <x:v>Đơn vị</x:v>
      </x:c>
      <x:c r="D3" s="14" t="str">
        <x:v>Diễn giải</x:v>
      </x:c>
      <x:c r="E3" s="14" t="str">
        <x:v>Công thức</x:v>
      </x:c>
      <x:c r="F3" s="14" t="str">
        <x:v>Kết quả</x:v>
      </x:c>
      <x:c r="G3" s="14" t="str">
        <x:v>Nguồn</x:v>
      </x:c>
      <x:c r="H3" s="13"/>
      <x:c r="I3" s="13" t="str">
        <x:v>Helper</x:v>
      </x:c>
      <x:c r="J3" s="13" t="str">
        <x:v>Value</x:v>
      </x:c>
    </x:row>
    <x:row r="4" ht="15" hidden="0" customHeight="1">
      <x:c r="A4" s="13" t="str">
        <x:v>N_d,SLS</x:v>
      </x:c>
      <x:c r="B4" s="18" t="n">
        <x:v>1200</x:v>
      </x:c>
      <x:c r="C4" s="13" t="str">
        <x:v>kN</x:v>
      </x:c>
      <x:c r="D4" s="13" t="str">
        <x:v>Tải trọng đứng SLS</x:v>
      </x:c>
      <x:c r="E4" s="13" t="str">
        <x:v>Input</x:v>
      </x:c>
      <x:c r="F4" s="13" t="str"/>
      <x:c r="G4" s="13" t="str">
        <x:v>CT30/34</x:v>
      </x:c>
      <x:c r="H4" s="13"/>
      <x:c r="I4" s="13" t="str">
        <x:v>kv1</x:v>
      </x:c>
      <x:c r="J4" s="13" t="n">
        <x:f>2.82-3.78*B9+2.18*B9^2</x:f>
        <x:v>1.8821999999999999</x:v>
      </x:c>
    </x:row>
    <x:row r="5" ht="15" hidden="0" customHeight="1">
      <x:c r="A5" s="13" t="str">
        <x:v>L</x:v>
      </x:c>
      <x:c r="B5" s="18" t="n">
        <x:v>24</x:v>
      </x:c>
      <x:c r="C5" s="13" t="str">
        <x:v>m</x:v>
      </x:c>
      <x:c r="D5" s="13" t="str">
        <x:v>Chiều dài cọc</x:v>
      </x:c>
      <x:c r="E5" s="13" t="str">
        <x:v>Input</x:v>
      </x:c>
      <x:c r="F5" s="13" t="str"/>
      <x:c r="G5" s="13" t="str"/>
      <x:c r="H5" s="13"/>
      <x:c r="I5" s="13" t="str">
        <x:v>betaPrime</x:v>
      </x:c>
      <x:c r="J5" s="13" t="n">
        <x:f>0.17*LN(B15*B12)</x:f>
        <x:v>0.6857185768078</x:v>
      </x:c>
    </x:row>
    <x:row r="6" ht="15" hidden="0" customHeight="1">
      <x:c r="A6" s="13" t="str">
        <x:v>d</x:v>
      </x:c>
      <x:c r="B6" s="18" t="n">
        <x:v>0.6</x:v>
      </x:c>
      <x:c r="C6" s="13" t="str">
        <x:v>m</x:v>
      </x:c>
      <x:c r="D6" s="13" t="str">
        <x:v>Đường kính/quy đổi</x:v>
      </x:c>
      <x:c r="E6" s="13" t="str">
        <x:v>CT35</x:v>
      </x:c>
      <x:c r="F6" s="13" t="str"/>
      <x:c r="G6" s="13" t="str"/>
      <x:c r="H6" s="13"/>
      <x:c r="I6" s="13" t="str">
        <x:v>alphaPrime</x:v>
      </x:c>
      <x:c r="J6" s="13" t="n">
        <x:f>0.17*LN(J4*B5/B6)</x:f>
        <x:v>0.7346245291246029</x:v>
      </x:c>
    </x:row>
    <x:row r="7" ht="15" hidden="0" customHeight="1">
      <x:c r="A7" s="13" t="str">
        <x:v>G1</x:v>
      </x:c>
      <x:c r="B7" s="18" t="n">
        <x:v>18000</x:v>
      </x:c>
      <x:c r="C7" s="13" t="str">
        <x:v>kPa</x:v>
      </x:c>
      <x:c r="D7" s="13" t="str">
        <x:v>Mô đun trượt TB dọc thân</x:v>
      </x:c>
      <x:c r="E7" s="13" t="str">
        <x:v>E0/[2(1+ν)] hoặc 0,4E0</x:v>
      </x:c>
      <x:c r="F7" s="13" t="str"/>
      <x:c r="G7" s="13" t="str">
        <x:v>tr.60</x:v>
      </x:c>
      <x:c r="H7" s="13"/>
      <x:c r="I7" s="13" t="str">
        <x:v>beta</x:v>
      </x:c>
      <x:c r="J7" s="13" t="n">
        <x:f>J5/B16+0.3*(1-J5/J6)/B14</x:f>
        <x:v>1.207722283673094</x:v>
      </x:c>
    </x:row>
    <x:row r="8" ht="15" hidden="0" customHeight="1">
      <x:c r="A8" s="13" t="str">
        <x:v>G2</x:v>
      </x:c>
      <x:c r="B8" s="18" t="n">
        <x:v>24000</x:v>
      </x:c>
      <x:c r="C8" s="13" t="str">
        <x:v>kPa</x:v>
      </x:c>
      <x:c r="D8" s="13" t="str">
        <x:v>Mô đun trượt dưới mũi 0,5L</x:v>
      </x:c>
      <x:c r="E8" s="13" t="str">
        <x:v>như trên</x:v>
      </x:c>
      <x:c r="F8" s="13" t="str"/>
      <x:c r="G8" s="13" t="str">
        <x:v>tr.60</x:v>
      </x:c>
      <x:c r="H8" s="13"/>
      <x:c r="I8" s="13" t="str">
        <x:v>zeta0</x:v>
      </x:c>
      <x:c r="J8" s="13" t="n">
        <x:f>IF(B13&lt;=0,INDEX('06_BANG17'!$C$3:$C$13,1),IF(B13&gt;=0.5,INDEX('06_BANG17'!$C$3:$C$13,11),IF(INDEX('06_BANG17'!$A$3:$A$13,MATCH(B13,'06_BANG17'!$A$3:$A$13,1))=INDEX('06_BANG17'!$A$3:$A$13,MIN(MATCH(B13,'06_BANG17'!$A$3:$A$13,1)+1,11)),INDEX('06_BANG17'!$C$3:$C$13,MATCH(B13,'06_BANG17'!$A$3:$A$13,1)),INDEX('06_BANG17'!$C$3:$C$13,MATCH(B13,'06_BANG17'!$A$3:$A$13,1))+(B13-INDEX('06_BANG17'!$A$3:$A$13,MATCH(B13,'06_BANG17'!$A$3:$A$13,1)))*(INDEX('06_BANG17'!$C$3:$C$13,MIN(MATCH(B13,'06_BANG17'!$A$3:$A$13,1)+1,11))-INDEX('06_BANG17'!$C$3:$C$13,MATCH(B13,'06_BANG17'!$A$3:$A$13,1)))/(INDEX('06_BANG17'!$A$3:$A$13,MIN(MATCH(B13,'06_BANG17'!$A$3:$A$13,1)+1,11))-INDEX('06_BANG17'!$A$3:$A$13,MATCH(B13,'06_BANG17'!$A$3:$A$13,1))))))</x:f>
        <x:v>0.34</x:v>
      </x:c>
    </x:row>
    <x:row r="9" ht="15" hidden="0" customHeight="1">
      <x:c r="A9" s="13" t="str">
        <x:v>ν1</x:v>
      </x:c>
      <x:c r="B9" s="18" t="n">
        <x:v>0.3</x:v>
      </x:c>
      <x:c r="C9" s="13" t="str">
        <x:v>-</x:v>
      </x:c>
      <x:c r="D9" s="13" t="str">
        <x:v>Poisson dọc thân</x:v>
      </x:c>
      <x:c r="E9" s="13" t="str">
        <x:v>Input</x:v>
      </x:c>
      <x:c r="F9" s="13" t="str"/>
      <x:c r="G9" s="13" t="str"/>
      <x:c r="H9" s="13"/>
      <x:c r="I9" s="13" t="str">
        <x:v>mv</x:v>
      </x:c>
      <x:c r="J9" s="13" t="n">
        <x:f>IF(B13&lt;=0,INDEX('06_BANG17'!$D$3:$D$13,1),IF(B13&gt;=0.5,INDEX('06_BANG17'!$D$3:$D$13,11),IF(INDEX('06_BANG17'!$A$3:$A$13,MATCH(B13,'06_BANG17'!$A$3:$A$13,1))=INDEX('06_BANG17'!$A$3:$A$13,MIN(MATCH(B13,'06_BANG17'!$A$3:$A$13,1)+1,11)),INDEX('06_BANG17'!$D$3:$D$13,MATCH(B13,'06_BANG17'!$A$3:$A$13,1)),INDEX('06_BANG17'!$D$3:$D$13,MATCH(B13,'06_BANG17'!$A$3:$A$13,1))+(B13-INDEX('06_BANG17'!$A$3:$A$13,MATCH(B13,'06_BANG17'!$A$3:$A$13,1)))*(INDEX('06_BANG17'!$D$3:$D$13,MIN(MATCH(B13,'06_BANG17'!$A$3:$A$13,1)+1,11))-INDEX('06_BANG17'!$D$3:$D$13,MATCH(B13,'06_BANG17'!$A$3:$A$13,1)))/(INDEX('06_BANG17'!$A$3:$A$13,MIN(MATCH(B13,'06_BANG17'!$A$3:$A$13,1)+1,11))-INDEX('06_BANG17'!$A$3:$A$13,MATCH(B13,'06_BANG17'!$A$3:$A$13,1))))))</x:f>
        <x:v>1.607</x:v>
      </x:c>
    </x:row>
    <x:row r="10" ht="15" hidden="0" customHeight="1">
      <x:c r="A10" s="13" t="str">
        <x:v>ν2</x:v>
      </x:c>
      <x:c r="B10" s="18" t="n">
        <x:v>0.3</x:v>
      </x:c>
      <x:c r="C10" s="13" t="str">
        <x:v>-</x:v>
      </x:c>
      <x:c r="D10" s="13" t="str">
        <x:v>Poisson dưới mũi</x:v>
      </x:c>
      <x:c r="E10" s="13" t="str">
        <x:v>Input</x:v>
      </x:c>
      <x:c r="F10" s="13" t="str"/>
      <x:c r="G10" s="13" t="str"/>
      <x:c r="H10" s="13"/>
      <x:c r="I10" s="13" t="str">
        <x:v>zetaPrime</x:v>
      </x:c>
      <x:c r="J10" s="13" t="n">
        <x:f>J8/(1+B12/J9)</x:f>
        <x:v>0.017286677001929953</x:v>
      </x:c>
    </x:row>
    <x:row r="11" ht="15" hidden="0" customHeight="1">
      <x:c r="A11" s="13" t="str">
        <x:v>EA</x:v>
      </x:c>
      <x:c r="B11" s="18" t="n">
        <x:v>6000000</x:v>
      </x:c>
      <x:c r="C11" s="13" t="str">
        <x:v>kN</x:v>
      </x:c>
      <x:c r="D11" s="13" t="str">
        <x:v>Độ cứng dọc thân cọc</x:v>
      </x:c>
      <x:c r="E11" s="13" t="str">
        <x:v>Input</x:v>
      </x:c>
      <x:c r="F11" s="13" t="str"/>
      <x:c r="G11" s="13" t="str">
        <x:v>CT31</x:v>
      </x:c>
      <x:c r="H11" s="13"/>
      <x:c r="I11" s="13"/>
      <x:c r="J11" s="13"/>
    </x:row>
    <x:row r="12" ht="15" hidden="0" customHeight="1">
      <x:c r="A12" s="13" t="str">
        <x:v>k=G1L/(G2d)</x:v>
      </x:c>
      <x:c r="B12" s="13" t="n">
        <x:f>B7*B5/(B8*B6)</x:f>
        <x:v>30</x:v>
      </x:c>
      <x:c r="C12" s="13" t="str">
        <x:v>-</x:v>
      </x:c>
      <x:c r="D12" s="13" t="str">
        <x:v>Chọn nhánh ≥7,5 / ≤7,5</x:v>
      </x:c>
      <x:c r="E12" s="13" t="str">
        <x:v>G1·L/(G2·d)</x:v>
      </x:c>
      <x:c r="F12" s="13" t="str"/>
      <x:c r="G12" s="13" t="str"/>
      <x:c r="H12" s="13"/>
      <x:c r="I12" s="13" t="str">
        <x:v>Audit v1.17</x:v>
      </x:c>
      <x:c r="J12" s="13" t="str">
        <x:v>Nội suy Bảng 17 theo từng khoảng ν; không dùng hồi quy toàn bảng.</x:v>
      </x:c>
    </x:row>
    <x:row r="13" ht="15" hidden="0" customHeight="1">
      <x:c r="A13" s="13" t="str">
        <x:v>ν</x:v>
      </x:c>
      <x:c r="B13" s="13" t="n">
        <x:f>(B9+B10)/2</x:f>
        <x:v>0.3</x:v>
      </x:c>
      <x:c r="C13" s="13" t="str">
        <x:v>-</x:v>
      </x:c>
      <x:c r="D13" s="13" t="str">
        <x:v>(ν1+ν2)/2</x:v>
      </x:c>
      <x:c r="E13" s="13" t="str">
        <x:v>(ν1+ν2)/2</x:v>
      </x:c>
      <x:c r="F13" s="13" t="str"/>
      <x:c r="G13" s="13" t="str"/>
      <x:c r="H13" s="13"/>
      <x:c r="I13" s="13" t="str">
        <x:v>Điều kiện 1</x:v>
      </x:c>
      <x:c r="J13" s="13" t="str">
        <x:v>L/d &gt; 5</x:v>
      </x:c>
    </x:row>
    <x:row r="14" ht="15" hidden="0" customHeight="1">
      <x:c r="A14" s="13" t="str">
        <x:v>χ</x:v>
      </x:c>
      <x:c r="B14" s="13" t="n">
        <x:f>B11/(B7*B5^2)</x:f>
        <x:v>0.5787037037037037</x:v>
      </x:c>
      <x:c r="C14" s="13" t="str">
        <x:v>-</x:v>
      </x:c>
      <x:c r="D14" s="13" t="str">
        <x:v>EA/(G1L²); G1 kPa = kN/m²</x:v>
      </x:c>
      <x:c r="E14" s="13" t="str">
        <x:v>EA/(G1·L²)</x:v>
      </x:c>
      <x:c r="F14" s="13" t="str"/>
      <x:c r="G14" s="13" t="str"/>
      <x:c r="H14" s="13"/>
      <x:c r="I14" s="13" t="str">
        <x:v>Điều kiện 2</x:v>
      </x:c>
      <x:c r="J14" s="13" t="str">
        <x:v>G1·L/(G2·d) &gt; 1</x:v>
      </x:c>
    </x:row>
    <x:row r="15" ht="15" hidden="0" customHeight="1">
      <x:c r="A15" s="13" t="str">
        <x:v>kν</x:v>
      </x:c>
      <x:c r="B15" s="13" t="n">
        <x:f>2.82-3.78*B13+2.18*B13^2</x:f>
        <x:v>1.8821999999999999</x:v>
      </x:c>
      <x:c r="C15" s="13" t="str">
        <x:v>-</x:v>
      </x:c>
      <x:c r="D15" s="13" t="str">
        <x:v>2,82-3,78ν+2,18ν²</x:v>
      </x:c>
      <x:c r="E15" s="13" t="str">
        <x:v>CT33</x:v>
      </x:c>
      <x:c r="F15" s="13" t="str"/>
      <x:c r="G15" s="13" t="str"/>
      <x:c r="H15" s="13"/>
      <x:c r="I15" s="13"/>
      <x:c r="J15" s="13"/>
    </x:row>
    <x:row r="16" ht="15" hidden="0" customHeight="1">
      <x:c r="A16" s="13" t="str">
        <x:v>λ1</x:v>
      </x:c>
      <x:c r="B16" s="13" t="n">
        <x:f>2.12*B14^(3/4)/(1+2.12*B14^(3/4))</x:f>
        <x:v>0.5844801871903853</x:v>
      </x:c>
      <x:c r="C16" s="13" t="str">
        <x:v>-</x:v>
      </x:c>
      <x:c r="D16" s="13" t="str">
        <x:v>2,12χ^(3/4)/(1+2,12χ^(3/4))</x:v>
      </x:c>
      <x:c r="E16" s="13" t="str">
        <x:v>CT32</x:v>
      </x:c>
      <x:c r="F16" s="13" t="str"/>
      <x:c r="G16" s="13" t="str"/>
      <x:c r="H16" s="13"/>
      <x:c r="I16" s="13"/>
      <x:c r="J16" s="13"/>
    </x:row>
    <x:row r="17" ht="15" hidden="0" customHeight="1">
      <x:c r="A17" s="13" t="str">
        <x:v>s</x:v>
      </x:c>
      <x:c r="B17" s="13" t="n">
        <x:f>IF(AND(B5/B6&gt;5,B12&gt;1),IF(B12&gt;=7.5,J7*B4/(B7*B5),J10*B4/(B8*B6)),NA())</x:f>
        <x:v>0.00335478412131415</x:v>
      </x:c>
      <x:c r="C17" s="13" t="str">
        <x:v>m</x:v>
      </x:c>
      <x:c r="D17" s="13" t="str">
        <x:v>Tự chọn CT30 hoặc CT34</x:v>
      </x:c>
      <x:c r="E17" s="13" t="str"/>
      <x:c r="F17" s="13" t="n">
        <x:f>B17</x:f>
        <x:v>0.00335478412131415</x:v>
      </x:c>
      <x:c r="G17" s="13" t="str">
        <x:v>CT30-34</x:v>
      </x:c>
      <x:c r="H17" s="13"/>
      <x:c r="I17" s="13"/>
      <x:c r="J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9" hidden="0" customWidth="1"/>
    <x:col min="2" max="2" width="10.25" hidden="0" customWidth="1"/>
    <x:col min="3" max="3" width="10.25" hidden="0" customWidth="1"/>
    <x:col min="4" max="4" width="10.25" hidden="0" customWidth="1"/>
    <x:col min="5" max="5" width="5.630000114440918" hidden="0" customWidth="1"/>
    <x:col min="6" max="6" width="22.5" hidden="0" customWidth="1"/>
    <x:col min="7" max="7" width="6.880000114440918" hidden="0" customWidth="1"/>
    <x:col min="8" max="8" width="10" hidden="0" customWidth="1"/>
  </x:cols>
  <x:sheetData>
    <x:row r="1" ht="16.799999237060547" hidden="0" customHeight="1">
      <x:c r="A1" s="12" t="str">
        <x:v>ĐỘ LÚN NHÓM CỌC – TCVN 10304:2025 §7.4.3 · CT (36)–(40)</x:v>
      </x:c>
      <x:c r="B1" s="12"/>
      <x:c r="C1" s="12"/>
      <x:c r="D1" s="12"/>
      <x:c r="E1" s="12"/>
      <x:c r="F1" s="12"/>
      <x:c r="G1" s="12"/>
      <x:c r="H1" s="12"/>
      <x:c r="I1" s="13"/>
      <x:c r="J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4" t="str">
        <x:v>Thông số</x:v>
      </x:c>
      <x:c r="B3" s="14" t="str">
        <x:v>Cọc 1</x:v>
      </x:c>
      <x:c r="C3" s="14" t="str">
        <x:v>Cọc 2</x:v>
      </x:c>
      <x:c r="D3" s="14" t="str">
        <x:v>Cọc 3</x:v>
      </x:c>
      <x:c r="E3" s="14" t="str">
        <x:v>Đơn vị</x:v>
      </x:c>
      <x:c r="F3" s="14" t="str">
        <x:v>Diễn giải</x:v>
      </x:c>
      <x:c r="G3" s="14" t="str">
        <x:v>Nguồn</x:v>
      </x:c>
      <x:c r="H3" s="14" t="str">
        <x:v>Trạng thái</x:v>
      </x:c>
      <x:c r="I3" s="13"/>
      <x:c r="J3" s="13"/>
    </x:row>
    <x:row r="4" ht="15" hidden="0" customHeight="1">
      <x:c r="A4" s="13" t="str">
        <x:v>N_d,SLS</x:v>
      </x:c>
      <x:c r="B4" s="18" t="n">
        <x:v>800</x:v>
      </x:c>
      <x:c r="C4" s="18" t="n">
        <x:v>700</x:v>
      </x:c>
      <x:c r="D4" s="18" t="n">
        <x:v>600</x:v>
      </x:c>
      <x:c r="E4" s="13" t="str">
        <x:v>kN</x:v>
      </x:c>
      <x:c r="F4" s="13" t="str">
        <x:v>Tải SLS mỗi cọc</x:v>
      </x:c>
      <x:c r="G4" s="13" t="str">
        <x:v>CT36/38</x:v>
      </x:c>
      <x:c r="H4" s="13" t="str">
        <x:v>INPUT</x:v>
      </x:c>
      <x:c r="I4" s="13"/>
      <x:c r="J4" s="13"/>
    </x:row>
    <x:row r="5" ht="15" hidden="0" customHeight="1">
      <x:c r="A5" s="13" t="str">
        <x:v>L</x:v>
      </x:c>
      <x:c r="B5" s="18" t="n">
        <x:v>24</x:v>
      </x:c>
      <x:c r="C5" s="18" t="n">
        <x:v>24</x:v>
      </x:c>
      <x:c r="D5" s="18" t="n">
        <x:v>24</x:v>
      </x:c>
      <x:c r="E5" s="13" t="str">
        <x:v>m</x:v>
      </x:c>
      <x:c r="F5" s="13" t="str">
        <x:v>Chiều dài</x:v>
      </x:c>
      <x:c r="G5" s="13" t="str">
        <x:v>CT39</x:v>
      </x:c>
      <x:c r="H5" s="13" t="str">
        <x:v>INPUT</x:v>
      </x:c>
      <x:c r="I5" s="13"/>
      <x:c r="J5" s="13"/>
    </x:row>
    <x:row r="6" ht="15" hidden="0" customHeight="1">
      <x:c r="A6" s="13" t="str">
        <x:v>a khoảng cách</x:v>
      </x:c>
      <x:c r="B6" s="18" t="n">
        <x:v>1.8</x:v>
      </x:c>
      <x:c r="C6" s="18" t="n">
        <x:v>1.8</x:v>
      </x:c>
      <x:c r="D6" s="18" t="n">
        <x:v>1.8</x:v>
      </x:c>
      <x:c r="E6" s="13" t="str">
        <x:v>m</x:v>
      </x:c>
      <x:c r="F6" s="13" t="str">
        <x:v>Khoảng cách dùng CT37</x:v>
      </x:c>
      <x:c r="G6" s="13" t="str">
        <x:v>CT37</x:v>
      </x:c>
      <x:c r="H6" s="13" t="str">
        <x:v>INPUT</x:v>
      </x:c>
      <x:c r="I6" s="13"/>
      <x:c r="J6" s="13"/>
    </x:row>
    <x:row r="7" ht="15" hidden="0" customHeight="1">
      <x:c r="A7" s="13" t="str">
        <x:v>G1</x:v>
      </x:c>
      <x:c r="B7" s="18" t="n">
        <x:v>18000</x:v>
      </x:c>
      <x:c r="C7" s="18" t="n">
        <x:v>18000</x:v>
      </x:c>
      <x:c r="D7" s="18" t="n">
        <x:v>18000</x:v>
      </x:c>
      <x:c r="E7" s="13" t="str">
        <x:v>kPa</x:v>
      </x:c>
      <x:c r="F7" s="13" t="str">
        <x:v>Mô đun dọc thân</x:v>
      </x:c>
      <x:c r="G7" s="13" t="str">
        <x:v>CT36</x:v>
      </x:c>
      <x:c r="H7" s="13" t="str">
        <x:v>INPUT</x:v>
      </x:c>
      <x:c r="I7" s="13"/>
      <x:c r="J7" s="13"/>
    </x:row>
    <x:row r="8" ht="15" hidden="0" customHeight="1">
      <x:c r="A8" s="13" t="str">
        <x:v>G2</x:v>
      </x:c>
      <x:c r="B8" s="18" t="n">
        <x:v>24000</x:v>
      </x:c>
      <x:c r="C8" s="18" t="n">
        <x:v>24000</x:v>
      </x:c>
      <x:c r="D8" s="18" t="n">
        <x:v>24000</x:v>
      </x:c>
      <x:c r="E8" s="13" t="str">
        <x:v>kPa</x:v>
      </x:c>
      <x:c r="F8" s="13" t="str">
        <x:v>Mô đun dưới mũi</x:v>
      </x:c>
      <x:c r="G8" s="13" t="str">
        <x:v>CT37</x:v>
      </x:c>
      <x:c r="H8" s="13" t="str">
        <x:v>INPUT</x:v>
      </x:c>
      <x:c r="I8" s="13"/>
      <x:c r="J8" s="13"/>
    </x:row>
    <x:row r="9" ht="15" hidden="0" customHeight="1">
      <x:c r="A9" s="13" t="str">
        <x:v>kν</x:v>
      </x:c>
      <x:c r="B9" s="18" t="n">
        <x:v>1.882</x:v>
      </x:c>
      <x:c r="C9" s="18" t="n">
        <x:v>1.882</x:v>
      </x:c>
      <x:c r="D9" s="18" t="n">
        <x:v>1.882</x:v>
      </x:c>
      <x:c r="E9" s="13" t="str">
        <x:v>-</x:v>
      </x:c>
      <x:c r="F9" s="13" t="str">
        <x:v>Ví dụ ν=0,30</x:v>
      </x:c>
      <x:c r="G9" s="13" t="str">
        <x:v>Bảng 17</x:v>
      </x:c>
      <x:c r="H9" s="13" t="str">
        <x:v>INPUT/AUTO</x:v>
      </x:c>
      <x:c r="I9" s="13"/>
      <x:c r="J9" s="13"/>
    </x:row>
    <x:row r="10" ht="15" hidden="0" customHeight="1">
      <x:c r="A10" s="13" t="str">
        <x:v>δ self</x:v>
      </x:c>
      <x:c r="B10" s="13" t="n">
        <x:f>MAX(0,0.17*LN(B9*B7*B5/(2*B8*B6)))</x:f>
        <x:v>0.38110140211153903</x:v>
      </x:c>
      <x:c r="C10" s="13" t="n">
        <x:f>MAX(0,0.17*LN(C9*C7*C5/(2*C8*C6)))</x:f>
        <x:v>0.38110140211153903</x:v>
      </x:c>
      <x:c r="D10" s="13" t="n">
        <x:f>MAX(0,0.17*LN(D9*D7*D5/(2*D8*D6)))</x:f>
        <x:v>0.38110140211153903</x:v>
      </x:c>
      <x:c r="E10" s="13" t="str">
        <x:v>-</x:v>
      </x:c>
      <x:c r="F10" s="13" t="str">
        <x:v>0,17 ln(kν G1L/(2G2a)); min 0</x:v>
      </x:c>
      <x:c r="G10" s="13" t="str">
        <x:v>CT37</x:v>
      </x:c>
      <x:c r="H10" s="13" t="str">
        <x:v>FORMULA</x:v>
      </x:c>
      <x:c r="I10" s="13"/>
      <x:c r="J10" s="13"/>
    </x:row>
    <x:row r="11" ht="15" hidden="0" customHeight="1">
      <x:c r="A11" s="13" t="str">
        <x:v>s_ad</x:v>
      </x:c>
      <x:c r="B11" s="13" t="n">
        <x:f>B10*B4/(B7*B5)</x:f>
        <x:v>0.0007057433372435908</x:v>
      </x:c>
      <x:c r="C11" s="13" t="n">
        <x:f>C10*C4/(C7*C5)</x:f>
        <x:v>0.000617525420088142</x:v>
      </x:c>
      <x:c r="D11" s="13" t="n">
        <x:f>D10*D4/(D7*D5)</x:f>
        <x:v>0.0005293075029326931</x:v>
      </x:c>
      <x:c r="E11" s="13" t="str">
        <x:v>m</x:v>
      </x:c>
      <x:c r="F11" s="13" t="str">
        <x:v>δN/(G1L)</x:v>
      </x:c>
      <x:c r="G11" s="13" t="str">
        <x:v>CT36</x:v>
      </x:c>
      <x:c r="H11" s="13" t="str">
        <x:v>FORMULA</x:v>
      </x:c>
      <x:c r="I11" s="13"/>
      <x:c r="J11" s="13"/>
    </x:row>
    <x:row r="12" ht="15" hidden="0" customHeight="1">
      <x:c r="A12" s="13" t="str">
        <x:v>δ12 / δ13</x:v>
      </x:c>
      <x:c r="B12" s="18" t="str"/>
      <x:c r="C12" s="18" t="n">
        <x:v>0.18</x:v>
      </x:c>
      <x:c r="D12" s="18" t="n">
        <x:v>0.12</x:v>
      </x:c>
      <x:c r="E12" s="13" t="str">
        <x:v>-</x:v>
      </x:c>
      <x:c r="F12" s="13" t="str">
        <x:v>Hệ số tương tác giữa cọc</x:v>
      </x:c>
      <x:c r="G12" s="13" t="str">
        <x:v>CT38</x:v>
      </x:c>
      <x:c r="H12" s="13" t="str">
        <x:v>INPUT</x:v>
      </x:c>
      <x:c r="I12" s="13"/>
      <x:c r="J12" s="13"/>
    </x:row>
    <x:row r="13" ht="15" hidden="0" customHeight="1">
      <x:c r="A13" s="13" t="str">
        <x:v>δ21 / δ23</x:v>
      </x:c>
      <x:c r="B13" s="18" t="n">
        <x:v>0.18</x:v>
      </x:c>
      <x:c r="C13" s="18" t="str"/>
      <x:c r="D13" s="18" t="n">
        <x:v>0.15</x:v>
      </x:c>
      <x:c r="E13" s="13" t="str">
        <x:v>-</x:v>
      </x:c>
      <x:c r="F13" s="13" t="str">
        <x:v>Hệ số tương tác giữa cọc</x:v>
      </x:c>
      <x:c r="G13" s="13" t="str">
        <x:v>CT38</x:v>
      </x:c>
      <x:c r="H13" s="13" t="str">
        <x:v>INPUT</x:v>
      </x:c>
      <x:c r="I13" s="13"/>
      <x:c r="J13" s="13"/>
    </x:row>
    <x:row r="14" ht="15" hidden="0" customHeight="1">
      <x:c r="A14" s="13" t="str">
        <x:v>δ31 / δ32</x:v>
      </x:c>
      <x:c r="B14" s="18" t="n">
        <x:v>0.12</x:v>
      </x:c>
      <x:c r="C14" s="18" t="n">
        <x:v>0.15</x:v>
      </x:c>
      <x:c r="D14" s="18" t="str"/>
      <x:c r="E14" s="13" t="str">
        <x:v>-</x:v>
      </x:c>
      <x:c r="F14" s="13" t="str">
        <x:v>Hệ số tương tác giữa cọc</x:v>
      </x:c>
      <x:c r="G14" s="13" t="str">
        <x:v>CT38</x:v>
      </x:c>
      <x:c r="H14" s="13" t="str">
        <x:v>INPUT</x:v>
      </x:c>
      <x:c r="I14" s="13"/>
      <x:c r="J14" s="13"/>
    </x:row>
    <x:row r="15" ht="15" hidden="0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 ht="15" hidden="0" customHeight="1">
      <x:c r="A16" s="14" t="str">
        <x:v>Kết quả CT38</x:v>
      </x:c>
      <x:c r="B16" s="14" t="str">
        <x:v>Cọc 1</x:v>
      </x:c>
      <x:c r="C16" s="14" t="str">
        <x:v>Cọc 2</x:v>
      </x:c>
      <x:c r="D16" s="14" t="str">
        <x:v>Cọc 3</x:v>
      </x:c>
      <x:c r="E16" s="14" t="str">
        <x:v>Đơn vị</x:v>
      </x:c>
      <x:c r="F16" s="13"/>
      <x:c r="G16" s="13"/>
      <x:c r="H16" s="13"/>
      <x:c r="I16" s="13"/>
      <x:c r="J16" s="13"/>
    </x:row>
    <x:row r="17" ht="15" hidden="0" customHeight="1">
      <x:c r="A17" s="13" t="str">
        <x:v>s_i</x:v>
      </x:c>
      <x:c r="B17" s="13" t="n">
        <x:f>B11+C12*C4/(C7*C5)+D12*D4/(D7*D5)</x:f>
        <x:v>0.0011640766705769243</x:v>
      </x:c>
      <x:c r="C17" s="13" t="n">
        <x:f>C11+B13*B4/(B7*B5)+D13*D4/(D7*D5)</x:f>
        <x:v>0.0011591920867548087</x:v>
      </x:c>
      <x:c r="D17" s="13" t="n">
        <x:f>D11+B14*B4/(B7*B5)+C14*C4/(C7*C5)</x:f>
        <x:v>0.000994585280710471</x:v>
      </x:c>
      <x:c r="E17" s="13" t="str">
        <x:v>m</x:v>
      </x:c>
      <x:c r="F17" s="13"/>
      <x:c r="G17" s="13"/>
      <x:c r="H17" s="13"/>
      <x:c r="I17" s="13"/>
      <x:c r="J17" s="13"/>
    </x:row>
    <x:row r="18" ht="15" hidden="0" customHeight="1">
      <x:c r="A18" s="13" t="str">
        <x:v>L12 eq</x:v>
      </x:c>
      <x:c r="B18" s="13" t="n">
        <x:f>SQRT((B5^2+C5^2)/2)</x:f>
        <x:v>24</x:v>
      </x:c>
      <x:c r="C18" s="13" t="str"/>
      <x:c r="D18" s="13" t="str"/>
      <x:c r="E18" s="13" t="str">
        <x:v>m</x:v>
      </x:c>
      <x:c r="F18" s="13"/>
      <x:c r="G18" s="13"/>
      <x:c r="H18" s="13"/>
      <x:c r="I18" s="13"/>
      <x:c r="J18" s="13"/>
    </x:row>
    <x:row r="19" ht="15" hidden="0" customHeight="1">
      <x:c r="A19" s="13" t="str">
        <x:v>L13 eq</x:v>
      </x:c>
      <x:c r="B19" s="13" t="n">
        <x:f>SQRT((B5^2+D5^2)/2)</x:f>
        <x:v>24</x:v>
      </x:c>
      <x:c r="C19" s="13" t="str"/>
      <x:c r="D19" s="13" t="str"/>
      <x:c r="E19" s="13" t="str">
        <x:v>m</x:v>
      </x:c>
      <x:c r="F19" s="13"/>
      <x:c r="G19" s="13"/>
      <x:c r="H19" s="13"/>
      <x:c r="I19" s="13"/>
      <x:c r="J19" s="13"/>
    </x:row>
    <x:row r="20" ht="15" hidden="0" customHeight="1">
      <x:c r="A20" s="13" t="str">
        <x:v>L23 eq</x:v>
      </x:c>
      <x:c r="B20" s="13" t="n">
        <x:f>SQRT((C5^2+D5^2)/2)</x:f>
        <x:v>24</x:v>
      </x:c>
      <x:c r="C20" s="13" t="str"/>
      <x:c r="D20" s="13" t="str"/>
      <x:c r="E20" s="13" t="str">
        <x:v>m</x:v>
      </x:c>
      <x:c r="F20" s="13"/>
      <x:c r="G20" s="13"/>
      <x:c r="H20" s="13"/>
      <x:c r="I20" s="13"/>
      <x:c r="J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" hidden="0" customHeight="1">
      <x:c r="A22" s="38" t="str">
        <x:v>CT (39)–(40)</x:v>
      </x:c>
      <x:c r="B22" s="38" t="str">
        <x:v>Giá trị</x:v>
      </x:c>
      <x:c r="C22" s="38" t="str">
        <x:v>Đơn vị</x:v>
      </x:c>
      <x:c r="D22" s="38" t="str">
        <x:v>Diễn giải</x:v>
      </x:c>
      <x:c r="E22" s="38" t="str">
        <x:v>Trạng thái</x:v>
      </x:c>
      <x:c r="F22" s="13"/>
      <x:c r="G22" s="13"/>
      <x:c r="H22" s="13"/>
      <x:c r="I22" s="13"/>
      <x:c r="J22" s="13"/>
    </x:row>
    <x:row r="23" ht="15" hidden="0" customHeight="1">
      <x:c r="A23" s="13" t="str">
        <x:v>L_i</x:v>
      </x:c>
      <x:c r="B23" s="36" t="n">
        <x:v>20</x:v>
      </x:c>
      <x:c r="C23" s="13" t="str">
        <x:v>m</x:v>
      </x:c>
      <x:c r="D23" s="13" t="str">
        <x:v>Chiều dài cọc i</x:v>
      </x:c>
      <x:c r="E23" s="13" t="str">
        <x:v>INPUT</x:v>
      </x:c>
      <x:c r="F23" s="13"/>
      <x:c r="G23" s="13"/>
      <x:c r="H23" s="13"/>
      <x:c r="I23" s="13"/>
      <x:c r="J23" s="13"/>
    </x:row>
    <x:row r="24" ht="15" hidden="0" customHeight="1">
      <x:c r="A24" s="13" t="str">
        <x:v>L_j</x:v>
      </x:c>
      <x:c r="B24" s="36" t="n">
        <x:v>24</x:v>
      </x:c>
      <x:c r="C24" s="13" t="str">
        <x:v>m</x:v>
      </x:c>
      <x:c r="D24" s="13" t="str">
        <x:v>Chiều dài cọc j</x:v>
      </x:c>
      <x:c r="E24" s="13" t="str">
        <x:v>INPUT</x:v>
      </x:c>
      <x:c r="F24" s="13"/>
      <x:c r="G24" s="13"/>
      <x:c r="H24" s="13"/>
      <x:c r="I24" s="13"/>
      <x:c r="J24" s="13"/>
    </x:row>
    <x:row r="25" ht="15" hidden="0" customHeight="1">
      <x:c r="A25" s="13" t="str">
        <x:v>L_eq</x:v>
      </x:c>
      <x:c r="B25" s="13" t="n">
        <x:f>SQRT((B23^2+B24^2)/2)</x:f>
        <x:v>22.090722034374522</x:v>
      </x:c>
      <x:c r="C25" s="13" t="str">
        <x:v>m</x:v>
      </x:c>
      <x:c r="D25" s="13" t="str">
        <x:v>sqrt((Li²+Lj²)/2) – CT (39)</x:v>
      </x:c>
      <x:c r="E25" s="13" t="str">
        <x:v>FORMULA</x:v>
      </x:c>
      <x:c r="F25" s="13"/>
      <x:c r="G25" s="13"/>
      <x:c r="H25" s="13"/>
      <x:c r="I25" s="13"/>
      <x:c r="J25" s="13"/>
    </x:row>
    <x:row r="26" ht="15" hidden="0" customHeight="1">
      <x:c r="A26" s="13" t="str">
        <x:v>k_w0</x:v>
      </x:c>
      <x:c r="B26" s="36" t="n">
        <x:v>50</x:v>
      </x:c>
      <x:c r="C26" s="13" t="str">
        <x:v>MN/m</x:v>
      </x:c>
      <x:c r="D26" s="13" t="str">
        <x:v>Giá trị ban đầu hệ số độ cứng nhóm</x:v>
      </x:c>
      <x:c r="E26" s="13" t="str">
        <x:v>INPUT</x:v>
      </x:c>
      <x:c r="F26" s="13"/>
      <x:c r="G26" s="13"/>
      <x:c r="H26" s="13"/>
      <x:c r="I26" s="13"/>
      <x:c r="J26" s="13"/>
    </x:row>
    <x:row r="27" ht="15" hidden="0" customHeight="1">
      <x:c r="A27" s="13" t="str">
        <x:v>N_u</x:v>
      </x:c>
      <x:c r="B27" s="36" t="n">
        <x:v>100</x:v>
      </x:c>
      <x:c r="C27" s="13" t="str">
        <x:v>MN</x:v>
      </x:c>
      <x:c r="D27" s="13" t="str">
        <x:v>Tải trọng giới hạn quy ước dùng CT (40)</x:v>
      </x:c>
      <x:c r="E27" s="13" t="str">
        <x:v>INPUT</x:v>
      </x:c>
      <x:c r="F27" s="13"/>
      <x:c r="G27" s="13"/>
      <x:c r="H27" s="13"/>
      <x:c r="I27" s="13"/>
      <x:c r="J27" s="13"/>
    </x:row>
    <x:row r="28" ht="15" hidden="0" customHeight="1">
      <x:c r="A28" s="13" t="str">
        <x:v>m</x:v>
      </x:c>
      <x:c r="B28" s="36" t="n">
        <x:v>2</x:v>
      </x:c>
      <x:c r="C28" s="13" t="str">
        <x:v>-</x:v>
      </x:c>
      <x:c r="D28" s="13" t="str">
        <x:v>Hệ số m của CT (40)</x:v>
      </x:c>
      <x:c r="E28" s="13" t="str">
        <x:v>INPUT</x:v>
      </x:c>
      <x:c r="F28" s="13"/>
      <x:c r="G28" s="13"/>
      <x:c r="H28" s="13"/>
      <x:c r="I28" s="13"/>
      <x:c r="J28" s="13"/>
    </x:row>
    <x:row r="29" ht="15" hidden="0" customHeight="1">
      <x:c r="A29" s="13" t="str">
        <x:v>k_w</x:v>
      </x:c>
      <x:c r="B29" s="13" t="n">
        <x:f>B26*(1+(B26/B27)^B28)^(-1/B28)</x:f>
        <x:v>44.721359549995796</x:v>
      </x:c>
      <x:c r="C29" s="13" t="str">
        <x:v>MN/m</x:v>
      </x:c>
      <x:c r="D29" s="13" t="str">
        <x:v>k_w0·[1+(k_w0/N_u)^m]^(-1/m) – CT (40)</x:v>
      </x:c>
      <x:c r="E29" s="13" t="str">
        <x:v>FORMULA</x:v>
      </x:c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1.75" hidden="0" customWidth="1"/>
    <x:col min="2" max="2" width="10.25" hidden="0" customWidth="1"/>
    <x:col min="3" max="3" width="5.630000114440918" hidden="0" customWidth="1"/>
    <x:col min="4" max="4" width="43.75" hidden="0" customWidth="1"/>
    <x:col min="5" max="5" width="8.380000114440918" hidden="0" customWidth="1"/>
    <x:col min="6" max="6" width="10.25" hidden="0" customWidth="1"/>
    <x:col min="7" max="7" width="6.75" hidden="0" customWidth="1"/>
  </x:cols>
  <x:sheetData>
    <x:row r="1" ht="16.799999237060547" hidden="0" customHeight="1">
      <x:c r="A1" s="12" t="str">
        <x:v>MÓNG KHỐI QUY ƯỚC – TCVN 10304:2025 §7.4.4 · CT (41)–(46)</x:v>
      </x:c>
      <x:c r="B1" s="12"/>
      <x:c r="C1" s="12"/>
      <x:c r="D1" s="12"/>
      <x:c r="E1" s="12"/>
      <x:c r="F1" s="12"/>
      <x:c r="G1" s="12"/>
      <x:c r="H1" s="13"/>
      <x:c r="I1" s="13"/>
      <x:c r="J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4" t="str">
        <x:v>Thông số</x:v>
      </x:c>
      <x:c r="B3" s="14" t="str">
        <x:v>Giá trị</x:v>
      </x:c>
      <x:c r="C3" s="14" t="str">
        <x:v>Đơn vị</x:v>
      </x:c>
      <x:c r="D3" s="14" t="str">
        <x:v>Diễn giải</x:v>
      </x:c>
      <x:c r="E3" s="14" t="str">
        <x:v>Công thức</x:v>
      </x:c>
      <x:c r="F3" s="14" t="str">
        <x:v>Kết quả</x:v>
      </x:c>
      <x:c r="G3" s="14" t="str">
        <x:v>Nguồn</x:v>
      </x:c>
      <x:c r="H3" s="13"/>
      <x:c r="I3" s="13"/>
      <x:c r="J3" s="13"/>
    </x:row>
    <x:row r="4" ht="15" hidden="0" customHeight="1">
      <x:c r="A4" s="13" t="str">
        <x:v>s_ef</x:v>
      </x:c>
      <x:c r="B4" s="18" t="n">
        <x:v>0.02</x:v>
      </x:c>
      <x:c r="C4" s="13" t="str">
        <x:v>m</x:v>
      </x:c>
      <x:c r="D4" s="13" t="str">
        <x:v>Lún khối quy ước theo TCVN 9362 – INPUT từ module nền</x:v>
      </x:c>
      <x:c r="E4" s="13" t="str">
        <x:v>External</x:v>
      </x:c>
      <x:c r="F4" s="13" t="str"/>
      <x:c r="G4" s="13" t="str">
        <x:v>7.4.4.2</x:v>
      </x:c>
      <x:c r="H4" s="13"/>
      <x:c r="I4" s="13"/>
      <x:c r="J4" s="13"/>
    </x:row>
    <x:row r="5" ht="15" hidden="0" customHeight="1">
      <x:c r="A5" s="13" t="str">
        <x:v>E1</x:v>
      </x:c>
      <x:c r="B5" s="18" t="n">
        <x:v>18000</x:v>
      </x:c>
      <x:c r="C5" s="13" t="str">
        <x:v>kPa</x:v>
      </x:c>
      <x:c r="D5" s="13" t="str">
        <x:v>Mô đun trong chiều dài cọc</x:v>
      </x:c>
      <x:c r="E5" s="13" t="str">
        <x:v>Input</x:v>
      </x:c>
      <x:c r="F5" s="13" t="str"/>
      <x:c r="G5" s="13" t="str">
        <x:v>CT42</x:v>
      </x:c>
      <x:c r="H5" s="13"/>
      <x:c r="I5" s="13"/>
      <x:c r="J5" s="13"/>
    </x:row>
    <x:row r="6" ht="15" hidden="0" customHeight="1">
      <x:c r="A6" s="13" t="str">
        <x:v>E2</x:v>
      </x:c>
      <x:c r="B6" s="18" t="n">
        <x:v>30000</x:v>
      </x:c>
      <x:c r="C6" s="13" t="str">
        <x:v>kPa</x:v>
      </x:c>
      <x:c r="D6" s="13" t="str">
        <x:v>Mô đun dưới mũi</x:v>
      </x:c>
      <x:c r="E6" s="13" t="str">
        <x:v>Input</x:v>
      </x:c>
      <x:c r="F6" s="13" t="str"/>
      <x:c r="G6" s="13" t="str">
        <x:v>CT42-44</x:v>
      </x:c>
      <x:c r="H6" s="13"/>
      <x:c r="I6" s="13"/>
      <x:c r="J6" s="13"/>
    </x:row>
    <x:row r="7" ht="15" hidden="0" customHeight="1">
      <x:c r="A7" s="13" t="str">
        <x:v>ν2</x:v>
      </x:c>
      <x:c r="B7" s="18" t="n">
        <x:v>0.3</x:v>
      </x:c>
      <x:c r="C7" s="13" t="str">
        <x:v>-</x:v>
      </x:c>
      <x:c r="D7" s="13" t="str">
        <x:v>Poisson dưới mũi</x:v>
      </x:c>
      <x:c r="E7" s="13" t="str">
        <x:v>Input</x:v>
      </x:c>
      <x:c r="F7" s="13" t="str"/>
      <x:c r="G7" s="13" t="str">
        <x:v>CT43-44</x:v>
      </x:c>
      <x:c r="H7" s="13"/>
      <x:c r="I7" s="13"/>
      <x:c r="J7" s="13"/>
    </x:row>
    <x:row r="8" ht="15" hidden="0" customHeight="1">
      <x:c r="A8" s="13" t="str">
        <x:v>p</x:v>
      </x:c>
      <x:c r="B8" s="18" t="n">
        <x:v>250</x:v>
      </x:c>
      <x:c r="C8" s="13" t="str">
        <x:v>kPa</x:v>
      </x:c>
      <x:c r="D8" s="13" t="str">
        <x:v>Áp lực trung bình lên đáy khối</x:v>
      </x:c>
      <x:c r="E8" s="13" t="str">
        <x:v>Input</x:v>
      </x:c>
      <x:c r="F8" s="13" t="str"/>
      <x:c r="G8" s="13" t="str">
        <x:v>CT43</x:v>
      </x:c>
      <x:c r="H8" s="13"/>
      <x:c r="I8" s="13"/>
      <x:c r="J8" s="13"/>
    </x:row>
    <x:row r="9" ht="15" hidden="0" customHeight="1">
      <x:c r="A9" s="13" t="str">
        <x:v>a</x:v>
      </x:c>
      <x:c r="B9" s="18" t="n">
        <x:v>1.8</x:v>
      </x:c>
      <x:c r="C9" s="13" t="str">
        <x:v>m</x:v>
      </x:c>
      <x:c r="D9" s="13" t="str">
        <x:v>Khoảng cách trục cọc</x:v>
      </x:c>
      <x:c r="E9" s="13" t="str">
        <x:v>Input</x:v>
      </x:c>
      <x:c r="F9" s="13" t="str"/>
      <x:c r="G9" s="13" t="str">
        <x:v>CT43</x:v>
      </x:c>
      <x:c r="H9" s="13"/>
      <x:c r="I9" s="13"/>
      <x:c r="J9" s="13"/>
    </x:row>
    <x:row r="10" ht="15" hidden="0" customHeight="1">
      <x:c r="A10" s="13" t="str">
        <x:v>d</x:v>
      </x:c>
      <x:c r="B10" s="18" t="n">
        <x:v>0.6</x:v>
      </x:c>
      <x:c r="C10" s="13" t="str">
        <x:v>m</x:v>
      </x:c>
      <x:c r="D10" s="13" t="str">
        <x:v>Đường kính cọc</x:v>
      </x:c>
      <x:c r="E10" s="13" t="str">
        <x:v>Input</x:v>
      </x:c>
      <x:c r="F10" s="13" t="str"/>
      <x:c r="G10" s="13" t="str">
        <x:v>CT43-44</x:v>
      </x:c>
      <x:c r="H10" s="13"/>
      <x:c r="I10" s="13"/>
      <x:c r="J10" s="13"/>
    </x:row>
    <x:row r="11" ht="15" hidden="0" customHeight="1">
      <x:c r="A11" s="13" t="str">
        <x:v>k</x:v>
      </x:c>
      <x:c r="B11" s="18" t="n">
        <x:v>0.3333</x:v>
      </x:c>
      <x:c r="C11" s="13" t="str">
        <x:v>-</x:v>
      </x:c>
      <x:c r="D11" s="13" t="str">
        <x:v>b/a hoặc d/a</x:v>
      </x:c>
      <x:c r="E11" s="13" t="str">
        <x:v>Input</x:v>
      </x:c>
      <x:c r="F11" s="13" t="str"/>
      <x:c r="G11" s="13" t="str">
        <x:v>CT44</x:v>
      </x:c>
      <x:c r="H11" s="13"/>
      <x:c r="I11" s="13"/>
      <x:c r="J11" s="13"/>
    </x:row>
    <x:row r="12" ht="15" hidden="0" customHeight="1">
      <x:c r="A12" s="13" t="str">
        <x:v>P</x:v>
      </x:c>
      <x:c r="B12" s="18" t="n">
        <x:v>810</x:v>
      </x:c>
      <x:c r="C12" s="13" t="str">
        <x:v>kN</x:v>
      </x:c>
      <x:c r="D12" s="13" t="str">
        <x:v>Lực trên một cọc/ô; vuông P=p·a²</x:v>
      </x:c>
      <x:c r="E12" s="13" t="str">
        <x:v>Input</x:v>
      </x:c>
      <x:c r="F12" s="13" t="str"/>
      <x:c r="G12" s="13" t="str">
        <x:v>CT44-45</x:v>
      </x:c>
      <x:c r="H12" s="13"/>
      <x:c r="I12" s="13"/>
      <x:c r="J12" s="13"/>
    </x:row>
    <x:row r="13" ht="15" hidden="0" customHeight="1">
      <x:c r="A13" s="13" t="str">
        <x:v>L</x:v>
      </x:c>
      <x:c r="B13" s="18" t="n">
        <x:v>24</x:v>
      </x:c>
      <x:c r="C13" s="13" t="str">
        <x:v>m</x:v>
      </x:c>
      <x:c r="D13" s="13" t="str">
        <x:v>Chiều dài cọc</x:v>
      </x:c>
      <x:c r="E13" s="13" t="str">
        <x:v>Input</x:v>
      </x:c>
      <x:c r="F13" s="13" t="str"/>
      <x:c r="G13" s="13" t="str">
        <x:v>CT45</x:v>
      </x:c>
      <x:c r="H13" s="13"/>
      <x:c r="I13" s="13"/>
      <x:c r="J13" s="13"/>
    </x:row>
    <x:row r="14" ht="15" hidden="0" customHeight="1">
      <x:c r="A14" s="13" t="str">
        <x:v>E pile</x:v>
      </x:c>
      <x:c r="B14" s="18" t="n">
        <x:v>30000000</x:v>
      </x:c>
      <x:c r="C14" s="13" t="str">
        <x:v>kPa</x:v>
      </x:c>
      <x:c r="D14" s="13" t="str">
        <x:v>Mô đun đàn hồi cọc</x:v>
      </x:c>
      <x:c r="E14" s="13" t="str">
        <x:v>Input</x:v>
      </x:c>
      <x:c r="F14" s="13" t="str"/>
      <x:c r="G14" s="13" t="str">
        <x:v>CT45</x:v>
      </x:c>
      <x:c r="H14" s="13"/>
      <x:c r="I14" s="13"/>
      <x:c r="J14" s="13"/>
    </x:row>
    <x:row r="15" ht="15" hidden="0" customHeight="1">
      <x:c r="A15" s="13" t="str">
        <x:v>A pile</x:v>
      </x:c>
      <x:c r="B15" s="18" t="n">
        <x:v>0.282743</x:v>
      </x:c>
      <x:c r="C15" s="13" t="str">
        <x:v>m²</x:v>
      </x:c>
      <x:c r="D15" s="13" t="str">
        <x:v>Diện tích cọc</x:v>
      </x:c>
      <x:c r="E15" s="13" t="str">
        <x:v>Input</x:v>
      </x:c>
      <x:c r="F15" s="13" t="str"/>
      <x:c r="G15" s="13" t="str">
        <x:v>CT45</x:v>
      </x:c>
      <x:c r="H15" s="13"/>
      <x:c r="I15" s="13"/>
      <x:c r="J15" s="13"/>
    </x:row>
    <x:row r="16" ht="15" hidden="0" customHeight="1">
      <x:c r="A16" s="13" t="str">
        <x:v>Δs_p1</x:v>
      </x:c>
      <x:c r="B16" s="13" t="n">
        <x:f>PI()*(1-B7^2)*B8/(4*B6)*(B9-1.5*B10)</x:f>
        <x:v>0.005360342465187585</x:v>
      </x:c>
      <x:c r="C16" s="13" t="str">
        <x:v>m</x:v>
      </x:c>
      <x:c r="D16" s="13" t="str">
        <x:v>π(1-ν²)p/(4E2)*(a-1,5d)</x:v>
      </x:c>
      <x:c r="E16" s="13" t="str">
        <x:v>CT43</x:v>
      </x:c>
      <x:c r="F16" s="13" t="n">
        <x:f>B16</x:f>
        <x:v>0.005360342465187585</x:v>
      </x:c>
      <x:c r="G16" s="13" t="str">
        <x:v>CT43</x:v>
      </x:c>
      <x:c r="H16" s="13"/>
      <x:c r="I16" s="13"/>
      <x:c r="J16" s="13"/>
    </x:row>
    <x:row r="17" ht="15" hidden="0" customHeight="1">
      <x:c r="A17" s="13" t="str">
        <x:v>Δs_p0</x:v>
      </x:c>
      <x:c r="B17" s="13" t="n">
        <x:f>(1-B7^2)*(1-B11)*B12/(B10*B6)</x:f>
        <x:v>0.027301365</x:v>
      </x:c>
      <x:c r="C17" s="13" t="str">
        <x:v>m</x:v>
      </x:c>
      <x:c r="D17" s="13" t="str">
        <x:v>(1-ν²)(1-k)P/(dE2)</x:v>
      </x:c>
      <x:c r="E17" s="13" t="str">
        <x:v>CT44</x:v>
      </x:c>
      <x:c r="F17" s="13" t="n">
        <x:f>B17</x:f>
        <x:v>0.027301365</x:v>
      </x:c>
      <x:c r="G17" s="13" t="str">
        <x:v>CT44</x:v>
      </x:c>
      <x:c r="H17" s="13"/>
      <x:c r="I17" s="13"/>
      <x:c r="J17" s="13"/>
    </x:row>
    <x:row r="18" ht="15" hidden="0" customHeight="1">
      <x:c r="A18" s="13" t="str">
        <x:v>Δs_p</x:v>
      </x:c>
      <x:c r="B18" s="13" t="n">
        <x:f>B16/((B16/B17)*(1-B5/B6)+B5/B6)</x:f>
        <x:v>0.007899865796015463</x:v>
      </x:c>
      <x:c r="C18" s="13" t="str">
        <x:v>m</x:v>
      </x:c>
      <x:c r="D18" s="13" t="str">
        <x:v>CT42</x:v>
      </x:c>
      <x:c r="E18" s="13" t="str">
        <x:v>CT42</x:v>
      </x:c>
      <x:c r="F18" s="13" t="n">
        <x:f>B18</x:f>
        <x:v>0.007899865796015463</x:v>
      </x:c>
      <x:c r="G18" s="13" t="str">
        <x:v>CT42</x:v>
      </x:c>
      <x:c r="H18" s="13"/>
      <x:c r="I18" s="13"/>
      <x:c r="J18" s="13"/>
    </x:row>
    <x:row r="19" ht="15" hidden="0" customHeight="1">
      <x:c r="A19" s="13" t="str">
        <x:v>Δs_c</x:v>
      </x:c>
      <x:c r="B19" s="13" t="n">
        <x:f>B12*(B13-B9)/(B14*B15)</x:f>
        <x:v>0.0021199463824038084</x:v>
      </x:c>
      <x:c r="C19" s="13" t="str">
        <x:v>m</x:v>
      </x:c>
      <x:c r="D19" s="13" t="str">
        <x:v>P(L-a)/(EA)</x:v>
      </x:c>
      <x:c r="E19" s="13" t="str">
        <x:v>CT45</x:v>
      </x:c>
      <x:c r="F19" s="13" t="n">
        <x:f>B19</x:f>
        <x:v>0.0021199463824038084</x:v>
      </x:c>
      <x:c r="G19" s="13" t="str">
        <x:v>CT45</x:v>
      </x:c>
      <x:c r="H19" s="13"/>
      <x:c r="I19" s="13"/>
      <x:c r="J19" s="13"/>
    </x:row>
    <x:row r="20" ht="15" hidden="0" customHeight="1">
      <x:c r="A20" s="13" t="str">
        <x:v>s total</x:v>
      </x:c>
      <x:c r="B20" s="13" t="n">
        <x:f>B4+B18+B19</x:f>
        <x:v>0.030019812178419272</x:v>
      </x:c>
      <x:c r="C20" s="13" t="str">
        <x:v>m</x:v>
      </x:c>
      <x:c r="D20" s="13" t="str">
        <x:v>s_ef+Δs_p+Δs_c</x:v>
      </x:c>
      <x:c r="E20" s="13" t="str">
        <x:v>CT41</x:v>
      </x:c>
      <x:c r="F20" s="13" t="n">
        <x:f>B20</x:f>
        <x:v>0.030019812178419272</x:v>
      </x:c>
      <x:c r="G20" s="13" t="str">
        <x:v>CT41</x:v>
      </x:c>
      <x:c r="H20" s="13"/>
      <x:c r="I20" s="13"/>
      <x:c r="J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3.880001068115234" hidden="0" customWidth="1"/>
    <x:col min="2" max="2" width="36.630001068115234" hidden="0" customWidth="1"/>
    <x:col min="3" max="3" width="5.630000114440918" hidden="0" customWidth="1"/>
    <x:col min="4" max="4" width="35.130001068115234" hidden="0" customWidth="1"/>
    <x:col min="5" max="5" width="7.5" hidden="0" customWidth="1"/>
    <x:col min="6" max="6" width="15" hidden="0" customWidth="1"/>
  </x:cols>
  <x:sheetData>
    <x:row r="1" ht="16.799999237060547" hidden="0" customHeight="1">
      <x:c r="A1" s="12" t="str">
        <x:v>BÈ-CỌC – TCVN 10304:2025 §7.4.5 · VERIFIED_METHOD</x:v>
      </x:c>
      <x:c r="B1" s="12"/>
      <x:c r="C1" s="12"/>
      <x:c r="D1" s="12"/>
      <x:c r="E1" s="12"/>
      <x:c r="F1" s="12"/>
      <x:c r="G1" s="13"/>
      <x:c r="H1" s="13"/>
      <x:c r="I1" s="13"/>
      <x:c r="J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4" t="str">
        <x:v>Điều kiện / bước</x:v>
      </x:c>
      <x:c r="B3" s="14" t="str">
        <x:v>Giá trị</x:v>
      </x:c>
      <x:c r="C3" s="14" t="str">
        <x:v>Đơn vị</x:v>
      </x:c>
      <x:c r="D3" s="14" t="str">
        <x:v>Đánh giá</x:v>
      </x:c>
      <x:c r="E3" s="14" t="str">
        <x:v>Nguồn</x:v>
      </x:c>
      <x:c r="F3" s="14" t="str">
        <x:v>Trạng thái</x:v>
      </x:c>
      <x:c r="G3" s="13"/>
      <x:c r="H3" s="13"/>
      <x:c r="I3" s="13"/>
      <x:c r="J3" s="13"/>
    </x:row>
    <x:row r="4" ht="15" hidden="0" customHeight="1">
      <x:c r="A4" s="13" t="str">
        <x:v>IL đất dính</x:v>
      </x:c>
      <x:c r="B4" s="18" t="n">
        <x:v>0.4</x:v>
      </x:c>
      <x:c r="C4" s="13" t="str">
        <x:v>-</x:v>
      </x:c>
      <x:c r="D4" s="13" t="str">
        <x:f>IF(B4&lt;0.5,"Phù hợp điều kiện IL","Cần xem lại")</x:f>
        <x:v>Phù hợp điều kiện IL</x:v>
      </x:c>
      <x:c r="E4" s="13" t="str">
        <x:v>7.4.5.2</x:v>
      </x:c>
      <x:c r="F4" s="13" t="str">
        <x:v>INPUT</x:v>
      </x:c>
      <x:c r="G4" s="13"/>
      <x:c r="H4" s="13"/>
      <x:c r="I4" s="13"/>
      <x:c r="J4" s="13"/>
    </x:row>
    <x:row r="5" ht="15" hidden="0" customHeight="1">
      <x:c r="A5" s="13" t="str">
        <x:v>E đất</x:v>
      </x:c>
      <x:c r="B5" s="18" t="n">
        <x:v>12</x:v>
      </x:c>
      <x:c r="C5" s="13" t="str">
        <x:v>MPa</x:v>
      </x:c>
      <x:c r="D5" s="13" t="str">
        <x:f>IF(B5&gt;8,"Phù hợp điều kiện E","Cần xem lại")</x:f>
        <x:v>Phù hợp điều kiện E</x:v>
      </x:c>
      <x:c r="E5" s="13" t="str">
        <x:v>7.4.5.2</x:v>
      </x:c>
      <x:c r="F5" s="13" t="str">
        <x:v>INPUT</x:v>
      </x:c>
      <x:c r="G5" s="13"/>
      <x:c r="H5" s="13"/>
      <x:c r="I5" s="13"/>
      <x:c r="J5" s="13"/>
    </x:row>
    <x:row r="6" ht="15" hidden="0" customHeight="1">
      <x:c r="A6" s="13" t="str">
        <x:v>Lớp cát rời &gt;1m ngay dưới móng?</x:v>
      </x:c>
      <x:c r="B6" s="18" t="str">
        <x:v>Không</x:v>
      </x:c>
      <x:c r="C6" s="13" t="str"/>
      <x:c r="D6" s="13" t="str"/>
      <x:c r="E6" s="13" t="str">
        <x:v>7.4.5.3</x:v>
      </x:c>
      <x:c r="F6" s="13" t="str">
        <x:v>INPUT</x:v>
      </x:c>
      <x:c r="G6" s="13"/>
      <x:c r="H6" s="13"/>
      <x:c r="I6" s="13"/>
      <x:c r="J6" s="13"/>
    </x:row>
    <x:row r="7" ht="15" hidden="0" customHeight="1">
      <x:c r="A7" s="13" t="str">
        <x:v>Đất đã kết thúc cố kết?</x:v>
      </x:c>
      <x:c r="B7" s="18" t="str">
        <x:v>Có</x:v>
      </x:c>
      <x:c r="C7" s="13" t="str"/>
      <x:c r="D7" s="13" t="str"/>
      <x:c r="E7" s="13" t="str">
        <x:v>7.4.5.3</x:v>
      </x:c>
      <x:c r="F7" s="13" t="str">
        <x:v>INPUT</x:v>
      </x:c>
      <x:c r="G7" s="13"/>
      <x:c r="H7" s="13"/>
      <x:c r="I7" s="13"/>
      <x:c r="J7" s="13"/>
    </x:row>
    <x:row r="8" ht="15" hidden="0" customHeight="1">
      <x:c r="A8" s="13" t="str">
        <x:v>Kiểm tương tác cọc–đất</x:v>
      </x:c>
      <x:c r="B8" s="13" t="str"/>
      <x:c r="C8" s="13" t="str"/>
      <x:c r="D8" s="13" t="str">
        <x:v>Bắt buộc</x:v>
      </x:c>
      <x:c r="E8" s="13" t="str">
        <x:v>7.4.5.4</x:v>
      </x:c>
      <x:c r="F8" s="13" t="str">
        <x:v>VERIFIED_METHOD</x:v>
      </x:c>
      <x:c r="G8" s="13"/>
      <x:c r="H8" s="13"/>
      <x:c r="I8" s="13"/>
      <x:c r="J8" s="13"/>
    </x:row>
    <x:row r="9" ht="15" hidden="0" customHeight="1">
      <x:c r="A9" s="13" t="str">
        <x:v>Kiểm tương tác đài/bè–đất</x:v>
      </x:c>
      <x:c r="B9" s="13" t="str"/>
      <x:c r="C9" s="13" t="str"/>
      <x:c r="D9" s="13" t="str">
        <x:v>Bắt buộc</x:v>
      </x:c>
      <x:c r="E9" s="13" t="str">
        <x:v>7.4.5.4</x:v>
      </x:c>
      <x:c r="F9" s="13" t="str">
        <x:v>VERIFIED_METHOD</x:v>
      </x:c>
      <x:c r="G9" s="13"/>
      <x:c r="H9" s="13"/>
      <x:c r="I9" s="13"/>
      <x:c r="J9" s="13"/>
    </x:row>
    <x:row r="10" ht="15" hidden="0" customHeight="1">
      <x:c r="A10" s="13" t="str">
        <x:v>Kiểm tương tác cọc–cọc qua đất</x:v>
      </x:c>
      <x:c r="B10" s="13" t="str"/>
      <x:c r="C10" s="13" t="str"/>
      <x:c r="D10" s="13" t="str">
        <x:v>Bắt buộc</x:v>
      </x:c>
      <x:c r="E10" s="13" t="str">
        <x:v>7.4.5.4</x:v>
      </x:c>
      <x:c r="F10" s="13" t="str">
        <x:v>VERIFIED_METHOD</x:v>
      </x:c>
      <x:c r="G10" s="13"/>
      <x:c r="H10" s="13"/>
      <x:c r="I10" s="13"/>
      <x:c r="J10" s="13"/>
    </x:row>
    <x:row r="11" ht="15" hidden="0" customHeight="1">
      <x:c r="A11" s="13" t="str">
        <x:v>Kiểm tương tác cọc–bè</x:v>
      </x:c>
      <x:c r="B11" s="13" t="str"/>
      <x:c r="C11" s="13" t="str"/>
      <x:c r="D11" s="13" t="str">
        <x:v>Bắt buộc</x:v>
      </x:c>
      <x:c r="E11" s="13" t="str">
        <x:v>7.4.5.4</x:v>
      </x:c>
      <x:c r="F11" s="13" t="str">
        <x:v>VERIFIED_METHOD</x:v>
      </x:c>
      <x:c r="G11" s="13"/>
      <x:c r="H11" s="13"/>
      <x:c r="I11" s="13"/>
      <x:c r="J11" s="13"/>
    </x:row>
    <x:row r="12" ht="15" hidden="0" customHeight="1">
      <x:c r="A12" s="13" t="str">
        <x:v>Mô hình không gian/phi tuyến</x:v>
      </x:c>
      <x:c r="B12" s="13" t="str"/>
      <x:c r="C12" s="13" t="str"/>
      <x:c r="D12" s="13" t="str">
        <x:v>Cần khi tính đầy đủ</x:v>
      </x:c>
      <x:c r="E12" s="13" t="str">
        <x:v>7.4.5.4–7</x:v>
      </x:c>
      <x:c r="F12" s="13" t="str">
        <x:v>VERIFIED_METHOD</x:v>
      </x:c>
      <x:c r="G12" s="13"/>
      <x:c r="H12" s="13"/>
      <x:c r="I12" s="13"/>
      <x:c r="J12" s="13"/>
    </x:row>
    <x:row r="13" ht="15" hidden="0" customHeight="1">
      <x:c r="A13" s="13" t="str">
        <x:v>Lún mô hình số</x:v>
      </x:c>
      <x:c r="B13" s="18" t="n">
        <x:v>0.025</x:v>
      </x:c>
      <x:c r="C13" s="13" t="str">
        <x:v>m</x:v>
      </x:c>
      <x:c r="D13" s="13" t="str">
        <x:v>INPUT kết quả mô hình, không phải HNL tự bịa</x:v>
      </x:c>
      <x:c r="E13" s="13" t="str">
        <x:v>7.4.5.5–7</x:v>
      </x:c>
      <x:c r="F13" s="13" t="str">
        <x:v>MANUAL MODEL</x:v>
      </x:c>
      <x:c r="G13" s="13"/>
      <x:c r="H13" s="13"/>
      <x:c r="I13" s="13"/>
      <x:c r="J13" s="13"/>
    </x:row>
    <x:row r="14" ht="15" hidden="0" customHeight="1">
      <x:c r="A14" s="13" t="str">
        <x:v>Kết luận sơ bộ</x:v>
      </x:c>
      <x:c r="B14" s="13" t="str">
        <x:f>IF(AND(B4&lt;0.5,B5&gt;8,B6="Không",B7="Có"),"CÓ THỂ XÉT BÈ-CỌC; PHẢI MÔ HÌNH TƯƠNG TÁC","KHÔNG ĐỦ ĐIỀU KIỆN SƠ BỘ")</x:f>
        <x:v>CÓ THỂ XÉT BÈ-CỌC; PHẢI MÔ HÌNH TƯƠNG TÁC</x:v>
      </x:c>
      <x:c r="C14" s="13" t="str"/>
      <x:c r="D14" s="13" t="str"/>
      <x:c r="E14" s="13" t="str"/>
      <x:c r="F14" s="13" t="str">
        <x:v>FORMULA</x:v>
      </x:c>
      <x:c r="G14" s="13"/>
      <x:c r="H14" s="13"/>
      <x:c r="I14" s="13"/>
      <x:c r="J14" s="13"/>
    </x:row>
    <x:row r="15" ht="15" hidden="0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 ht="15" hidden="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.75" hidden="0" customWidth="1"/>
    <x:col min="3" max="3" width="4.75" hidden="0" customWidth="1"/>
    <x:col min="4" max="4" width="4.75" hidden="0" customWidth="1"/>
  </x:cols>
  <x:sheetData>
    <x:row r="1" ht="16.799999237060547" hidden="0" customHeight="1">
      <x:c r="A1" s="12" t="str">
        <x:v>BẢNG 17 – HỆ SỐ kν, ζ0, mν · TCVN 10304:2025</x:v>
      </x:c>
      <x:c r="B1" s="12"/>
      <x:c r="C1" s="12"/>
      <x:c r="D1" s="12"/>
      <x:c r="E1" s="13"/>
      <x:c r="F1" s="13"/>
      <x:c r="G1" s="13"/>
      <x:c r="H1" s="13"/>
      <x:c r="I1" s="13"/>
      <x:c r="J1" s="13"/>
    </x:row>
    <x:row r="2" ht="15" hidden="0" customHeight="1">
      <x:c r="A2" s="14" t="str">
        <x:v>ν</x:v>
      </x:c>
      <x:c r="B2" s="14" t="str">
        <x:v>kν</x:v>
      </x:c>
      <x:c r="C2" s="14" t="str">
        <x:v>ζ0</x:v>
      </x:c>
      <x:c r="D2" s="14" t="str">
        <x:v>mν</x:v>
      </x:c>
      <x:c r="E2" s="13"/>
      <x:c r="F2" s="13"/>
      <x:c r="G2" s="13"/>
      <x:c r="H2" s="13"/>
      <x:c r="I2" s="13"/>
      <x:c r="J2" s="13"/>
    </x:row>
    <x:row r="3" ht="15" hidden="0" customHeight="1">
      <x:c r="A3" s="13" t="n">
        <x:v>0</x:v>
      </x:c>
      <x:c r="B3" s="13" t="n">
        <x:v>2.82</x:v>
      </x:c>
      <x:c r="C3" s="13" t="n">
        <x:v>0.455</x:v>
      </x:c>
      <x:c r="D3" s="13" t="n">
        <x:v>1.345</x:v>
      </x:c>
      <x:c r="E3" s="13"/>
      <x:c r="F3" s="13"/>
      <x:c r="G3" s="13"/>
      <x:c r="H3" s="13"/>
      <x:c r="I3" s="13"/>
      <x:c r="J3" s="13"/>
    </x:row>
    <x:row r="4" ht="15" hidden="0" customHeight="1">
      <x:c r="A4" s="13" t="n">
        <x:v>0.05</x:v>
      </x:c>
      <x:c r="B4" s="13" t="n">
        <x:v>2.636</x:v>
      </x:c>
      <x:c r="C4" s="13" t="n">
        <x:v>0.437</x:v>
      </x:c>
      <x:c r="D4" s="13" t="n">
        <x:v>1.373</x:v>
      </x:c>
      <x:c r="E4" s="13"/>
      <x:c r="F4" s="13"/>
      <x:c r="G4" s="13"/>
      <x:c r="H4" s="13"/>
      <x:c r="I4" s="13"/>
      <x:c r="J4" s="13"/>
    </x:row>
    <x:row r="5" ht="15" hidden="0" customHeight="1">
      <x:c r="A5" s="13" t="n">
        <x:v>0.1</x:v>
      </x:c>
      <x:c r="B5" s="13" t="n">
        <x:v>2.464</x:v>
      </x:c>
      <x:c r="C5" s="13" t="n">
        <x:v>0.419</x:v>
      </x:c>
      <x:c r="D5" s="13" t="n">
        <x:v>1.405</x:v>
      </x:c>
      <x:c r="E5" s="13"/>
      <x:c r="F5" s="13"/>
      <x:c r="G5" s="13"/>
      <x:c r="H5" s="13"/>
      <x:c r="I5" s="13"/>
      <x:c r="J5" s="13"/>
    </x:row>
    <x:row r="6" ht="15" hidden="0" customHeight="1">
      <x:c r="A6" s="13" t="n">
        <x:v>0.15</x:v>
      </x:c>
      <x:c r="B6" s="13" t="n">
        <x:v>2.302</x:v>
      </x:c>
      <x:c r="C6" s="13" t="n">
        <x:v>0.4</x:v>
      </x:c>
      <x:c r="D6" s="13" t="n">
        <x:v>1.446</x:v>
      </x:c>
      <x:c r="E6" s="13"/>
      <x:c r="F6" s="13"/>
      <x:c r="G6" s="13"/>
      <x:c r="H6" s="13"/>
      <x:c r="I6" s="13"/>
      <x:c r="J6" s="13"/>
    </x:row>
    <x:row r="7" ht="15" hidden="0" customHeight="1">
      <x:c r="A7" s="13" t="n">
        <x:v>0.2</x:v>
      </x:c>
      <x:c r="B7" s="13" t="n">
        <x:v>2.151</x:v>
      </x:c>
      <x:c r="C7" s="13" t="n">
        <x:v>0.38</x:v>
      </x:c>
      <x:c r="D7" s="13" t="n">
        <x:v>1.491</x:v>
      </x:c>
      <x:c r="E7" s="13"/>
      <x:c r="F7" s="13"/>
      <x:c r="G7" s="13"/>
      <x:c r="H7" s="13"/>
      <x:c r="I7" s="13"/>
      <x:c r="J7" s="13"/>
    </x:row>
    <x:row r="8" ht="15" hidden="0" customHeight="1">
      <x:c r="A8" s="13" t="n">
        <x:v>0.25</x:v>
      </x:c>
      <x:c r="B8" s="13" t="n">
        <x:v>2.011</x:v>
      </x:c>
      <x:c r="C8" s="13" t="n">
        <x:v>0.361</x:v>
      </x:c>
      <x:c r="D8" s="13" t="n">
        <x:v>1.54</x:v>
      </x:c>
      <x:c r="E8" s="13"/>
      <x:c r="F8" s="13"/>
      <x:c r="G8" s="13"/>
      <x:c r="H8" s="13"/>
      <x:c r="I8" s="13"/>
      <x:c r="J8" s="13"/>
    </x:row>
    <x:row r="9" ht="15" hidden="0" customHeight="1">
      <x:c r="A9" s="13" t="n">
        <x:v>0.3</x:v>
      </x:c>
      <x:c r="B9" s="13" t="n">
        <x:v>1.882</x:v>
      </x:c>
      <x:c r="C9" s="13" t="n">
        <x:v>0.34</x:v>
      </x:c>
      <x:c r="D9" s="13" t="n">
        <x:v>1.607</x:v>
      </x:c>
      <x:c r="E9" s="13"/>
      <x:c r="F9" s="13"/>
      <x:c r="G9" s="13"/>
      <x:c r="H9" s="13"/>
      <x:c r="I9" s="13"/>
      <x:c r="J9" s="13"/>
    </x:row>
    <x:row r="10" ht="15" hidden="0" customHeight="1">
      <x:c r="A10" s="13" t="n">
        <x:v>0.35</x:v>
      </x:c>
      <x:c r="B10" s="13" t="n">
        <x:v>1.764</x:v>
      </x:c>
      <x:c r="C10" s="13" t="n">
        <x:v>0.319</x:v>
      </x:c>
      <x:c r="D10" s="13" t="n">
        <x:v>1.685</x:v>
      </x:c>
      <x:c r="E10" s="13"/>
      <x:c r="F10" s="13"/>
      <x:c r="G10" s="13"/>
      <x:c r="H10" s="13"/>
      <x:c r="I10" s="13"/>
      <x:c r="J10" s="13"/>
    </x:row>
    <x:row r="11" ht="15" hidden="0" customHeight="1">
      <x:c r="A11" s="13" t="n">
        <x:v>0.4</x:v>
      </x:c>
      <x:c r="B11" s="13" t="n">
        <x:v>1.657</x:v>
      </x:c>
      <x:c r="C11" s="13" t="n">
        <x:v>0.297</x:v>
      </x:c>
      <x:c r="D11" s="13" t="n">
        <x:v>1.786</x:v>
      </x:c>
      <x:c r="E11" s="13"/>
      <x:c r="F11" s="13"/>
      <x:c r="G11" s="13"/>
      <x:c r="H11" s="13"/>
      <x:c r="I11" s="13"/>
      <x:c r="J11" s="13"/>
    </x:row>
    <x:row r="12" ht="15" hidden="0" customHeight="1">
      <x:c r="A12" s="13" t="n">
        <x:v>0.45</x:v>
      </x:c>
      <x:c r="B12" s="13" t="n">
        <x:v>1.56</x:v>
      </x:c>
      <x:c r="C12" s="13" t="n">
        <x:v>0.274</x:v>
      </x:c>
      <x:c r="D12" s="13" t="n">
        <x:v>1.916</x:v>
      </x:c>
      <x:c r="E12" s="13"/>
      <x:c r="F12" s="13"/>
      <x:c r="G12" s="13"/>
      <x:c r="H12" s="13"/>
      <x:c r="I12" s="13"/>
      <x:c r="J12" s="13"/>
    </x:row>
    <x:row r="13" ht="15" hidden="0" customHeight="1">
      <x:c r="A13" s="13" t="n">
        <x:v>0.5</x:v>
      </x:c>
      <x:c r="B13" s="13" t="n">
        <x:v>1.475</x:v>
      </x:c>
      <x:c r="C13" s="13" t="n">
        <x:v>0.25</x:v>
      </x:c>
      <x:c r="D13" s="13" t="n">
        <x:v>2.01</x:v>
      </x:c>
      <x:c r="E13" s="13"/>
      <x:c r="F13" s="13"/>
      <x:c r="G13" s="13"/>
      <x:c r="H13" s="13"/>
      <x:c r="I13" s="13"/>
      <x:c r="J13" s="13"/>
    </x:row>
    <x:row r="14" ht="15" hidden="0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 ht="15" hidden="0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 ht="15" hidden="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.25" hidden="0" customWidth="1"/>
    <x:col min="2" max="2" width="13.880000114440918" hidden="0" customWidth="1"/>
    <x:col min="3" max="3" width="18.25" hidden="0" customWidth="1"/>
    <x:col min="4" max="4" width="9.75" hidden="0" customWidth="1"/>
    <x:col min="5" max="5" width="8.130000114440918" hidden="0" customWidth="1"/>
    <x:col min="6" max="6" width="15" hidden="0" customWidth="1"/>
    <x:col min="7" max="7" width="76" hidden="0" customWidth="1"/>
  </x:cols>
  <x:sheetData>
    <x:row r="1" ht="16.799999237060547" hidden="0" customHeight="1">
      <x:c r="A1" s="12" t="str">
        <x:v>PROVENANCE – TCVN 10304:2025</x:v>
      </x:c>
      <x:c r="B1" s="12"/>
      <x:c r="C1" s="12"/>
      <x:c r="D1" s="12"/>
      <x:c r="E1" s="12"/>
      <x:c r="F1" s="12"/>
      <x:c r="G1" s="12"/>
      <x:c r="H1" s="13"/>
      <x:c r="I1" s="13"/>
      <x:c r="J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4" t="str">
        <x:v>Workflow</x:v>
      </x:c>
      <x:c r="B3" s="14" t="str">
        <x:v>Điều</x:v>
      </x:c>
      <x:c r="C3" s="14" t="str">
        <x:v>Công thức/Bảng</x:v>
      </x:c>
      <x:c r="D3" s="14" t="str">
        <x:v>Trang chuẩn</x:v>
      </x:c>
      <x:c r="E3" s="14" t="str">
        <x:v>Trang PDF</x:v>
      </x:c>
      <x:c r="F3" s="14" t="str">
        <x:v>Trạng thái</x:v>
      </x:c>
      <x:c r="G3" s="14" t="str">
        <x:v>Ghi chú</x:v>
      </x:c>
      <x:c r="H3" s="13"/>
      <x:c r="I3" s="13"/>
      <x:c r="J3" s="13"/>
    </x:row>
    <x:row r="4" ht="15" hidden="0" customHeight="1">
      <x:c r="A4" s="13" t="str">
        <x:v>Thử động</x:v>
      </x:c>
      <x:c r="B4" s="13" t="str">
        <x:v>7.3.3.2</x:v>
      </x:c>
      <x:c r="C4" s="13" t="str">
        <x:v>(22)–(24), Bảng 11–14</x:v>
      </x:c>
      <x:c r="D4" s="13" t="str">
        <x:v>52–55</x:v>
      </x:c>
      <x:c r="E4" s="13" t="str">
        <x:v>52–55</x:v>
      </x:c>
      <x:c r="F4" s="13" t="str">
        <x:v>VERIFIED</x:v>
      </x:c>
      <x:c r="G4" s="13" t="str">
        <x:v>CT22/23 phụ thuộc điều kiện s_a; cọc dài &gt;20m/steel cần phương pháp chuyên dụng theo tiêu chuẩn.</x:v>
      </x:c>
      <x:c r="H4" s="13"/>
      <x:c r="I4" s="13"/>
      <x:c r="J4" s="13"/>
    </x:row>
    <x:row r="5" ht="15" hidden="0" customHeight="1">
      <x:c r="A5" s="13" t="str">
        <x:v>Lún cọc đơn</x:v>
      </x:c>
      <x:c r="B5" s="13" t="str">
        <x:v>7.4.2</x:v>
      </x:c>
      <x:c r="C5" s="13" t="str">
        <x:v>(30)–(35), Bảng 17</x:v>
      </x:c>
      <x:c r="D5" s="13" t="str">
        <x:v>59–60</x:v>
      </x:c>
      <x:c r="E5" s="13" t="str">
        <x:v>59–60</x:v>
      </x:c>
      <x:c r="F5" s="13" t="str">
        <x:v>VERIFIED</x:v>
      </x:c>
      <x:c r="G5" s="13" t="str">
        <x:v>Điều kiện L/d&gt;5 và G1L/(G2d)&gt;1.</x:v>
      </x:c>
      <x:c r="H5" s="13"/>
      <x:c r="I5" s="13"/>
      <x:c r="J5" s="13"/>
    </x:row>
    <x:row r="6" ht="15" hidden="0" customHeight="1">
      <x:c r="A6" s="13" t="str">
        <x:v>Lún nhóm</x:v>
      </x:c>
      <x:c r="B6" s="13" t="str">
        <x:v>7.4.3</x:v>
      </x:c>
      <x:c r="C6" s="13" t="str">
        <x:v>(36)–(40)</x:v>
      </x:c>
      <x:c r="D6" s="13" t="str">
        <x:v>61–62</x:v>
      </x:c>
      <x:c r="E6" s="13" t="str">
        <x:v>61–62</x:v>
      </x:c>
      <x:c r="F6" s="13" t="str">
        <x:v>VERIFIED</x:v>
      </x:c>
      <x:c r="G6" s="13" t="str">
        <x:v>CT38 cần hệ số tương tác δij.</x:v>
      </x:c>
      <x:c r="H6" s="13"/>
      <x:c r="I6" s="13"/>
      <x:c r="J6" s="13"/>
    </x:row>
    <x:row r="7" ht="15" hidden="0" customHeight="1">
      <x:c r="A7" s="13" t="str">
        <x:v>Khối quy ước</x:v>
      </x:c>
      <x:c r="B7" s="13" t="str">
        <x:v>7.4.4</x:v>
      </x:c>
      <x:c r="C7" s="13" t="str">
        <x:v>(41)–(46)</x:v>
      </x:c>
      <x:c r="D7" s="13" t="str">
        <x:v>62–65</x:v>
      </x:c>
      <x:c r="E7" s="13" t="str">
        <x:v>62–65</x:v>
      </x:c>
      <x:c r="F7" s="13" t="str">
        <x:v>VERIFIED</x:v>
      </x:c>
      <x:c r="G7" s="13" t="str">
        <x:v>s_ef phụ thuộc tính nền theo TCVN 9362.</x:v>
      </x:c>
      <x:c r="H7" s="13"/>
      <x:c r="I7" s="13"/>
      <x:c r="J7" s="13"/>
    </x:row>
    <x:row r="8" ht="15" hidden="0" customHeight="1">
      <x:c r="A8" s="13" t="str">
        <x:v>Bè-cọc</x:v>
      </x:c>
      <x:c r="B8" s="13" t="str">
        <x:v>7.4.5</x:v>
      </x:c>
      <x:c r="C8" s="13" t="str">
        <x:v>Phương pháp/điều kiện</x:v>
      </x:c>
      <x:c r="D8" s="13" t="str">
        <x:v>65–67</x:v>
      </x:c>
      <x:c r="E8" s="13" t="str">
        <x:v>65–67</x:v>
      </x:c>
      <x:c r="F8" s="13" t="str">
        <x:v>VERIFIED_METHOD</x:v>
      </x:c>
      <x:c r="G8" s="13" t="str">
        <x:v>Tiêu chuẩn yêu cầu mô hình tương tác/số; không có công thức đóng duy nhất.</x:v>
      </x:c>
      <x:c r="H8" s="13"/>
      <x:c r="I8" s="13"/>
      <x:c r="J8" s="13"/>
    </x:row>
    <x:row r="9" ht="15" hidden="0" customHeight="1">
      <x:c r="A9" s="13" t="str">
        <x:v>Nguồn PDF</x:v>
      </x:c>
      <x:c r="B9" s="13" t="str">
        <x:v>TCVN 10304:2025</x:v>
      </x:c>
      <x:c r="C9" s="13" t="str"/>
      <x:c r="D9" s="13" t="str"/>
      <x:c r="E9" s="13" t="str"/>
      <x:c r="F9" s="13" t="str"/>
      <x:c r="G9" s="13" t="str">
        <x:v>PDF người dùng tải lên, dùng để đối chiếu trực tiếp.</x:v>
      </x:c>
      <x:c r="H9" s="13"/>
      <x:c r="I9" s="13"/>
      <x:c r="J9" s="13"/>
    </x:row>
    <x:row r="10" ht="15" hidden="0" customHeight="1">
      <x:c r="A10" s="13" t="str">
        <x:v>Safety gate</x:v>
      </x:c>
      <x:c r="B10" s="13" t="str"/>
      <x:c r="C10" s="13" t="str"/>
      <x:c r="D10" s="13" t="str"/>
      <x:c r="E10" s="13" t="str"/>
      <x:c r="F10" s="13" t="str">
        <x:v>LOCKED</x:v>
      </x:c>
      <x:c r="G10" s="13" t="str">
        <x:v>Không biến VERIFIED_METHOD thành numeric VERIFIED.</x:v>
      </x:c>
      <x:c r="H10" s="13"/>
      <x:c r="I10" s="13"/>
      <x:c r="J10" s="13"/>
    </x:row>
    <x:row r="11" ht="15" hidden="0" customHeight="1">
      <x:c r="A11" s="13" t="str">
        <x:v>Ảnh hưởng thi công</x:v>
      </x:c>
      <x:c r="B11" s="13" t="str">
        <x:v>7.6.6</x:v>
      </x:c>
      <x:c r="C11" s="13" t="str">
        <x:v>Bảng 18 + CT (47)</x:v>
      </x:c>
      <x:c r="D11" s="13" t="str">
        <x:v>68–69</x:v>
      </x:c>
      <x:c r="E11" s="13" t="str">
        <x:v>68–69</x:v>
      </x:c>
      <x:c r="F11" s="13" t="str">
        <x:v>VERIFIED</x:v>
      </x:c>
      <x:c r="G11" s="13" t="str">
        <x:v>V=2π·α·δ; kiểm V≤Va theo loại kết cấu và trạng thái nền.</x:v>
      </x:c>
      <x:c r="H11" s="13"/>
      <x:c r="I11" s="13"/>
      <x:c r="J11" s="13"/>
    </x:row>
    <x:row r="12" ht="15" hidden="0" customHeight="1">
      <x:c r="A12" s="13" t="str">
        <x:v>Lực ép tối thiểu</x:v>
      </x:c>
      <x:c r="B12" s="13" t="str">
        <x:v>7.6.7</x:v>
      </x:c>
      <x:c r="C12" s="13" t="str">
        <x:v>CT (48)</x:v>
      </x:c>
      <x:c r="D12" s="13" t="str">
        <x:v>69</x:v>
      </x:c>
      <x:c r="E12" s="13" t="str">
        <x:v>69</x:v>
      </x:c>
      <x:c r="F12" s="13" t="str">
        <x:v>VERIFIED</x:v>
      </x:c>
      <x:c r="G12" s="13" t="str">
        <x:v>Fc,min≥γc·Rk; tự dùng γc=1,2 chỉ khi tốc độ hạ ≤3 m/min.</x:v>
      </x:c>
      <x:c r="H12" s="13"/>
      <x:c r="I12" s="13"/>
      <x:c r="J12" s="13"/>
    </x:row>
    <x:row r="13" ht="15" hidden="0" customHeight="1">
      <x:c r="A13" s="13" t="str">
        <x:v>Audit đơn vị</x:v>
      </x:c>
      <x:c r="B13" s="13" t="str">
        <x:v>Toàn bộ</x:v>
      </x:c>
      <x:c r="C13" s="13" t="str">
        <x:v>kN/m/MPa/kPa/cm·s⁻¹</x:v>
      </x:c>
      <x:c r="D13" s="13" t="str"/>
      <x:c r="E13" s="13" t="str"/>
      <x:c r="F13" s="13" t="str">
        <x:v>PASS</x:v>
      </x:c>
      <x:c r="G13" s="13" t="str">
        <x:v>Cross-check HNL ↔ Excel benchmark; chuyển đổi đơn vị nằm trong workflow.</x:v>
      </x:c>
      <x:c r="H13" s="13"/>
      <x:c r="I13" s="13"/>
      <x:c r="J13" s="13"/>
    </x:row>
    <x:row r="14" ht="15" hidden="0" customHeight="1">
      <x:c r="A14" s="13" t="str">
        <x:v>Parser địa chất</x:v>
      </x:c>
      <x:c r="B14" s="13" t="str">
        <x:v>7.2.2</x:v>
      </x:c>
      <x:c r="C14" s="13" t="str">
        <x:v>IL theo từng lớp</x:v>
      </x:c>
      <x:c r="D14" s="13" t="str"/>
      <x:c r="E14" s="13" t="str"/>
      <x:c r="F14" s="13" t="str">
        <x:v>PASS</x:v>
      </x:c>
      <x:c r="G14" s="13" t="str">
        <x:v>Không còn mất IL khi nhập nhiều lớp phân cách bằng dấu chấm phẩy.</x:v>
      </x:c>
      <x:c r="H14" s="13"/>
      <x:c r="I14" s="13"/>
      <x:c r="J14" s="13"/>
    </x:row>
    <x:row r="15" ht="15" hidden="0" customHeight="1">
      <x:c r="A15" s="13" t="str">
        <x:v>Parser biến ngắn</x:v>
      </x:c>
      <x:c r="B15" s="13" t="str">
        <x:v>Toàn bộ</x:v>
      </x:c>
      <x:c r="C15" s="13" t="str">
        <x:v>A/M/sa/m1...</x:v>
      </x:c>
      <x:c r="D15" s="13" t="str"/>
      <x:c r="E15" s="13" t="str"/>
      <x:c r="F15" s="13" t="str">
        <x:v>PASS</x:v>
      </x:c>
      <x:c r="G15" s="13" t="str">
        <x:v>Đã khóa boundary để A không bắt vào sa, M không bắt vào m2, v.v.</x:v>
      </x:c>
      <x:c r="H15" s="13"/>
      <x:c r="I15" s="13"/>
      <x:c r="J15" s="13"/>
    </x:row>
    <x:row r="16" ht="15" hidden="0" customHeight="1">
      <x:c r="A16" s="13" t="str">
        <x:v>Excel lún đơn</x:v>
      </x:c>
      <x:c r="B16" s="13" t="str">
        <x:v>7.4.2</x:v>
      </x:c>
      <x:c r="C16" s="13" t="str">
        <x:v>Bảng 17</x:v>
      </x:c>
      <x:c r="D16" s="13" t="str"/>
      <x:c r="E16" s="13" t="str"/>
      <x:c r="F16" s="13" t="str">
        <x:v>PASS</x:v>
      </x:c>
      <x:c r="G16" s="13" t="str">
        <x:v>Nội suy tuyến tính từng khoảng; bỏ FORECAST.LINEAR toàn bảng.</x:v>
      </x:c>
      <x:c r="H16" s="13"/>
      <x:c r="I16" s="13"/>
      <x:c r="J16" s="13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10.25" hidden="0" customWidth="1"/>
    <x:col min="3" max="3" width="5.630000114440918" hidden="0" customWidth="1"/>
    <x:col min="4" max="4" width="54.5" hidden="0" customWidth="1"/>
    <x:col min="5" max="5" width="27.25" hidden="0" customWidth="1"/>
    <x:col min="6" max="6" width="10.25" hidden="0" customWidth="1"/>
    <x:col min="7" max="7" width="6.5" hidden="0" customWidth="1"/>
    <x:col min="8" max="8" width="8.130000114440918" hidden="0" customWidth="1"/>
    <x:col min="10" max="10" width="29.75" hidden="0" customWidth="1"/>
    <x:col min="11" max="11" width="6.630000114440918" hidden="0" customWidth="1"/>
    <x:col min="12" max="12" width="6.630000114440918" hidden="0" customWidth="1"/>
    <x:col min="13" max="13" width="6.630000114440918" hidden="0" customWidth="1"/>
  </x:cols>
  <x:sheetData>
    <x:row r="1" ht="16.799999237060547" hidden="0" customHeight="1">
      <x:c r="A1" s="29" t="str">
        <x:v>ẢNH HƯỞNG THI CÔNG – TCVN 10304:2025 §7.6.6–7.6.7 · CT (47)–(48) · Bảng 18</x:v>
      </x:c>
      <x:c r="B1" s="29"/>
      <x:c r="C1" s="29"/>
      <x:c r="D1" s="29"/>
      <x:c r="E1" s="29"/>
      <x:c r="F1" s="29"/>
      <x:c r="G1" s="29"/>
      <x:c r="H1" s="29"/>
      <x:c r="I1" s="13"/>
      <x:c r="J1" s="13"/>
      <x:c r="K1" s="13"/>
      <x:c r="L1" s="13"/>
      <x:c r="M1" s="13"/>
    </x:row>
    <x:row r="2" ht="15" hidden="0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30" t="str">
        <x:v>BẢNG 18 – Vận tốc dao động cho phép</x:v>
      </x:c>
      <x:c r="K2" s="30" t="str"/>
      <x:c r="L2" s="30" t="str"/>
      <x:c r="M2" s="30" t="str"/>
    </x:row>
    <x:row r="3" ht="15" hidden="0" customHeight="1">
      <x:c r="A3" s="31" t="str">
        <x:v>Thông số</x:v>
      </x:c>
      <x:c r="B3" s="31" t="str">
        <x:v>Giá trị</x:v>
      </x:c>
      <x:c r="C3" s="31" t="str">
        <x:v>Đơn vị</x:v>
      </x:c>
      <x:c r="D3" s="31" t="str">
        <x:v>Diễn giải</x:v>
      </x:c>
      <x:c r="E3" s="31" t="str">
        <x:v>Công thức/tra</x:v>
      </x:c>
      <x:c r="F3" s="31" t="str">
        <x:v>Kết quả</x:v>
      </x:c>
      <x:c r="G3" s="31" t="str">
        <x:v>Nguồn</x:v>
      </x:c>
      <x:c r="H3" s="31" t="str">
        <x:v>Trạng thái</x:v>
      </x:c>
      <x:c r="I3" s="13"/>
      <x:c r="J3" s="31" t="str">
        <x:v>Kết cấu</x:v>
      </x:c>
      <x:c r="K3" s="31" t="str">
        <x:v>Nhóm 1</x:v>
      </x:c>
      <x:c r="L3" s="31" t="str">
        <x:v>Nhóm 2</x:v>
      </x:c>
      <x:c r="M3" s="31" t="str">
        <x:v>Nhóm 3</x:v>
      </x:c>
    </x:row>
    <x:row r="4" ht="15" hidden="0" customHeight="1">
      <x:c r="A4" s="13" t="str">
        <x:v>Loại kết cấu</x:v>
      </x:c>
      <x:c r="B4" s="32" t="n">
        <x:v>2</x:v>
      </x:c>
      <x:c r="C4" s="13" t="str">
        <x:v>1/2/3</x:v>
      </x:c>
      <x:c r="D4" s="13" t="str">
        <x:v>1=BTCT toàn khối/khung thép; 2=khung BTCT; 3=khối xây/panel</x:v>
      </x:c>
      <x:c r="E4" s="13" t="str">
        <x:v>Bảng 18</x:v>
      </x:c>
      <x:c r="F4" s="13" t="str"/>
      <x:c r="G4" s="13" t="str">
        <x:v>tr.69</x:v>
      </x:c>
      <x:c r="H4" s="13" t="str">
        <x:v>INPUT</x:v>
      </x:c>
      <x:c r="I4" s="13"/>
      <x:c r="J4" s="13" t="str">
        <x:v>BTCT toàn khối / khung thép</x:v>
      </x:c>
      <x:c r="K4" s="13" t="n">
        <x:v>4.5</x:v>
      </x:c>
      <x:c r="L4" s="13" t="n">
        <x:v>3</x:v>
      </x:c>
      <x:c r="M4" s="13" t="n">
        <x:v>1</x:v>
      </x:c>
    </x:row>
    <x:row r="5" ht="15" hidden="0" customHeight="1">
      <x:c r="A5" s="13" t="str">
        <x:v>Nhóm nền</x:v>
      </x:c>
      <x:c r="B5" s="32" t="n">
        <x:v>2</x:v>
      </x:c>
      <x:c r="C5" s="13" t="str">
        <x:v>1/2/3</x:v>
      </x:c>
      <x:c r="D5" s="13" t="str">
        <x:v>1=cát chặt hoặc IL&lt;0,5; 2=chặt vừa hoặc 0,5≤IL≤0,75; 3=xốp hoặc IL&gt;0,75</x:v>
      </x:c>
      <x:c r="E5" s="13" t="str">
        <x:v>Bảng 18</x:v>
      </x:c>
      <x:c r="F5" s="13" t="str"/>
      <x:c r="G5" s="13" t="str">
        <x:v>tr.69</x:v>
      </x:c>
      <x:c r="H5" s="13" t="str">
        <x:v>INPUT</x:v>
      </x:c>
      <x:c r="I5" s="13"/>
      <x:c r="J5" s="13" t="str">
        <x:v>Khung BTCT</x:v>
      </x:c>
      <x:c r="K5" s="13" t="n">
        <x:v>3</x:v>
      </x:c>
      <x:c r="L5" s="13" t="n">
        <x:v>1.5</x:v>
      </x:c>
      <x:c r="M5" s="13" t="n">
        <x:v>0.5</x:v>
      </x:c>
    </x:row>
    <x:row r="6" ht="15" hidden="0" customHeight="1">
      <x:c r="A6" s="13" t="str">
        <x:v>α</x:v>
      </x:c>
      <x:c r="B6" s="32" t="n">
        <x:v>0.02</x:v>
      </x:c>
      <x:c r="C6" s="13" t="str">
        <x:v>cm</x:v>
      </x:c>
      <x:c r="D6" s="13" t="str">
        <x:v>Biên độ dao động đo khi hạ thử</x:v>
      </x:c>
      <x:c r="E6" s="13" t="str">
        <x:v>Input</x:v>
      </x:c>
      <x:c r="F6" s="13" t="str"/>
      <x:c r="G6" s="13" t="str">
        <x:v>CT47</x:v>
      </x:c>
      <x:c r="H6" s="13" t="str">
        <x:v>INPUT</x:v>
      </x:c>
      <x:c r="I6" s="13"/>
      <x:c r="J6" s="13" t="str">
        <x:v>Khối xây / panel</x:v>
      </x:c>
      <x:c r="K6" s="13" t="n">
        <x:v>2</x:v>
      </x:c>
      <x:c r="L6" s="13" t="n">
        <x:v>1.5</x:v>
      </x:c>
      <x:c r="M6" s="13" t="n">
        <x:v>0.4</x:v>
      </x:c>
    </x:row>
    <x:row r="7" ht="15" hidden="0" customHeight="1">
      <x:c r="A7" s="13" t="str">
        <x:v>δ</x:v>
      </x:c>
      <x:c r="B7" s="32" t="n">
        <x:v>10</x:v>
      </x:c>
      <x:c r="C7" s="13" t="str">
        <x:v>Hz</x:v>
      </x:c>
      <x:c r="D7" s="13" t="str">
        <x:v>Tần số dao động đo khi hạ thử</x:v>
      </x:c>
      <x:c r="E7" s="13" t="str">
        <x:v>Input</x:v>
      </x:c>
      <x:c r="F7" s="13" t="str"/>
      <x:c r="G7" s="13" t="str">
        <x:v>CT47</x:v>
      </x:c>
      <x:c r="H7" s="13" t="str">
        <x:v>INPUT</x:v>
      </x:c>
      <x:c r="I7" s="13"/>
      <x:c r="J7" s="13"/>
      <x:c r="K7" s="13"/>
      <x:c r="L7" s="13"/>
      <x:c r="M7" s="13"/>
    </x:row>
    <x:row r="8" ht="15" hidden="0" customHeight="1">
      <x:c r="A8" s="13" t="str">
        <x:v>V_a</x:v>
      </x:c>
      <x:c r="B8" s="32" t="n">
        <x:f>INDEX($K$4:$M$6,B4,B5)</x:f>
        <x:v>1.5</x:v>
      </x:c>
      <x:c r="C8" s="13" t="str">
        <x:v>cm/s</x:v>
      </x:c>
      <x:c r="D8" s="13" t="str">
        <x:v>Tự tra Bảng 18</x:v>
      </x:c>
      <x:c r="E8" s="13" t="str">
        <x:v>INDEX theo loại kết cấu + nhóm nền</x:v>
      </x:c>
      <x:c r="F8" s="13" t="n">
        <x:f>B8</x:f>
        <x:v>1.5</x:v>
      </x:c>
      <x:c r="G8" s="13" t="str">
        <x:v>Bảng 18</x:v>
      </x:c>
      <x:c r="H8" s="13" t="str">
        <x:v>FORMULA</x:v>
      </x:c>
      <x:c r="I8" s="13"/>
      <x:c r="J8" s="13"/>
      <x:c r="K8" s="13"/>
      <x:c r="L8" s="13"/>
      <x:c r="M8" s="13"/>
    </x:row>
    <x:row r="9" ht="15" hidden="0" customHeight="1">
      <x:c r="A9" s="13" t="str">
        <x:v>V</x:v>
      </x:c>
      <x:c r="B9" s="13" t="n">
        <x:f>2*PI()*B6*B7</x:f>
        <x:v>1.2566370614359172</x:v>
      </x:c>
      <x:c r="C9" s="13" t="str">
        <x:v>cm/s</x:v>
      </x:c>
      <x:c r="D9" s="13" t="str">
        <x:v>Vận tốc dao động</x:v>
      </x:c>
      <x:c r="E9" s="13" t="str">
        <x:v>2π·α·δ</x:v>
      </x:c>
      <x:c r="F9" s="13" t="n">
        <x:f>B9</x:f>
        <x:v>1.2566370614359172</x:v>
      </x:c>
      <x:c r="G9" s="13" t="str">
        <x:v>CT (47)</x:v>
      </x:c>
      <x:c r="H9" s="13" t="str">
        <x:v>FORMULA</x:v>
      </x:c>
      <x:c r="I9" s="13"/>
      <x:c r="J9" s="13"/>
      <x:c r="K9" s="13"/>
      <x:c r="L9" s="13"/>
      <x:c r="M9" s="13"/>
    </x:row>
    <x:row r="10" ht="15" hidden="0" customHeight="1">
      <x:c r="A10" s="13" t="str">
        <x:v>Kiểm V≤V_a</x:v>
      </x:c>
      <x:c r="B10" s="13" t="n">
        <x:f>IF(B9&lt;=B8,1,0)</x:f>
        <x:v>1</x:v>
      </x:c>
      <x:c r="C10" s="13" t="str"/>
      <x:c r="D10" s="13" t="str">
        <x:v>1=ĐẠT; 0=VƯỢT</x:v>
      </x:c>
      <x:c r="E10" s="13" t="str">
        <x:v>IF(V&lt;=Va,1,0)</x:v>
      </x:c>
      <x:c r="F10" s="13" t="str">
        <x:f>IF(B10=1,"ĐẠT","VƯỢT")</x:f>
        <x:v>ĐẠT</x:v>
      </x:c>
      <x:c r="G10" s="13" t="str">
        <x:v>§7.6.6</x:v>
      </x:c>
      <x:c r="H10" s="13" t="str">
        <x:v>FORMULA</x:v>
      </x:c>
      <x:c r="I10" s="13"/>
      <x:c r="J10" s="13"/>
      <x:c r="K10" s="13"/>
      <x:c r="L10" s="13"/>
      <x:c r="M10" s="13"/>
    </x:row>
    <x:row r="11" ht="15" hidden="0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 ht="15" hidden="0" customHeight="1">
      <x:c r="A12" s="33" t="str">
        <x:v>CT (48) – Lực ép tối thiểu</x:v>
      </x:c>
      <x:c r="B12" s="33" t="str"/>
      <x:c r="C12" s="33" t="str"/>
      <x:c r="D12" s="33" t="str"/>
      <x:c r="E12" s="33" t="str"/>
      <x:c r="F12" s="33" t="str"/>
      <x:c r="G12" s="33" t="str"/>
      <x:c r="H12" s="33" t="str"/>
      <x:c r="I12" s="13"/>
      <x:c r="J12" s="13"/>
      <x:c r="K12" s="13"/>
      <x:c r="L12" s="13"/>
      <x:c r="M12" s="13"/>
    </x:row>
    <x:row r="13" ht="15" hidden="0" customHeight="1">
      <x:c r="A13" s="13" t="str">
        <x:v>R_k</x:v>
      </x:c>
      <x:c r="B13" s="32" t="n">
        <x:v>1200</x:v>
      </x:c>
      <x:c r="C13" s="13" t="str">
        <x:v>kN</x:v>
      </x:c>
      <x:c r="D13" s="13" t="str">
        <x:v>Sức chịu tải tiêu chuẩn tại độ sâu hạ cọc</x:v>
      </x:c>
      <x:c r="E13" s="13" t="str">
        <x:v>Input</x:v>
      </x:c>
      <x:c r="F13" s="13" t="str"/>
      <x:c r="G13" s="13" t="str">
        <x:v>CT48</x:v>
      </x:c>
      <x:c r="H13" s="13" t="str">
        <x:v>INPUT</x:v>
      </x:c>
      <x:c r="I13" s="13"/>
      <x:c r="J13" s="13"/>
      <x:c r="K13" s="13"/>
      <x:c r="L13" s="13"/>
      <x:c r="M13" s="13"/>
    </x:row>
    <x:row r="14" ht="15" hidden="0" customHeight="1">
      <x:c r="A14" s="13" t="str">
        <x:v>Tốc độ hạ</x:v>
      </x:c>
      <x:c r="B14" s="32" t="n">
        <x:v>3</x:v>
      </x:c>
      <x:c r="C14" s="13" t="str">
        <x:v>m/min</x:v>
      </x:c>
      <x:c r="D14" s="13" t="str">
        <x:v>Nếu ≤3 m/min, tiêu chuẩn cho γc=1,2</x:v>
      </x:c>
      <x:c r="E14" s="13" t="str">
        <x:v>Input</x:v>
      </x:c>
      <x:c r="F14" s="13" t="str"/>
      <x:c r="G14" s="13" t="str">
        <x:v>tr.69</x:v>
      </x:c>
      <x:c r="H14" s="13" t="str">
        <x:v>INPUT</x:v>
      </x:c>
      <x:c r="I14" s="13"/>
      <x:c r="J14" s="13"/>
      <x:c r="K14" s="13"/>
      <x:c r="L14" s="13"/>
      <x:c r="M14" s="13"/>
    </x:row>
    <x:row r="15" ht="15" hidden="0" customHeight="1">
      <x:c r="A15" s="13" t="str">
        <x:v>γc override</x:v>
      </x:c>
      <x:c r="B15" s="32" t="str"/>
      <x:c r="C15" s="13" t="str">
        <x:v>-</x:v>
      </x:c>
      <x:c r="D15" s="13" t="str">
        <x:v>Để trống nếu tốc độ hạ ≤3 m/min; &gt;3 m/min phải nhập giá trị có căn cứ</x:v>
      </x:c>
      <x:c r="E15" s="13" t="str">
        <x:v>Input</x:v>
      </x:c>
      <x:c r="F15" s="13" t="str"/>
      <x:c r="G15" s="13" t="str">
        <x:v>tr.69</x:v>
      </x:c>
      <x:c r="H15" s="13" t="str">
        <x:v>INPUT</x:v>
      </x:c>
      <x:c r="I15" s="13"/>
      <x:c r="J15" s="13"/>
      <x:c r="K15" s="13"/>
      <x:c r="L15" s="13"/>
      <x:c r="M15" s="13"/>
    </x:row>
    <x:row r="16" ht="15" hidden="0" customHeight="1">
      <x:c r="A16" s="13" t="str">
        <x:v>γc dùng tính</x:v>
      </x:c>
      <x:c r="B16" s="13" t="n">
        <x:f>IF(ISNUMBER(B15),B15,IF(B14&lt;=3,1.2,NA()))</x:f>
        <x:v>1.2</x:v>
      </x:c>
      <x:c r="C16" s="13" t="str">
        <x:v>-</x:v>
      </x:c>
      <x:c r="D16" s="13" t="str">
        <x:v>Tự lấy 1,2 chỉ khi tốc độ ≤3</x:v>
      </x:c>
      <x:c r="E16" s="13" t="str">
        <x:v>IF</x:v>
      </x:c>
      <x:c r="F16" s="13" t="n">
        <x:f>B16</x:f>
        <x:v>1.2</x:v>
      </x:c>
      <x:c r="G16" s="13" t="str">
        <x:v>CT48</x:v>
      </x:c>
      <x:c r="H16" s="13" t="str">
        <x:v>FORMULA</x:v>
      </x:c>
      <x:c r="I16" s="13"/>
      <x:c r="J16" s="13"/>
      <x:c r="K16" s="13"/>
      <x:c r="L16" s="13"/>
      <x:c r="M16" s="13"/>
    </x:row>
    <x:row r="17" ht="15" hidden="0" customHeight="1">
      <x:c r="A17" s="13" t="str">
        <x:v>F_c,min</x:v>
      </x:c>
      <x:c r="B17" s="13" t="n">
        <x:f>B16*B13</x:f>
        <x:v>1440</x:v>
      </x:c>
      <x:c r="C17" s="13" t="str">
        <x:v>kN</x:v>
      </x:c>
      <x:c r="D17" s="13" t="str">
        <x:v>Lực cần thiết nhỏ nhất để ép cọc</x:v>
      </x:c>
      <x:c r="E17" s="13" t="str">
        <x:v>γc·Rk</x:v>
      </x:c>
      <x:c r="F17" s="13" t="n">
        <x:f>B17</x:f>
        <x:v>1440</x:v>
      </x:c>
      <x:c r="G17" s="13" t="str">
        <x:v>CT (48)</x:v>
      </x:c>
      <x:c r="H17" s="13" t="str">
        <x:v>FORMULA</x:v>
      </x:c>
      <x:c r="I17" s="13"/>
      <x:c r="J17" s="13"/>
      <x:c r="K17" s="13"/>
      <x:c r="L17" s="13"/>
      <x:c r="M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</x:row>
  </x:sheetData>
  <x:mergeCells>
    <x:mergeCell ref="A1:H1"/>
    <x:mergeCell ref="J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9.630001068115234" hidden="0" customWidth="1"/>
    <x:col min="2" max="2" width="15" hidden="0" customWidth="1"/>
    <x:col min="3" max="3" width="13.380000114440918" hidden="0" customWidth="1"/>
    <x:col min="4" max="4" width="6.380000114440918" hidden="0" customWidth="1"/>
    <x:col min="5" max="5" width="9.380000114440918" hidden="0" customWidth="1"/>
    <x:col min="6" max="6" width="11.5" hidden="0" customWidth="1"/>
    <x:col min="7" max="7" width="5.630000114440918" hidden="0" customWidth="1"/>
    <x:col min="8" max="8" width="27" hidden="0" customWidth="1"/>
  </x:cols>
  <x:sheetData>
    <x:row r="1">
      <x:c r="A1" s="43" t="str">
        <x:v>AUDIT HNL ↔ EXCEL – TCVN 10304:2025 – v1.17.0</x:v>
      </x:c>
      <x:c r="B1" s="43"/>
      <x:c r="C1" s="43"/>
      <x:c r="D1" s="43"/>
      <x:c r="E1" s="43"/>
      <x:c r="F1" s="43"/>
      <x:c r="G1" s="43"/>
      <x:c r="H1" s="43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44" t="str">
        <x:v>Workflow</x:v>
      </x:c>
      <x:c r="B3" s="44" t="str">
        <x:v>HNL</x:v>
      </x:c>
      <x:c r="C3" s="44" t="str">
        <x:v>Excel benchmark</x:v>
      </x:c>
      <x:c r="D3" s="44" t="str">
        <x:v>Sai lệch</x:v>
      </x:c>
      <x:c r="E3" s="44" t="str">
        <x:v>Tolerance</x:v>
      </x:c>
      <x:c r="F3" s="44" t="str">
        <x:v>Kết quả</x:v>
      </x:c>
      <x:c r="G3" s="44" t="str">
        <x:v>Đơn vị</x:v>
      </x:c>
      <x:c r="H3" s="44" t="str">
        <x:v>Ghi chú</x:v>
      </x:c>
    </x:row>
    <x:row r="4">
      <x:c r="A4" s="13" t="str">
        <x:v>Cọc chống</x:v>
      </x:c>
      <x:c r="B4" s="13" t="n">
        <x:v>800</x:v>
      </x:c>
      <x:c r="C4" s="13" t="n">
        <x:v>800</x:v>
      </x:c>
      <x:c r="D4" s="13" t="n">
        <x:v>0</x:v>
      </x:c>
      <x:c r="E4" s="13" t="n">
        <x:v>0.000001</x:v>
      </x:c>
      <x:c r="F4" s="13" t="str">
        <x:v>PASS</x:v>
      </x:c>
      <x:c r="G4" s="13" t="str">
        <x:v>kN</x:v>
      </x:c>
      <x:c r="H4" s="13" t="str">
        <x:v>CT (5)–(8)</x:v>
      </x:c>
    </x:row>
    <x:row r="5">
      <x:c r="A5" s="13" t="str">
        <x:v>Cọc đóng/ép</x:v>
      </x:c>
      <x:c r="B5" s="13" t="n">
        <x:v>1264</x:v>
      </x:c>
      <x:c r="C5" s="13" t="n">
        <x:v>1264</x:v>
      </x:c>
      <x:c r="D5" s="13" t="n">
        <x:v>0</x:v>
      </x:c>
      <x:c r="E5" s="13" t="n">
        <x:v>0.000001</x:v>
      </x:c>
      <x:c r="F5" s="13" t="str">
        <x:v>PASS</x:v>
      </x:c>
      <x:c r="G5" s="13" t="str">
        <x:v>kN</x:v>
      </x:c>
      <x:c r="H5" s="13" t="str">
        <x:v>CT (9), Bảng 2–4</x:v>
      </x:c>
    </x:row>
    <x:row r="6">
      <x:c r="A6" s="13" t="str">
        <x:v>Cọc nhồi/khoan</x:v>
      </x:c>
      <x:c r="B6" s="13" t="n">
        <x:v>3187.1</x:v>
      </x:c>
      <x:c r="C6" s="13" t="n">
        <x:v>3187.1</x:v>
      </x:c>
      <x:c r="D6" s="13" t="n">
        <x:v>0</x:v>
      </x:c>
      <x:c r="E6" s="13" t="n">
        <x:v>0.000001</x:v>
      </x:c>
      <x:c r="F6" s="13" t="str">
        <x:v>PASS</x:v>
      </x:c>
      <x:c r="G6" s="13" t="str">
        <x:v>kN</x:v>
      </x:c>
      <x:c r="H6" s="13" t="str">
        <x:v>CT (13)</x:v>
      </x:c>
    </x:row>
    <x:row r="7">
      <x:c r="A7" s="13" t="str">
        <x:v>Cọc vít</x:v>
      </x:c>
      <x:c r="B7" s="13" t="n">
        <x:v>1566.72</x:v>
      </x:c>
      <x:c r="C7" s="13" t="n">
        <x:v>1566.72</x:v>
      </x:c>
      <x:c r="D7" s="13" t="n">
        <x:v>0</x:v>
      </x:c>
      <x:c r="E7" s="13" t="n">
        <x:v>0.000001</x:v>
      </x:c>
      <x:c r="F7" s="13" t="str">
        <x:v>PASS</x:v>
      </x:c>
      <x:c r="G7" s="13" t="str">
        <x:v>kN</x:v>
      </x:c>
      <x:c r="H7" s="13" t="str">
        <x:v>CT (17)–(19)</x:v>
      </x:c>
    </x:row>
    <x:row r="8">
      <x:c r="A8" s="13" t="str">
        <x:v>Tải tĩnh</x:v>
      </x:c>
      <x:c r="B8" s="13" t="n">
        <x:v>1090.9090909090908</x:v>
      </x:c>
      <x:c r="C8" s="13" t="n">
        <x:v>1090.9090909090908</x:v>
      </x:c>
      <x:c r="D8" s="13" t="n">
        <x:v>0</x:v>
      </x:c>
      <x:c r="E8" s="13" t="n">
        <x:v>0.000001</x:v>
      </x:c>
      <x:c r="F8" s="13" t="str">
        <x:v>PASS</x:v>
      </x:c>
      <x:c r="G8" s="13" t="str">
        <x:v>kN</x:v>
      </x:c>
      <x:c r="H8" s="13" t="str">
        <x:v>CT (20)</x:v>
      </x:c>
    </x:row>
    <x:row r="9">
      <x:c r="A9" s="13" t="str">
        <x:v>Thử động</x:v>
      </x:c>
      <x:c r="B9" s="13" t="n">
        <x:v>1449.2036196746424</x:v>
      </x:c>
      <x:c r="C9" s="13" t="n">
        <x:v>1449.2036196746424</x:v>
      </x:c>
      <x:c r="D9" s="13" t="n">
        <x:v>0</x:v>
      </x:c>
      <x:c r="E9" s="13" t="n">
        <x:v>0.000001</x:v>
      </x:c>
      <x:c r="F9" s="13" t="str">
        <x:v>PASS</x:v>
      </x:c>
      <x:c r="G9" s="13" t="str">
        <x:v>kN</x:v>
      </x:c>
      <x:c r="H9" s="13" t="str">
        <x:v>CT (22)</x:v>
      </x:c>
    </x:row>
    <x:row r="10">
      <x:c r="A10" s="13" t="str">
        <x:v>CPT</x:v>
      </x:c>
      <x:c r="B10" s="13" t="n">
        <x:v>880</x:v>
      </x:c>
      <x:c r="C10" s="13" t="n">
        <x:v>880</x:v>
      </x:c>
      <x:c r="D10" s="13" t="n">
        <x:v>0</x:v>
      </x:c>
      <x:c r="E10" s="13" t="n">
        <x:v>0.000001</x:v>
      </x:c>
      <x:c r="F10" s="13" t="str">
        <x:v>PASS</x:v>
      </x:c>
      <x:c r="G10" s="13" t="str">
        <x:v>kN</x:v>
      </x:c>
      <x:c r="H10" s="13" t="str">
        <x:v>CT (25)–(28)</x:v>
      </x:c>
    </x:row>
    <x:row r="11">
      <x:c r="A11" s="13" t="str">
        <x:v>SPT</x:v>
      </x:c>
      <x:c r="B11" s="13" t="n">
        <x:v>496</x:v>
      </x:c>
      <x:c r="C11" s="13" t="n">
        <x:v>496</x:v>
      </x:c>
      <x:c r="D11" s="13" t="n">
        <x:v>0</x:v>
      </x:c>
      <x:c r="E11" s="13" t="n">
        <x:v>0.000001</x:v>
      </x:c>
      <x:c r="F11" s="13" t="str">
        <x:v>PASS</x:v>
      </x:c>
      <x:c r="G11" s="13" t="str">
        <x:v>kN</x:v>
      </x:c>
      <x:c r="H11" s="13" t="str">
        <x:v>Phụ lục D</x:v>
      </x:c>
    </x:row>
    <x:row r="12">
      <x:c r="A12" s="13" t="str">
        <x:v>Lún cọc đơn</x:v>
      </x:c>
      <x:c r="B12" s="13" t="n">
        <x:v>0.0025903059797355065</x:v>
      </x:c>
      <x:c r="C12" s="13" t="n">
        <x:v>0.0025903059797355065</x:v>
      </x:c>
      <x:c r="D12" s="13" t="n">
        <x:v>0</x:v>
      </x:c>
      <x:c r="E12" s="13" t="n">
        <x:v>1e-8</x:v>
      </x:c>
      <x:c r="F12" s="13" t="str">
        <x:v>PASS</x:v>
      </x:c>
      <x:c r="G12" s="13" t="str">
        <x:v>m</x:v>
      </x:c>
      <x:c r="H12" s="13" t="str">
        <x:v>CT (30)–(33) benchmark</x:v>
      </x:c>
    </x:row>
    <x:row r="13">
      <x:c r="A13" s="13" t="str">
        <x:v>Lún nhóm</x:v>
      </x:c>
      <x:c r="B13" s="13" t="n">
        <x:v>0.010997576886752153</x:v>
      </x:c>
      <x:c r="C13" s="13" t="n">
        <x:v>0.010997576886752153</x:v>
      </x:c>
      <x:c r="D13" s="13" t="n">
        <x:v>0</x:v>
      </x:c>
      <x:c r="E13" s="13" t="n">
        <x:v>1e-8</x:v>
      </x:c>
      <x:c r="F13" s="13" t="str">
        <x:v>PASS</x:v>
      </x:c>
      <x:c r="G13" s="13" t="str">
        <x:v>m</x:v>
      </x:c>
      <x:c r="H13" s="13" t="str">
        <x:v>CT (36)–(40)</x:v>
      </x:c>
    </x:row>
    <x:row r="14">
      <x:c r="A14" s="13" t="str">
        <x:v>Khối quy ước</x:v>
      </x:c>
      <x:c r="B14" s="13" t="n">
        <x:v>0.02224648205766266</x:v>
      </x:c>
      <x:c r="C14" s="13" t="n">
        <x:v>0.02224648205766266</x:v>
      </x:c>
      <x:c r="D14" s="13" t="n">
        <x:v>0</x:v>
      </x:c>
      <x:c r="E14" s="13" t="n">
        <x:v>1e-8</x:v>
      </x:c>
      <x:c r="F14" s="13" t="str">
        <x:v>PASS</x:v>
      </x:c>
      <x:c r="G14" s="13" t="str">
        <x:v>m</x:v>
      </x:c>
      <x:c r="H14" s="13" t="str">
        <x:v>CT (41)–(45)</x:v>
      </x:c>
    </x:row>
    <x:row r="15">
      <x:c r="A15" s="13" t="str">
        <x:v>Ảnh hưởng thi công</x:v>
      </x:c>
      <x:c r="B15" s="13" t="n">
        <x:v>1.2566370614359172</x:v>
      </x:c>
      <x:c r="C15" s="13" t="n">
        <x:v>1.2566370614359172</x:v>
      </x:c>
      <x:c r="D15" s="13" t="n">
        <x:v>0</x:v>
      </x:c>
      <x:c r="E15" s="13" t="n">
        <x:v>0.000001</x:v>
      </x:c>
      <x:c r="F15" s="13" t="str">
        <x:v>PASS</x:v>
      </x:c>
      <x:c r="G15" s="13" t="str">
        <x:v>cm/s</x:v>
      </x:c>
      <x:c r="H15" s="13" t="str">
        <x:v>CT (47)–(48)</x:v>
      </x:c>
    </x:row>
    <x:row r="16">
      <x:c r="A16" s="13" t="str">
        <x:v>Bè-cọc</x:v>
      </x:c>
      <x:c r="B16" s="13" t="str">
        <x:v>VERIFIED_METHOD</x:v>
      </x:c>
      <x:c r="C16" s="13" t="str">
        <x:v>N/A</x:v>
      </x:c>
      <x:c r="D16" s="13" t="str">
        <x:v>N/A</x:v>
      </x:c>
      <x:c r="E16" s="13" t="str">
        <x:v>N/A</x:v>
      </x:c>
      <x:c r="F16" s="13" t="str">
        <x:v>PASS-METHOD</x:v>
      </x:c>
      <x:c r="G16" s="13" t="str">
        <x:v>-</x:v>
      </x:c>
      <x:c r="H16" s="13" t="str">
        <x:v>7.4.5 yêu cầu mô hình tương tác/số</x:v>
      </x:c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</x:sheetData>
  <x:mergeCells>
    <x:mergeCell ref="A1:H1"/>
  </x:mergeCells>
  <x:pageMargins left="0.7" right="0.7" top="0.75" bottom="0.75" header="0.3" footer="0.3"/>
</x:worksheet>
</file>